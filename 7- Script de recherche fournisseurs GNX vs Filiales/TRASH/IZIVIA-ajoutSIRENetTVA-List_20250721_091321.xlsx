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fonline.sharepoint.com/sites/fac900/Documents partages/e-fac - saison 2/Prestation conseil GENERIX x FILIALES/7- Script de recherche fournisseurs GNX vs Filiales/IN/EXPORT-FILIALE-A-COMPARER/"/>
    </mc:Choice>
  </mc:AlternateContent>
  <xr:revisionPtr revIDLastSave="66" documentId="11_4D6EEA4C3BCC4D126C0BF7609C14F313A856F230" xr6:coauthVersionLast="47" xr6:coauthVersionMax="47" xr10:uidLastSave="{4DDC18CB-C715-480A-80B9-DDB5E39D1767}"/>
  <bookViews>
    <workbookView xWindow="-110" yWindow="-110" windowWidth="19420" windowHeight="1030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64" i="1" l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<sst xmlns="http://schemas.openxmlformats.org/spreadsheetml/2006/main" count="13107" uniqueCount="7610">
  <si>
    <t>Client</t>
  </si>
  <si>
    <t>Nom</t>
  </si>
  <si>
    <t>N° association</t>
  </si>
  <si>
    <t>Pays</t>
  </si>
  <si>
    <t>Catégorie client</t>
  </si>
  <si>
    <t>Date création</t>
  </si>
  <si>
    <t>C00088</t>
  </si>
  <si>
    <t>Porsche Smart Mobility GmbH</t>
  </si>
  <si>
    <t>CHE-362.816.124</t>
  </si>
  <si>
    <t>SUISSE</t>
  </si>
  <si>
    <t>C00090</t>
  </si>
  <si>
    <t>GALEO</t>
  </si>
  <si>
    <t>FRANCE</t>
  </si>
  <si>
    <t>C00091</t>
  </si>
  <si>
    <t>RAMBOUILLET TERRITOIRES</t>
  </si>
  <si>
    <t>20007334400067</t>
  </si>
  <si>
    <t>C00092</t>
  </si>
  <si>
    <t>RATP</t>
  </si>
  <si>
    <t>C00093</t>
  </si>
  <si>
    <t>RENAULT SAS</t>
  </si>
  <si>
    <t>C00094</t>
  </si>
  <si>
    <t>RENAULT TRUCKS</t>
  </si>
  <si>
    <t>95450607700120</t>
  </si>
  <si>
    <t>C00095</t>
  </si>
  <si>
    <t>Route220</t>
  </si>
  <si>
    <t>ITALIE</t>
  </si>
  <si>
    <t>C00096</t>
  </si>
  <si>
    <t>SAP Labs France</t>
  </si>
  <si>
    <t>C00099</t>
  </si>
  <si>
    <t>SAVAC</t>
  </si>
  <si>
    <t>C00100</t>
  </si>
  <si>
    <t>COMMUNE DE SCHILTIGHEIM</t>
  </si>
  <si>
    <t>21670447800017</t>
  </si>
  <si>
    <t>C00101</t>
  </si>
  <si>
    <t>SDE 22</t>
  </si>
  <si>
    <t>20004617500010</t>
  </si>
  <si>
    <t>C00102</t>
  </si>
  <si>
    <t>SDE 76</t>
  </si>
  <si>
    <t>C00103</t>
  </si>
  <si>
    <t>SDEC</t>
  </si>
  <si>
    <t>20004593800012</t>
  </si>
  <si>
    <t>C00104</t>
  </si>
  <si>
    <t>SDESM</t>
  </si>
  <si>
    <t>C00105</t>
  </si>
  <si>
    <t>Sepadef SNC</t>
  </si>
  <si>
    <t>C00107</t>
  </si>
  <si>
    <t>SOREGIES</t>
  </si>
  <si>
    <t>45088922500014</t>
  </si>
  <si>
    <t>C00110</t>
  </si>
  <si>
    <t>Shell EV Charging Solutions B.V.</t>
  </si>
  <si>
    <t>PAYS-BAS</t>
  </si>
  <si>
    <t>C00111</t>
  </si>
  <si>
    <t>THREEFORCE B.V.</t>
  </si>
  <si>
    <t>C00112</t>
  </si>
  <si>
    <t>TISSEO VOYAGEURS</t>
  </si>
  <si>
    <t>C00113</t>
  </si>
  <si>
    <t>Transvoirie S.A.</t>
  </si>
  <si>
    <t>C00114</t>
  </si>
  <si>
    <t>PLESSIS-TREVISE</t>
  </si>
  <si>
    <t>21940059500019</t>
  </si>
  <si>
    <t>C00115</t>
  </si>
  <si>
    <t>CENTRE COMMERCIAL ALMA</t>
  </si>
  <si>
    <t>C00117</t>
  </si>
  <si>
    <t>SEM VFD</t>
  </si>
  <si>
    <t>C00118</t>
  </si>
  <si>
    <t>Wirelane</t>
  </si>
  <si>
    <t>C00127</t>
  </si>
  <si>
    <t>AUCHAN RETAIL FRANCE</t>
  </si>
  <si>
    <t>48198644600021</t>
  </si>
  <si>
    <t>C00129</t>
  </si>
  <si>
    <t>BOUYGUES ENERGIES ET SERVICES</t>
  </si>
  <si>
    <t>77566487304147</t>
  </si>
  <si>
    <t>C00130</t>
  </si>
  <si>
    <t>VILLE DE BRUMATH</t>
  </si>
  <si>
    <t>21670067400015</t>
  </si>
  <si>
    <t>C00131</t>
  </si>
  <si>
    <t>CA Sophia Antipolis</t>
  </si>
  <si>
    <t>24060058500014</t>
  </si>
  <si>
    <t>C00134</t>
  </si>
  <si>
    <t>NE PLUS UTILISER DALKIA</t>
  </si>
  <si>
    <t>79802527600030</t>
  </si>
  <si>
    <t>C00138</t>
  </si>
  <si>
    <t>Domino Rambouillet</t>
  </si>
  <si>
    <t>C00141</t>
  </si>
  <si>
    <t>IZIVIA IG</t>
  </si>
  <si>
    <t>42029138700041</t>
  </si>
  <si>
    <t>C00146</t>
  </si>
  <si>
    <t>FDP</t>
  </si>
  <si>
    <t>C00149</t>
  </si>
  <si>
    <t>Haguenau</t>
  </si>
  <si>
    <t>C00151</t>
  </si>
  <si>
    <t>CA du Douaisis</t>
  </si>
  <si>
    <t>C00153</t>
  </si>
  <si>
    <t>COMM COMMUNE D'HAZEBROUCK</t>
  </si>
  <si>
    <t>C00156</t>
  </si>
  <si>
    <t>CC PAYS D'OPALE</t>
  </si>
  <si>
    <t>C00159</t>
  </si>
  <si>
    <t>Levaparc</t>
  </si>
  <si>
    <t>C00161</t>
  </si>
  <si>
    <t>Obersteinbach</t>
  </si>
  <si>
    <t>21670353800019</t>
  </si>
  <si>
    <t>C00163</t>
  </si>
  <si>
    <t>RVI (RENAULT VEHICLE INNOVATION ex PVI)</t>
  </si>
  <si>
    <t>82523431300021</t>
  </si>
  <si>
    <t>C00166</t>
  </si>
  <si>
    <t>Syndicat départ. Energie Morbihan</t>
  </si>
  <si>
    <t>49067577400023</t>
  </si>
  <si>
    <t>C00168</t>
  </si>
  <si>
    <t>Syndicat mixte  Orge Yvette Seine SMOYS</t>
  </si>
  <si>
    <t>C00170</t>
  </si>
  <si>
    <t>SOWEE</t>
  </si>
  <si>
    <t>C00171</t>
  </si>
  <si>
    <t>Super U MAUVEZIN - GASCODIS</t>
  </si>
  <si>
    <t>34760462100024</t>
  </si>
  <si>
    <t>C00173</t>
  </si>
  <si>
    <t>TOTAL MARKETING FRANCE</t>
  </si>
  <si>
    <t>C00174</t>
  </si>
  <si>
    <t>TRANSAVIA FRANCE</t>
  </si>
  <si>
    <t>C00175</t>
  </si>
  <si>
    <t>BUS EST</t>
  </si>
  <si>
    <t>C00177</t>
  </si>
  <si>
    <t>Yves Rocher</t>
  </si>
  <si>
    <t>C00181</t>
  </si>
  <si>
    <t>SARL DKPV</t>
  </si>
  <si>
    <t>C00182</t>
  </si>
  <si>
    <t>ESSENCE'CIEL AVIA TD - SARL</t>
  </si>
  <si>
    <t>C00183</t>
  </si>
  <si>
    <t>SARL MCV</t>
  </si>
  <si>
    <t>C00184</t>
  </si>
  <si>
    <t>SARL N.O.C' MICHAEL</t>
  </si>
  <si>
    <t>C00185</t>
  </si>
  <si>
    <t>SOGEREST AVIA TD - SOGEREST - Ven</t>
  </si>
  <si>
    <t>C00348</t>
  </si>
  <si>
    <t>Ville de SOUPPES SUR LOING</t>
  </si>
  <si>
    <t>C00349</t>
  </si>
  <si>
    <t>COMMUNE DE CHAPONOST</t>
  </si>
  <si>
    <t>21690043100018</t>
  </si>
  <si>
    <t>C00350</t>
  </si>
  <si>
    <t>KONE</t>
  </si>
  <si>
    <t>59205230201860</t>
  </si>
  <si>
    <t>C00351</t>
  </si>
  <si>
    <t>OGEC (Organismes de gestion de l’Enseignement cath</t>
  </si>
  <si>
    <t>C00352</t>
  </si>
  <si>
    <t>AMAURY SPORT ORGANISATION</t>
  </si>
  <si>
    <t>C00353</t>
  </si>
  <si>
    <t>INDIGO INFRA HAUTEPIERRE</t>
  </si>
  <si>
    <t>C00355</t>
  </si>
  <si>
    <t>ES ENERGIES STRASBOURG</t>
  </si>
  <si>
    <t>31112727800670</t>
  </si>
  <si>
    <t>C00356</t>
  </si>
  <si>
    <t>SOFRADI</t>
  </si>
  <si>
    <t>31146059600035</t>
  </si>
  <si>
    <t>C00357</t>
  </si>
  <si>
    <t>Mairie de Lésigny</t>
  </si>
  <si>
    <t>C00358</t>
  </si>
  <si>
    <t>Dassault Aviation</t>
  </si>
  <si>
    <t>71204245600061</t>
  </si>
  <si>
    <t>C00361</t>
  </si>
  <si>
    <t>SMAGV MANEO</t>
  </si>
  <si>
    <t>C00364</t>
  </si>
  <si>
    <t>PRIME ENGINEERING SAS</t>
  </si>
  <si>
    <t>53337361900048</t>
  </si>
  <si>
    <t>C00365</t>
  </si>
  <si>
    <t>AGAP 2</t>
  </si>
  <si>
    <t>48840482300061</t>
  </si>
  <si>
    <t>C00367</t>
  </si>
  <si>
    <t>OPCO ATLAS</t>
  </si>
  <si>
    <t>95045045200087</t>
  </si>
  <si>
    <t>C00369</t>
  </si>
  <si>
    <t>BOXAUTO</t>
  </si>
  <si>
    <t>78453894400017</t>
  </si>
  <si>
    <t>C00370</t>
  </si>
  <si>
    <t>IDVE SNC</t>
  </si>
  <si>
    <t>C00371</t>
  </si>
  <si>
    <t>EPSA</t>
  </si>
  <si>
    <t>78235409600037</t>
  </si>
  <si>
    <t>C00372</t>
  </si>
  <si>
    <t>ENTREPRISE  FLORENCIE PATRICK SARL</t>
  </si>
  <si>
    <t>C00373</t>
  </si>
  <si>
    <t>HÔTEL RESTAURANT LA PERGOLA</t>
  </si>
  <si>
    <t>C00375</t>
  </si>
  <si>
    <t>ROUX</t>
  </si>
  <si>
    <t>49839632400127</t>
  </si>
  <si>
    <t>C00376</t>
  </si>
  <si>
    <t>49839632400051</t>
  </si>
  <si>
    <t>C00377</t>
  </si>
  <si>
    <t>SUZUKI FRANCE</t>
  </si>
  <si>
    <t>33006637400043</t>
  </si>
  <si>
    <t>C00379</t>
  </si>
  <si>
    <t>SPIE CITYNETWORKS</t>
  </si>
  <si>
    <t>80440642900030</t>
  </si>
  <si>
    <t>C00380</t>
  </si>
  <si>
    <t>E. Leclerc Saint-Brice</t>
  </si>
  <si>
    <t>C00381</t>
  </si>
  <si>
    <t>SANDAYA bloquer reversement reporting voir si reve</t>
  </si>
  <si>
    <t>52402745500038</t>
  </si>
  <si>
    <t>C00382</t>
  </si>
  <si>
    <t>Cancé</t>
  </si>
  <si>
    <t>09728023400010</t>
  </si>
  <si>
    <t>C00383</t>
  </si>
  <si>
    <t>49839632400077</t>
  </si>
  <si>
    <t>C00384</t>
  </si>
  <si>
    <t>49839632400085</t>
  </si>
  <si>
    <t>C00385</t>
  </si>
  <si>
    <t>BEMO</t>
  </si>
  <si>
    <t>C00386</t>
  </si>
  <si>
    <t>CC DU TERRITOIRE DE LUNEVILLE A BACCARAT</t>
  </si>
  <si>
    <t>20007032400013</t>
  </si>
  <si>
    <t>C00387</t>
  </si>
  <si>
    <t>VILLE DE NANCY</t>
  </si>
  <si>
    <t>21540395700016</t>
  </si>
  <si>
    <t>C00388</t>
  </si>
  <si>
    <t>CFBM</t>
  </si>
  <si>
    <t>82291079000028</t>
  </si>
  <si>
    <t>C00389</t>
  </si>
  <si>
    <t>DUPE TROLL</t>
  </si>
  <si>
    <t>C00390</t>
  </si>
  <si>
    <t>EnBW mobility+ AG &amp; Co. KG</t>
  </si>
  <si>
    <t>ALLEMAGNE</t>
  </si>
  <si>
    <t>C00393</t>
  </si>
  <si>
    <t>Commune de Nemours</t>
  </si>
  <si>
    <t>C00394</t>
  </si>
  <si>
    <t>NETTO</t>
  </si>
  <si>
    <t>C00395</t>
  </si>
  <si>
    <t>FONDERIE DE BRETAGNE</t>
  </si>
  <si>
    <t>C00396</t>
  </si>
  <si>
    <t>Renault Retail Group</t>
  </si>
  <si>
    <t>C00397</t>
  </si>
  <si>
    <t>Distribution Services IKEA France (DSIF)</t>
  </si>
  <si>
    <t>35170529800070</t>
  </si>
  <si>
    <t>C00398</t>
  </si>
  <si>
    <t>ELEXENT</t>
  </si>
  <si>
    <t>C00399</t>
  </si>
  <si>
    <t>FMET (Demeter)</t>
  </si>
  <si>
    <t>C00402</t>
  </si>
  <si>
    <t>MAIF Factures Fournisseurs</t>
  </si>
  <si>
    <t>77570970201646</t>
  </si>
  <si>
    <t>C00403</t>
  </si>
  <si>
    <t>URBAPROPRETE</t>
  </si>
  <si>
    <t>C00404</t>
  </si>
  <si>
    <t>CASINO MUNICIPAL DE ROYAT - PARTOUCHE</t>
  </si>
  <si>
    <t>38438693400010</t>
  </si>
  <si>
    <t>C00407</t>
  </si>
  <si>
    <t>LD EXPERTISE</t>
  </si>
  <si>
    <t>83013162900024</t>
  </si>
  <si>
    <t>C00408</t>
  </si>
  <si>
    <t>YZEE Services</t>
  </si>
  <si>
    <t>40799716200042</t>
  </si>
  <si>
    <t>C00409</t>
  </si>
  <si>
    <t>MECATHEIL</t>
  </si>
  <si>
    <t>41461986600018</t>
  </si>
  <si>
    <t>C00411</t>
  </si>
  <si>
    <t>SOLANET SAS</t>
  </si>
  <si>
    <t>C00414</t>
  </si>
  <si>
    <t>SKID WINTERSTEIGER</t>
  </si>
  <si>
    <t>C00415</t>
  </si>
  <si>
    <t>SAS DOLULLE</t>
  </si>
  <si>
    <t>C00418</t>
  </si>
  <si>
    <t>SAS LA FRATERNE</t>
  </si>
  <si>
    <t>83753940200029</t>
  </si>
  <si>
    <t>C00420</t>
  </si>
  <si>
    <t>IZIVIA</t>
  </si>
  <si>
    <t>41907018000080</t>
  </si>
  <si>
    <t>C00421</t>
  </si>
  <si>
    <t>N GREEN MOBILITY PROJECT</t>
  </si>
  <si>
    <t>82988959100022</t>
  </si>
  <si>
    <t>C00422</t>
  </si>
  <si>
    <t>UNIBAIL MARKETING ET MULTIMEDIA  SAS</t>
  </si>
  <si>
    <t>43312753700036</t>
  </si>
  <si>
    <t>C00423</t>
  </si>
  <si>
    <t>Gault et Fremont</t>
  </si>
  <si>
    <t>54480085700028</t>
  </si>
  <si>
    <t>C00424</t>
  </si>
  <si>
    <t>FRAMATOME</t>
  </si>
  <si>
    <t>37904139500011</t>
  </si>
  <si>
    <t>C00425</t>
  </si>
  <si>
    <t>EASY CHARGE</t>
  </si>
  <si>
    <t>53813316600024</t>
  </si>
  <si>
    <t>C00426</t>
  </si>
  <si>
    <t>SARTORIUS STEDIM FMT</t>
  </si>
  <si>
    <t>53876012500012</t>
  </si>
  <si>
    <t>C00427</t>
  </si>
  <si>
    <t>Communauté de commune de la Morinie</t>
  </si>
  <si>
    <t>C00428</t>
  </si>
  <si>
    <t>TOKHEIM SERVICES FRANCE</t>
  </si>
  <si>
    <t>39520879600056</t>
  </si>
  <si>
    <t>C00429</t>
  </si>
  <si>
    <t>SOLARIZE</t>
  </si>
  <si>
    <t>51896994400017</t>
  </si>
  <si>
    <t>C00430</t>
  </si>
  <si>
    <t>BRUNET</t>
  </si>
  <si>
    <t>38981890700013</t>
  </si>
  <si>
    <t>C00433</t>
  </si>
  <si>
    <t>CC des Vallons du Lyonnais (CCVL)</t>
  </si>
  <si>
    <t>24690072400146</t>
  </si>
  <si>
    <t>C00434</t>
  </si>
  <si>
    <t>GHPA - BRUNO PETIT</t>
  </si>
  <si>
    <t>C00437</t>
  </si>
  <si>
    <t>P&amp;P IMMO</t>
  </si>
  <si>
    <t>82786624500018</t>
  </si>
  <si>
    <t>C00438</t>
  </si>
  <si>
    <t>MAIRIE DE FREVENT</t>
  </si>
  <si>
    <t>C00439</t>
  </si>
  <si>
    <t>ED ATELIERS MAISONS</t>
  </si>
  <si>
    <t>C00440</t>
  </si>
  <si>
    <t>ABB FRANCE</t>
  </si>
  <si>
    <t>33514631200459</t>
  </si>
  <si>
    <t>C00441</t>
  </si>
  <si>
    <t>NEOLIA</t>
  </si>
  <si>
    <t>30591873200010</t>
  </si>
  <si>
    <t>C00442</t>
  </si>
  <si>
    <t>AB MAISONS</t>
  </si>
  <si>
    <t>80534023900039</t>
  </si>
  <si>
    <t>C00443</t>
  </si>
  <si>
    <t>LOGIS TRAVAUX</t>
  </si>
  <si>
    <t>80449563800020</t>
  </si>
  <si>
    <t>C00444</t>
  </si>
  <si>
    <t>COOP COFRA</t>
  </si>
  <si>
    <t>31484324400018</t>
  </si>
  <si>
    <t>C00446</t>
  </si>
  <si>
    <t>COVIVIO</t>
  </si>
  <si>
    <t>43938146800024</t>
  </si>
  <si>
    <t>C00447</t>
  </si>
  <si>
    <t>CHADOTEL OCEANO D'OR</t>
  </si>
  <si>
    <t>38833452600083</t>
  </si>
  <si>
    <t>C00448</t>
  </si>
  <si>
    <t>L'AUTO ARES</t>
  </si>
  <si>
    <t>C00450</t>
  </si>
  <si>
    <t>VILLE DE BISCHWILLER</t>
  </si>
  <si>
    <t>21670046800012</t>
  </si>
  <si>
    <t>C00451</t>
  </si>
  <si>
    <t>Immobilière Truelle</t>
  </si>
  <si>
    <t>C00453</t>
  </si>
  <si>
    <t>KONTRON MODULAR COMPUTERS</t>
  </si>
  <si>
    <t>33936170100024</t>
  </si>
  <si>
    <t>C00454</t>
  </si>
  <si>
    <t>MANATOUR</t>
  </si>
  <si>
    <t>C00455</t>
  </si>
  <si>
    <t>LUDIMAG (Intermarché Anizy)</t>
  </si>
  <si>
    <t>37874446000015</t>
  </si>
  <si>
    <t>C00456</t>
  </si>
  <si>
    <t>QUADANCE D&amp;S</t>
  </si>
  <si>
    <t>45261112200022</t>
  </si>
  <si>
    <t>C00457</t>
  </si>
  <si>
    <t>CC RHONY VISTRE VIDOURLE</t>
  </si>
  <si>
    <t>C00458</t>
  </si>
  <si>
    <t>Hyper U - Gujan Mestras</t>
  </si>
  <si>
    <t>31822697400026</t>
  </si>
  <si>
    <t>C00459</t>
  </si>
  <si>
    <t>BORDEAUX METROPOLE</t>
  </si>
  <si>
    <t>C00460</t>
  </si>
  <si>
    <t>FRANCE BOISSONS NORD</t>
  </si>
  <si>
    <t>56850040900343</t>
  </si>
  <si>
    <t>C00461</t>
  </si>
  <si>
    <t>PROJECTION PLASMA SYSTEME '2PS</t>
  </si>
  <si>
    <t>C00462</t>
  </si>
  <si>
    <t>THIRIET DISTRIBUTION</t>
  </si>
  <si>
    <t>C00463</t>
  </si>
  <si>
    <t>Lyon Marriott Hôtel LAVOREL</t>
  </si>
  <si>
    <t>48328188700032</t>
  </si>
  <si>
    <t>C00464</t>
  </si>
  <si>
    <t>Hotel OLATUA-MAEVA</t>
  </si>
  <si>
    <t>88128875700019</t>
  </si>
  <si>
    <t>C00465</t>
  </si>
  <si>
    <t>AMEFPA TDG SO CHATEAU D'URAC</t>
  </si>
  <si>
    <t>77716667900020</t>
  </si>
  <si>
    <t>C00466</t>
  </si>
  <si>
    <t>CRF STER</t>
  </si>
  <si>
    <t>C00467</t>
  </si>
  <si>
    <t>OBJECTIF COIFFURE</t>
  </si>
  <si>
    <t>C00468</t>
  </si>
  <si>
    <t>PARTOUCHE Hôtel &amp; Spa Le Pavillon</t>
  </si>
  <si>
    <t>45392946500020</t>
  </si>
  <si>
    <t>C00469</t>
  </si>
  <si>
    <t>SERCEL carquefou</t>
  </si>
  <si>
    <t>37804049700026</t>
  </si>
  <si>
    <t>C00470</t>
  </si>
  <si>
    <t>COULEUR SUD / HÔTEL LE BELVEDERE</t>
  </si>
  <si>
    <t>51258551400015</t>
  </si>
  <si>
    <t>C00471</t>
  </si>
  <si>
    <t>HOTRAVAIL</t>
  </si>
  <si>
    <t>39106361700024</t>
  </si>
  <si>
    <t>C00472</t>
  </si>
  <si>
    <t>VIALLON EMBALLAGE</t>
  </si>
  <si>
    <t>42123283600013</t>
  </si>
  <si>
    <t>C00473</t>
  </si>
  <si>
    <t>Gendarmerie AURA</t>
  </si>
  <si>
    <t>11000201100044</t>
  </si>
  <si>
    <t>C00474</t>
  </si>
  <si>
    <t>AMSON HABITAT</t>
  </si>
  <si>
    <t>31566741000015</t>
  </si>
  <si>
    <t>C00476</t>
  </si>
  <si>
    <t>Vergers de Brechou</t>
  </si>
  <si>
    <t>C00477</t>
  </si>
  <si>
    <t>SELIA SA</t>
  </si>
  <si>
    <t>30186188600150</t>
  </si>
  <si>
    <t>C00478</t>
  </si>
  <si>
    <t>LA BOITE IMMO</t>
  </si>
  <si>
    <t>C00479</t>
  </si>
  <si>
    <t>CJSR 2 - Cabinet Juridique Saone Rhone</t>
  </si>
  <si>
    <t>79018427900012</t>
  </si>
  <si>
    <t>C00480</t>
  </si>
  <si>
    <t>QUERCY REFRIGERATION (Froid)</t>
  </si>
  <si>
    <t>49793393700060</t>
  </si>
  <si>
    <t>C00481</t>
  </si>
  <si>
    <t>WATERROWER</t>
  </si>
  <si>
    <t>49983887800035</t>
  </si>
  <si>
    <t>C00482</t>
  </si>
  <si>
    <t>Mairie Villeneuve Les Avignon</t>
  </si>
  <si>
    <t>21300351000012</t>
  </si>
  <si>
    <t>C00483</t>
  </si>
  <si>
    <t>PHIBOR ENTREPRISES</t>
  </si>
  <si>
    <t>41279019800037</t>
  </si>
  <si>
    <t>C00484</t>
  </si>
  <si>
    <t>ANDRE RENAULT</t>
  </si>
  <si>
    <t>40857035600027</t>
  </si>
  <si>
    <t>C00485</t>
  </si>
  <si>
    <t>DELZONGLE MIDI-PYRENEES</t>
  </si>
  <si>
    <t>57080052400011</t>
  </si>
  <si>
    <t>C00486</t>
  </si>
  <si>
    <t>EUROMEDIA</t>
  </si>
  <si>
    <t>38118606300024</t>
  </si>
  <si>
    <t>C00487</t>
  </si>
  <si>
    <t>DOMOLANDES</t>
  </si>
  <si>
    <t>52446078900018</t>
  </si>
  <si>
    <t>C00489</t>
  </si>
  <si>
    <t>CREATIONS DENTAIRES</t>
  </si>
  <si>
    <t>C00490</t>
  </si>
  <si>
    <t>PONTS COUVERTS A NE PLUS UTILISER</t>
  </si>
  <si>
    <t>C00491</t>
  </si>
  <si>
    <t>Val de Moder</t>
  </si>
  <si>
    <t>C00492</t>
  </si>
  <si>
    <t>IDEXX MONTPELLIER</t>
  </si>
  <si>
    <t>C00493</t>
  </si>
  <si>
    <t>LA CHAMBRE D'AMIENS</t>
  </si>
  <si>
    <t>45139972900032</t>
  </si>
  <si>
    <t>C00494</t>
  </si>
  <si>
    <t>GEFEC - GROUPEMENT D'ETUDES FRANCE CONCEPTION</t>
  </si>
  <si>
    <t>C00495</t>
  </si>
  <si>
    <t>Apave Alsacienne SAS</t>
  </si>
  <si>
    <t>30732221400015</t>
  </si>
  <si>
    <t>C00496</t>
  </si>
  <si>
    <t>Garage la Lanterne</t>
  </si>
  <si>
    <t>79191503600010</t>
  </si>
  <si>
    <t>C00497</t>
  </si>
  <si>
    <t>VERLINGUE</t>
  </si>
  <si>
    <t>44031594300074</t>
  </si>
  <si>
    <t>C00498</t>
  </si>
  <si>
    <t>S.M.A.E.P.A. DE LA REGION D'YERVILLE</t>
  </si>
  <si>
    <t>C00499</t>
  </si>
  <si>
    <t>UNION DES SYNDICATS DES COPROS CCR PARLY 2</t>
  </si>
  <si>
    <t>C00500</t>
  </si>
  <si>
    <t>SIXT SAS</t>
  </si>
  <si>
    <t>41120701200690</t>
  </si>
  <si>
    <t>C00501</t>
  </si>
  <si>
    <t>L'OREAL - B.R.I</t>
  </si>
  <si>
    <t>42905734200033</t>
  </si>
  <si>
    <t>C00503</t>
  </si>
  <si>
    <t>SYDELA ENERGIE 44</t>
  </si>
  <si>
    <t>C00505</t>
  </si>
  <si>
    <t>SERVICEHOUSE B.V.</t>
  </si>
  <si>
    <t>C00506</t>
  </si>
  <si>
    <t>GENERALI IARD</t>
  </si>
  <si>
    <t>55206266302212</t>
  </si>
  <si>
    <t>C00507</t>
  </si>
  <si>
    <t>TEVGO</t>
  </si>
  <si>
    <t>87932148700073</t>
  </si>
  <si>
    <t>C00508</t>
  </si>
  <si>
    <t>HOTEL DES FRERES IBARBOURE</t>
  </si>
  <si>
    <t>C00509</t>
  </si>
  <si>
    <t>PATISMATIQUE</t>
  </si>
  <si>
    <t>50337024900016</t>
  </si>
  <si>
    <t>C00511</t>
  </si>
  <si>
    <t>TRANSDEV BEAUVAISIS MOBILITES</t>
  </si>
  <si>
    <t>81406649400026</t>
  </si>
  <si>
    <t>C00512</t>
  </si>
  <si>
    <t>VILLE D'ARCACHON</t>
  </si>
  <si>
    <t>21330009800018</t>
  </si>
  <si>
    <t>C00515</t>
  </si>
  <si>
    <t>NOVARC</t>
  </si>
  <si>
    <t>38076513100020</t>
  </si>
  <si>
    <t>C00516</t>
  </si>
  <si>
    <t>UNIHA</t>
  </si>
  <si>
    <t>C00517</t>
  </si>
  <si>
    <t>ACC Husse</t>
  </si>
  <si>
    <t>41113237600020</t>
  </si>
  <si>
    <t>C00518</t>
  </si>
  <si>
    <t>CHU SEMUR</t>
  </si>
  <si>
    <t>26210018300017</t>
  </si>
  <si>
    <t>C00519</t>
  </si>
  <si>
    <t>Groupe Gédimat</t>
  </si>
  <si>
    <t>C00520</t>
  </si>
  <si>
    <t>CTA CONSTRUCTION</t>
  </si>
  <si>
    <t>31052062200088</t>
  </si>
  <si>
    <t>C00521</t>
  </si>
  <si>
    <t>ATHENA GLOBAL SERVICES</t>
  </si>
  <si>
    <t>C00522</t>
  </si>
  <si>
    <t>BOWLING DE MILLAU</t>
  </si>
  <si>
    <t>C00523</t>
  </si>
  <si>
    <t>RMA</t>
  </si>
  <si>
    <t>42991659600019</t>
  </si>
  <si>
    <t>C00524</t>
  </si>
  <si>
    <t>KERALAN</t>
  </si>
  <si>
    <t>34409127700014</t>
  </si>
  <si>
    <t>C00525</t>
  </si>
  <si>
    <t>Société DU PONT DE BOIS</t>
  </si>
  <si>
    <t>40317469100010</t>
  </si>
  <si>
    <t>C00526</t>
  </si>
  <si>
    <t>DERMOR</t>
  </si>
  <si>
    <t>39124817600029</t>
  </si>
  <si>
    <t>C00528</t>
  </si>
  <si>
    <t>SCI VM DECOR</t>
  </si>
  <si>
    <t>39298889500018</t>
  </si>
  <si>
    <t>C00529</t>
  </si>
  <si>
    <t>TITI FLORIS</t>
  </si>
  <si>
    <t>48788417300070</t>
  </si>
  <si>
    <t>C00530</t>
  </si>
  <si>
    <t>INTERMARCHE CANTELEU</t>
  </si>
  <si>
    <t>38295846000018</t>
  </si>
  <si>
    <t>C00002</t>
  </si>
  <si>
    <t>AEROPORTS DE PARIS - ADP</t>
  </si>
  <si>
    <t>55201662800273</t>
  </si>
  <si>
    <t>C00003</t>
  </si>
  <si>
    <t>AMLI Florange</t>
  </si>
  <si>
    <t>C00004</t>
  </si>
  <si>
    <t>ARGEDIS</t>
  </si>
  <si>
    <t>C00006</t>
  </si>
  <si>
    <t>PICOTY AUTOROUTES (Avia Picoty)</t>
  </si>
  <si>
    <t>43370488900016</t>
  </si>
  <si>
    <t>C00007</t>
  </si>
  <si>
    <t>AVIA Thévenin Ducrot</t>
  </si>
  <si>
    <t>C00008</t>
  </si>
  <si>
    <t>BE GREEN</t>
  </si>
  <si>
    <t>C00009</t>
  </si>
  <si>
    <t>DIGITAL CHARGING SOLUTIONS GmbH</t>
  </si>
  <si>
    <t>C00010</t>
  </si>
  <si>
    <t>Bosch Charging Solutions GmbH</t>
  </si>
  <si>
    <t>C00011</t>
  </si>
  <si>
    <t>CA CANNES PAYS de LERINS</t>
  </si>
  <si>
    <t>20003991500018</t>
  </si>
  <si>
    <t>C00013</t>
  </si>
  <si>
    <t>CA DU PAYS DE GRASSE</t>
  </si>
  <si>
    <t>20003985700012</t>
  </si>
  <si>
    <t>C00015</t>
  </si>
  <si>
    <t>Carrefour Autoroutes</t>
  </si>
  <si>
    <t>C00016</t>
  </si>
  <si>
    <t>CAR POSTAL SALON DE PROVENCE</t>
  </si>
  <si>
    <t>C00017</t>
  </si>
  <si>
    <t>COMU CA LE GRAND CHALON</t>
  </si>
  <si>
    <t>C00018</t>
  </si>
  <si>
    <t>CHARGEMAP</t>
  </si>
  <si>
    <t>C00019</t>
  </si>
  <si>
    <t>CITELUM</t>
  </si>
  <si>
    <t>38964385901056</t>
  </si>
  <si>
    <t>C00021</t>
  </si>
  <si>
    <t>Cofiroute</t>
  </si>
  <si>
    <t>C00022</t>
  </si>
  <si>
    <t>Transports Dominique</t>
  </si>
  <si>
    <t>C00023</t>
  </si>
  <si>
    <t>Dyneff</t>
  </si>
  <si>
    <t>30580099701000</t>
  </si>
  <si>
    <t>C00024</t>
  </si>
  <si>
    <t>EDF SA</t>
  </si>
  <si>
    <t>55208131791090</t>
  </si>
  <si>
    <t>C00026</t>
  </si>
  <si>
    <t>EFR</t>
  </si>
  <si>
    <t>C00028</t>
  </si>
  <si>
    <t>Electromaps</t>
  </si>
  <si>
    <t>ESPAGNE</t>
  </si>
  <si>
    <t>C00032</t>
  </si>
  <si>
    <t>ENEDIS</t>
  </si>
  <si>
    <t>44460844213631</t>
  </si>
  <si>
    <t>C00034</t>
  </si>
  <si>
    <t>EV TRONIC</t>
  </si>
  <si>
    <t>50049498400049</t>
  </si>
  <si>
    <t>C00035</t>
  </si>
  <si>
    <t>RF  FEDERATION FRANCAISE FOOTBALL - FFF</t>
  </si>
  <si>
    <t>C00036</t>
  </si>
  <si>
    <t>FRESHMILE SERVICES</t>
  </si>
  <si>
    <t>81861122000059</t>
  </si>
  <si>
    <t>C00037</t>
  </si>
  <si>
    <t>HOMYA</t>
  </si>
  <si>
    <t>88026621800010</t>
  </si>
  <si>
    <t>C00040</t>
  </si>
  <si>
    <t>Go electric stations</t>
  </si>
  <si>
    <t>C00043</t>
  </si>
  <si>
    <t>Groupe E</t>
  </si>
  <si>
    <t>C00045</t>
  </si>
  <si>
    <t>DALKIA FROID SOLUTIONS</t>
  </si>
  <si>
    <t>06620112000848</t>
  </si>
  <si>
    <t>C00051</t>
  </si>
  <si>
    <t>Meubles IKEA France (MIF)</t>
  </si>
  <si>
    <t>35174572400200</t>
  </si>
  <si>
    <t>C00054</t>
  </si>
  <si>
    <t>INDIGO PARK</t>
  </si>
  <si>
    <t>32022964405241</t>
  </si>
  <si>
    <t>C00055</t>
  </si>
  <si>
    <t>INDIGO INFRA FRANCE</t>
  </si>
  <si>
    <t>C00056</t>
  </si>
  <si>
    <t>Les Parcs de Neuilly</t>
  </si>
  <si>
    <t>C00058</t>
  </si>
  <si>
    <t>SA Parkings Versailles</t>
  </si>
  <si>
    <t>C00059</t>
  </si>
  <si>
    <t>Intermarché Mousquetaire</t>
  </si>
  <si>
    <t>48773424600019</t>
  </si>
  <si>
    <t>C00060</t>
  </si>
  <si>
    <t>IZIVIA FMET 1</t>
  </si>
  <si>
    <t>84479928800015</t>
  </si>
  <si>
    <t>C00061</t>
  </si>
  <si>
    <t>LE JARDIN D'ACCLIMATATION</t>
  </si>
  <si>
    <t>C00062</t>
  </si>
  <si>
    <t>Keolis Bordeaux Métropole</t>
  </si>
  <si>
    <t>80822705200012</t>
  </si>
  <si>
    <t>C00063</t>
  </si>
  <si>
    <t>KEOLIS LITTORAL</t>
  </si>
  <si>
    <t>33934380800046</t>
  </si>
  <si>
    <t>C00064</t>
  </si>
  <si>
    <t>Keolis Charente Maritime</t>
  </si>
  <si>
    <t>50935295100016</t>
  </si>
  <si>
    <t>C00067</t>
  </si>
  <si>
    <t>MOBILIS -KIWHI PASS SOLUTIONS</t>
  </si>
  <si>
    <t>C00068</t>
  </si>
  <si>
    <t>CARS LACROIX</t>
  </si>
  <si>
    <t>C00070</t>
  </si>
  <si>
    <t>LE DU Industrie</t>
  </si>
  <si>
    <t>C00071</t>
  </si>
  <si>
    <t>L'OREAL - SICOS</t>
  </si>
  <si>
    <t>63201210000012</t>
  </si>
  <si>
    <t>C00074</t>
  </si>
  <si>
    <t>Mobee</t>
  </si>
  <si>
    <t>C00075</t>
  </si>
  <si>
    <t>MOBILYGREEN</t>
  </si>
  <si>
    <t>52254654800036</t>
  </si>
  <si>
    <t>C00077</t>
  </si>
  <si>
    <t>Clients Monétique</t>
  </si>
  <si>
    <t>C00078</t>
  </si>
  <si>
    <t>METROPOLE DU GRAND NANCY</t>
  </si>
  <si>
    <t>24540067600012</t>
  </si>
  <si>
    <t>C00079</t>
  </si>
  <si>
    <t>NISSAN WEST EUROPE</t>
  </si>
  <si>
    <t>C00081</t>
  </si>
  <si>
    <t>Office de Tourisme de Gruissan</t>
  </si>
  <si>
    <t>C00083</t>
  </si>
  <si>
    <t>COMMUNE OZOIR LA FERRIERE</t>
  </si>
  <si>
    <t>C00084</t>
  </si>
  <si>
    <t>VILLE DE PARIS</t>
  </si>
  <si>
    <t>21750001600019</t>
  </si>
  <si>
    <t>C00085</t>
  </si>
  <si>
    <t>GROUPE PIZZORNO ENVIRONNEMENT</t>
  </si>
  <si>
    <t>C00087</t>
  </si>
  <si>
    <t>Plugsurfing</t>
  </si>
  <si>
    <t>C00186</t>
  </si>
  <si>
    <t>SOCIETE DE PARKING MATIGNON MARIGNY</t>
  </si>
  <si>
    <t>54205031501992</t>
  </si>
  <si>
    <t>C00187</t>
  </si>
  <si>
    <t>PARIS PARKING BOURSE</t>
  </si>
  <si>
    <t>C00189</t>
  </si>
  <si>
    <t>SDEF - SDE 29</t>
  </si>
  <si>
    <t>25290114500042</t>
  </si>
  <si>
    <t>C00191</t>
  </si>
  <si>
    <t>EUROPCAR FRANCE</t>
  </si>
  <si>
    <t>48909990300044</t>
  </si>
  <si>
    <t>C00192</t>
  </si>
  <si>
    <t>KARADEMIR</t>
  </si>
  <si>
    <t>C00193</t>
  </si>
  <si>
    <t>SDE 35</t>
  </si>
  <si>
    <t>20005042500012</t>
  </si>
  <si>
    <t>C00194</t>
  </si>
  <si>
    <t>AUTOGRILL Dracé</t>
  </si>
  <si>
    <t>C00195</t>
  </si>
  <si>
    <t>AOUYAGUE AVIA TD</t>
  </si>
  <si>
    <t>C00196</t>
  </si>
  <si>
    <t>THEVENIN ET DUCROT AUTOROUTE AVIA TD</t>
  </si>
  <si>
    <t>43388775900010</t>
  </si>
  <si>
    <t>C00197</t>
  </si>
  <si>
    <t>HARAN CHRISTOPHE EURL</t>
  </si>
  <si>
    <t>C00198</t>
  </si>
  <si>
    <t>SOCIETE GENERALE</t>
  </si>
  <si>
    <t>C00200</t>
  </si>
  <si>
    <t>COMMUNAUTE PARIS-SACLAY</t>
  </si>
  <si>
    <t>20005623200149</t>
  </si>
  <si>
    <t>C00201</t>
  </si>
  <si>
    <t>AUTOGRILL COTE FRANCE</t>
  </si>
  <si>
    <t>39137823900258</t>
  </si>
  <si>
    <t>C00202</t>
  </si>
  <si>
    <t>SESAR SERVICES</t>
  </si>
  <si>
    <t>C00203</t>
  </si>
  <si>
    <t>VENTADOUR STRATEGIE</t>
  </si>
  <si>
    <t>C00204</t>
  </si>
  <si>
    <t>SIGREST</t>
  </si>
  <si>
    <t>C00205</t>
  </si>
  <si>
    <t>AUTOGRILL SGPA</t>
  </si>
  <si>
    <t>C00206</t>
  </si>
  <si>
    <t>49839632400101</t>
  </si>
  <si>
    <t>C00207</t>
  </si>
  <si>
    <t>Maire de Bagneaux sur Loing</t>
  </si>
  <si>
    <t>C00209</t>
  </si>
  <si>
    <t>METROPOLE NICE COTE D AZUR - REGIE</t>
  </si>
  <si>
    <t>20003019500115</t>
  </si>
  <si>
    <t>C00210</t>
  </si>
  <si>
    <t>SEGULA MATRA AUTOMOTIVE</t>
  </si>
  <si>
    <t>C00211</t>
  </si>
  <si>
    <t>SYDER</t>
  </si>
  <si>
    <t>44281495000030</t>
  </si>
  <si>
    <t>C00212</t>
  </si>
  <si>
    <t>SPS 8EME ARRONDT</t>
  </si>
  <si>
    <t>C00213</t>
  </si>
  <si>
    <t>SARL TECHNOPARKING EXPLOITATION</t>
  </si>
  <si>
    <t>C00215</t>
  </si>
  <si>
    <t>VILLE D OBERNAI</t>
  </si>
  <si>
    <t>21670348800017</t>
  </si>
  <si>
    <t>C00217</t>
  </si>
  <si>
    <t>RENAULT NICE RIQUIER</t>
  </si>
  <si>
    <t>C00218</t>
  </si>
  <si>
    <t>FRANCE BOISSONS SAS</t>
  </si>
  <si>
    <t>64202860901011</t>
  </si>
  <si>
    <t>C00219</t>
  </si>
  <si>
    <t>ETABLISSEMENT PUBLIC D'AMENAGEMENT Paris Saclay</t>
  </si>
  <si>
    <t>C00220</t>
  </si>
  <si>
    <t>BATIGERE ILE DE FRANCE</t>
  </si>
  <si>
    <t>C00221</t>
  </si>
  <si>
    <t>HRC STATION ESSO BLOIS MENARS</t>
  </si>
  <si>
    <t>C00223</t>
  </si>
  <si>
    <t>PSA Automobiles SA</t>
  </si>
  <si>
    <t>C00224</t>
  </si>
  <si>
    <t>Résidentiel Collectif</t>
  </si>
  <si>
    <t>C00225</t>
  </si>
  <si>
    <t>SHELL - ne pas utiliser</t>
  </si>
  <si>
    <t>78013017512260</t>
  </si>
  <si>
    <t>C00226</t>
  </si>
  <si>
    <t>78013017511262</t>
  </si>
  <si>
    <t>C00228</t>
  </si>
  <si>
    <t>SOVAB  SNC</t>
  </si>
  <si>
    <t>C00229</t>
  </si>
  <si>
    <t>SNC RENAULT CLEON</t>
  </si>
  <si>
    <t>C00230</t>
  </si>
  <si>
    <t>SNC RENAULT DOUAI</t>
  </si>
  <si>
    <t>C00231</t>
  </si>
  <si>
    <t>SNC RENAULT FLINS</t>
  </si>
  <si>
    <t>C00232</t>
  </si>
  <si>
    <t>AUTO CHASSIS INTERNATIONAL SNC</t>
  </si>
  <si>
    <t>44469496200036</t>
  </si>
  <si>
    <t>C00234</t>
  </si>
  <si>
    <t>STA SOCIETE DE TRANSMISSION AUTOMATIQUE</t>
  </si>
  <si>
    <t>45139972900073</t>
  </si>
  <si>
    <t>C00235</t>
  </si>
  <si>
    <t>RENAULT SANDOUVILLE SNC</t>
  </si>
  <si>
    <t>55214153300687</t>
  </si>
  <si>
    <t>C00237</t>
  </si>
  <si>
    <t>MAUBEUGE CONSTRUCTION AUTOMOBILE SNC</t>
  </si>
  <si>
    <t>C00238</t>
  </si>
  <si>
    <t>ASMB</t>
  </si>
  <si>
    <t>C00239</t>
  </si>
  <si>
    <t>SOFRASTOCK INTERNATIONAL SAS</t>
  </si>
  <si>
    <t>C00240</t>
  </si>
  <si>
    <t>VIPE GESTION</t>
  </si>
  <si>
    <t>42958456800027</t>
  </si>
  <si>
    <t>C00241</t>
  </si>
  <si>
    <t>COMMUNE MAEN ROCH</t>
  </si>
  <si>
    <t>C00242</t>
  </si>
  <si>
    <t>INTERMARCHE SUDCA SAS</t>
  </si>
  <si>
    <t>C00243</t>
  </si>
  <si>
    <t>HP OUSTRIC</t>
  </si>
  <si>
    <t>C00245</t>
  </si>
  <si>
    <t>SARL BARDOT</t>
  </si>
  <si>
    <t>C00246</t>
  </si>
  <si>
    <t>SARL HP OUSTRIC</t>
  </si>
  <si>
    <t>C00247</t>
  </si>
  <si>
    <t>ROCAMAR</t>
  </si>
  <si>
    <t>49966581800021</t>
  </si>
  <si>
    <t>C01148</t>
  </si>
  <si>
    <t>EDF - Direction Immobilier Groupe</t>
  </si>
  <si>
    <t>C01154</t>
  </si>
  <si>
    <t>SARL CANTAL REPROGRAPHIE</t>
  </si>
  <si>
    <t>40956408500119</t>
  </si>
  <si>
    <t>C01155</t>
  </si>
  <si>
    <t>SAS NGC DISTRIBUTION</t>
  </si>
  <si>
    <t>40449921200029</t>
  </si>
  <si>
    <t>C01158</t>
  </si>
  <si>
    <t>SAS FONTY</t>
  </si>
  <si>
    <t>C01160</t>
  </si>
  <si>
    <t>SA BNP PARIBAS LEASE GROUP</t>
  </si>
  <si>
    <t>C01162</t>
  </si>
  <si>
    <t>OCEANE DISTRIBUTION SAS</t>
  </si>
  <si>
    <t>81015173800012</t>
  </si>
  <si>
    <t>C01163</t>
  </si>
  <si>
    <t>BISCADIS SAS Super U Biscarosse</t>
  </si>
  <si>
    <t>33779580100014</t>
  </si>
  <si>
    <t>C01164</t>
  </si>
  <si>
    <t>CEMUBA SAS</t>
  </si>
  <si>
    <t>43183560200027</t>
  </si>
  <si>
    <t>C01165</t>
  </si>
  <si>
    <t>TRELADIS SAS</t>
  </si>
  <si>
    <t>53165298000040</t>
  </si>
  <si>
    <t>C01166</t>
  </si>
  <si>
    <t>SOCIETE PALANTINE DE DISTRIBUTION ALIMENTAIRE SAS</t>
  </si>
  <si>
    <t>32746770000016</t>
  </si>
  <si>
    <t>C01167</t>
  </si>
  <si>
    <t>STEPADIS SAS</t>
  </si>
  <si>
    <t>79819180500018</t>
  </si>
  <si>
    <t>C01168</t>
  </si>
  <si>
    <t>GUERMAR SAS</t>
  </si>
  <si>
    <t>34920463600022</t>
  </si>
  <si>
    <t>C01170</t>
  </si>
  <si>
    <t>SOCIETE D'ALIMENTATION MEVENNAISE SAS</t>
  </si>
  <si>
    <t>31173227500038</t>
  </si>
  <si>
    <t>C01171</t>
  </si>
  <si>
    <t>SA SANOFI-AVENTIS RECHERCHE ET DEVELOPP</t>
  </si>
  <si>
    <t>71300226900049</t>
  </si>
  <si>
    <t>C01172</t>
  </si>
  <si>
    <t>ECONOCOM SAS</t>
  </si>
  <si>
    <t>32696677700160</t>
  </si>
  <si>
    <t>C01174</t>
  </si>
  <si>
    <t>GEIMSA - VIDICHRI</t>
  </si>
  <si>
    <t>31952840200047</t>
  </si>
  <si>
    <t>C01175</t>
  </si>
  <si>
    <t>LES CARS MOREAU</t>
  </si>
  <si>
    <t>31504319000034</t>
  </si>
  <si>
    <t>C01177</t>
  </si>
  <si>
    <t>ELIOR FRANCE</t>
  </si>
  <si>
    <t>66202519660347</t>
  </si>
  <si>
    <t>C01179</t>
  </si>
  <si>
    <t>LYCEE PROFESSIONNEL JEAN BAPTISTE CLEMENT</t>
  </si>
  <si>
    <t>C01180</t>
  </si>
  <si>
    <t>LYCEE POLYVALENT LA BRIQUERIE</t>
  </si>
  <si>
    <t>C01181</t>
  </si>
  <si>
    <t>LYCEE REGIONAL</t>
  </si>
  <si>
    <t>C01182</t>
  </si>
  <si>
    <t>LYCEE POLYVALENT REGIONAL Jean Hanzelet</t>
  </si>
  <si>
    <t>C01183</t>
  </si>
  <si>
    <t>LYCEE ENTRE MEURTHE ET SANON</t>
  </si>
  <si>
    <t>C01185</t>
  </si>
  <si>
    <t>ARCANDE SAS</t>
  </si>
  <si>
    <t>34204342900014</t>
  </si>
  <si>
    <t>C01187</t>
  </si>
  <si>
    <t>SAS HOTEL RESTAURANT DE GRANVILLE</t>
  </si>
  <si>
    <t>38151573300032</t>
  </si>
  <si>
    <t>C01189</t>
  </si>
  <si>
    <t>PANPHARMA LUITRE</t>
  </si>
  <si>
    <t>C01190</t>
  </si>
  <si>
    <t>STAD</t>
  </si>
  <si>
    <t>C01191</t>
  </si>
  <si>
    <t>FLEURY MICHON POUZAUGES</t>
  </si>
  <si>
    <t>57205832900093</t>
  </si>
  <si>
    <t>C01192</t>
  </si>
  <si>
    <t>SA ETABLISSEMENT FLANDRE</t>
  </si>
  <si>
    <t>72172029000031</t>
  </si>
  <si>
    <t>C01193</t>
  </si>
  <si>
    <t>SAS CAMP ATLANTIC LACANAU</t>
  </si>
  <si>
    <t>C01195</t>
  </si>
  <si>
    <t>PAUL BOYE TECHNOLOGIES</t>
  </si>
  <si>
    <t>34976091800137</t>
  </si>
  <si>
    <t>C01196</t>
  </si>
  <si>
    <t>SEMVR TOURCOING</t>
  </si>
  <si>
    <t>31869720800094</t>
  </si>
  <si>
    <t>C01197</t>
  </si>
  <si>
    <t>CONFISERIE LEBLANC</t>
  </si>
  <si>
    <t>C01198</t>
  </si>
  <si>
    <t>LAVOREL HOTELS</t>
  </si>
  <si>
    <t>C01199</t>
  </si>
  <si>
    <t>BLUE BAYOU SNC</t>
  </si>
  <si>
    <t>34481757200011</t>
  </si>
  <si>
    <t>C01200</t>
  </si>
  <si>
    <t>STE D'EXPLOITATION DU CAMPING DOUCE SNC</t>
  </si>
  <si>
    <t>31558995200011</t>
  </si>
  <si>
    <t>C01201</t>
  </si>
  <si>
    <t>LE COL VERT SNC</t>
  </si>
  <si>
    <t>37801286800014</t>
  </si>
  <si>
    <t>C01202</t>
  </si>
  <si>
    <t>Camping Le Moulin de l'Eclis</t>
  </si>
  <si>
    <t>49504022200012</t>
  </si>
  <si>
    <t>C01203</t>
  </si>
  <si>
    <t>DOMAINE DU MIDI SCS</t>
  </si>
  <si>
    <t>83358190300014</t>
  </si>
  <si>
    <t>C01204</t>
  </si>
  <si>
    <t>CAMPING DU KEROU SAS</t>
  </si>
  <si>
    <t>37831025400016</t>
  </si>
  <si>
    <t>C01205</t>
  </si>
  <si>
    <t>34481757200045</t>
  </si>
  <si>
    <t>C01206</t>
  </si>
  <si>
    <t>L OREE DU BOIS SNC</t>
  </si>
  <si>
    <t>32776535000019</t>
  </si>
  <si>
    <t>C01207</t>
  </si>
  <si>
    <t>34481757200037</t>
  </si>
  <si>
    <t>C01208</t>
  </si>
  <si>
    <t>Soulac Plage</t>
  </si>
  <si>
    <t>33806819000010</t>
  </si>
  <si>
    <t>C01209</t>
  </si>
  <si>
    <t>Camping Séquoia Parc SNC</t>
  </si>
  <si>
    <t>0</t>
  </si>
  <si>
    <t>C01210</t>
  </si>
  <si>
    <t>CAMPING LE LITTORAL SNC</t>
  </si>
  <si>
    <t>37875643100029</t>
  </si>
  <si>
    <t>C01211</t>
  </si>
  <si>
    <t>31558995200037</t>
  </si>
  <si>
    <t>C01212</t>
  </si>
  <si>
    <t>CAMPING LE RANOLIEN SCS</t>
  </si>
  <si>
    <t>59202846800045</t>
  </si>
  <si>
    <t>C01214</t>
  </si>
  <si>
    <t>HOTEL HYATT CHANTILLY</t>
  </si>
  <si>
    <t>79353275500014</t>
  </si>
  <si>
    <t>C01215</t>
  </si>
  <si>
    <t>CAPSUM</t>
  </si>
  <si>
    <t>50880608000042</t>
  </si>
  <si>
    <t>C01216</t>
  </si>
  <si>
    <t>ARVAL BNP PARIBAS</t>
  </si>
  <si>
    <t>35225642401048</t>
  </si>
  <si>
    <t>C01221</t>
  </si>
  <si>
    <t>IES</t>
  </si>
  <si>
    <t>C01222</t>
  </si>
  <si>
    <t>Mairie de Montpellier</t>
  </si>
  <si>
    <t>C01223</t>
  </si>
  <si>
    <t>ENEDIS TOULOUSE</t>
  </si>
  <si>
    <t>44460844214431</t>
  </si>
  <si>
    <t>C01224</t>
  </si>
  <si>
    <t>GENFIT</t>
  </si>
  <si>
    <t>42434190700022</t>
  </si>
  <si>
    <t>C01225</t>
  </si>
  <si>
    <t>SASU EG RETAIL FRANCE SAS</t>
  </si>
  <si>
    <t>43979381100035</t>
  </si>
  <si>
    <t>C01226</t>
  </si>
  <si>
    <t>CAMPING LA PERLE</t>
  </si>
  <si>
    <t>81208997700019</t>
  </si>
  <si>
    <t>C01227</t>
  </si>
  <si>
    <t>SAS SHAKE INVEST</t>
  </si>
  <si>
    <t>C01229</t>
  </si>
  <si>
    <t>GIE ORTEC SERVICES</t>
  </si>
  <si>
    <t>35355093200027</t>
  </si>
  <si>
    <t>C01232</t>
  </si>
  <si>
    <t>ORTEC SERVICES ENVIRONNEMENT SASU</t>
  </si>
  <si>
    <t>79020892000013</t>
  </si>
  <si>
    <t>C01233</t>
  </si>
  <si>
    <t>ORTEC ENVIRONNEMENT SASU</t>
  </si>
  <si>
    <t>38967501800458</t>
  </si>
  <si>
    <t>C01234</t>
  </si>
  <si>
    <t>ORYS SASU</t>
  </si>
  <si>
    <t>C01235</t>
  </si>
  <si>
    <t>Q-PARK RECHARGE FRANCE SAS</t>
  </si>
  <si>
    <t>91187951800015</t>
  </si>
  <si>
    <t>C01237</t>
  </si>
  <si>
    <t>DIR INTER REG DES DOUANES RHONE-ALPE ETP</t>
  </si>
  <si>
    <t>17690230200015</t>
  </si>
  <si>
    <t>C01239</t>
  </si>
  <si>
    <t>IBIS VITROLLES - SNC TRAVEL INN MARIGNANE</t>
  </si>
  <si>
    <t>06580363700092</t>
  </si>
  <si>
    <t>C01240</t>
  </si>
  <si>
    <t>IBIS AIX EN PROVENCE SNC BARO</t>
  </si>
  <si>
    <t>34910156800013</t>
  </si>
  <si>
    <t>C01243</t>
  </si>
  <si>
    <t>Commune de BAIX</t>
  </si>
  <si>
    <t>21070022500019</t>
  </si>
  <si>
    <t>C01244</t>
  </si>
  <si>
    <t>LALLEMAND SAS</t>
  </si>
  <si>
    <t>40572019400068</t>
  </si>
  <si>
    <t>C01245</t>
  </si>
  <si>
    <t>CEGID</t>
  </si>
  <si>
    <t>41021801000032</t>
  </si>
  <si>
    <t>C01246</t>
  </si>
  <si>
    <t>MAYENA SAS</t>
  </si>
  <si>
    <t>40376158800017</t>
  </si>
  <si>
    <t>C01247</t>
  </si>
  <si>
    <t>SAS BREQUIN</t>
  </si>
  <si>
    <t>43006924500016</t>
  </si>
  <si>
    <t>C01248</t>
  </si>
  <si>
    <t>CAMPING UR ONEA -BIDART</t>
  </si>
  <si>
    <t>34060580700015</t>
  </si>
  <si>
    <t>C01249</t>
  </si>
  <si>
    <t>IKEA DEVELOPPEMENT SAS</t>
  </si>
  <si>
    <t>C01250</t>
  </si>
  <si>
    <t>HDC</t>
  </si>
  <si>
    <t>C01251</t>
  </si>
  <si>
    <t>SCI FRANCONVILLE ST MARCS</t>
  </si>
  <si>
    <t>C01252</t>
  </si>
  <si>
    <t>SCI DU LOT A1 PARIS NORD II</t>
  </si>
  <si>
    <t>C01253</t>
  </si>
  <si>
    <t>RENAULT TRUCKS GRAND PARIS</t>
  </si>
  <si>
    <t>44897025100089</t>
  </si>
  <si>
    <t>C01254</t>
  </si>
  <si>
    <t>SAS GERSALI</t>
  </si>
  <si>
    <t>C01258</t>
  </si>
  <si>
    <t>KENVIN SAS</t>
  </si>
  <si>
    <t>40789377500046</t>
  </si>
  <si>
    <t>C01259</t>
  </si>
  <si>
    <t>DITHIL SAS</t>
  </si>
  <si>
    <t>40497837100015</t>
  </si>
  <si>
    <t>C01263</t>
  </si>
  <si>
    <t>SAS ANTERINEL</t>
  </si>
  <si>
    <t>38399585900014</t>
  </si>
  <si>
    <t>C01264</t>
  </si>
  <si>
    <t>SAS ROCHEX</t>
  </si>
  <si>
    <t>34529353400011</t>
  </si>
  <si>
    <t>C01265</t>
  </si>
  <si>
    <t>SAS SOCIETE GRAMOI</t>
  </si>
  <si>
    <t>C01267</t>
  </si>
  <si>
    <t>SAS SABLONNIERE DISTRIBUTION</t>
  </si>
  <si>
    <t>32049818100025</t>
  </si>
  <si>
    <t>C01268</t>
  </si>
  <si>
    <t>SAS LEODE</t>
  </si>
  <si>
    <t>C01269</t>
  </si>
  <si>
    <t>SA PATAY DISTRIBUTION</t>
  </si>
  <si>
    <t>39752444800016</t>
  </si>
  <si>
    <t>C01270</t>
  </si>
  <si>
    <t>SAS ESPERELOT</t>
  </si>
  <si>
    <t>C01271</t>
  </si>
  <si>
    <t>SAS VERANBERT</t>
  </si>
  <si>
    <t>41493700300021</t>
  </si>
  <si>
    <t>C01273</t>
  </si>
  <si>
    <t>SA MOPATHY</t>
  </si>
  <si>
    <t>C01275</t>
  </si>
  <si>
    <t>SAS SAPAGE</t>
  </si>
  <si>
    <t>38246470900023</t>
  </si>
  <si>
    <t>C01276</t>
  </si>
  <si>
    <t>SAS UNICELLES</t>
  </si>
  <si>
    <t>31449062400033</t>
  </si>
  <si>
    <t>C01277</t>
  </si>
  <si>
    <t>SAS LHOSPITAL ET FILS</t>
  </si>
  <si>
    <t>30652352300042</t>
  </si>
  <si>
    <t>C00531</t>
  </si>
  <si>
    <t>SA GARAGE TERRIEN</t>
  </si>
  <si>
    <t>35210799900018</t>
  </si>
  <si>
    <t>C00532</t>
  </si>
  <si>
    <t>Communauté de Communes du Pays de Wissembourg</t>
  </si>
  <si>
    <t>24670092600057</t>
  </si>
  <si>
    <t>C00533</t>
  </si>
  <si>
    <t>UNION AGRICOLE DES PAYS DE LA LOIRE</t>
  </si>
  <si>
    <t>C00534</t>
  </si>
  <si>
    <t>Bouygues Immobilier Bayonne</t>
  </si>
  <si>
    <t>C00535</t>
  </si>
  <si>
    <t>PROMOLOGIS GENDARMERIE AUTERVIVE</t>
  </si>
  <si>
    <t>69080205300023</t>
  </si>
  <si>
    <t>C00536</t>
  </si>
  <si>
    <t>SAS AMELIE INVEST HOTEL</t>
  </si>
  <si>
    <t>C00537</t>
  </si>
  <si>
    <t>FAM LE CLAIR BOIS</t>
  </si>
  <si>
    <t>34872383400019</t>
  </si>
  <si>
    <t>C00538</t>
  </si>
  <si>
    <t>GARAGE RENAULT FIDALGO</t>
  </si>
  <si>
    <t>77563764800038</t>
  </si>
  <si>
    <t>C00539</t>
  </si>
  <si>
    <t>METRE CARRE</t>
  </si>
  <si>
    <t>49244230600022</t>
  </si>
  <si>
    <t>C00540</t>
  </si>
  <si>
    <t>VEEPEE</t>
  </si>
  <si>
    <t>43431729300018</t>
  </si>
  <si>
    <t>C00541</t>
  </si>
  <si>
    <t>CAMPING LOU SEURROTS</t>
  </si>
  <si>
    <t>98722001900036</t>
  </si>
  <si>
    <t>C00542</t>
  </si>
  <si>
    <t>CREDIT AGRICOLE DU MORBIHAN</t>
  </si>
  <si>
    <t>77790381600026</t>
  </si>
  <si>
    <t>C00543</t>
  </si>
  <si>
    <t>ASS MONTJOYE DISPOSITIF RELANCES</t>
  </si>
  <si>
    <t>C00544</t>
  </si>
  <si>
    <t>LA PLAGE ARGELES</t>
  </si>
  <si>
    <t>84203246800014</t>
  </si>
  <si>
    <t>C00545</t>
  </si>
  <si>
    <t>DEBE</t>
  </si>
  <si>
    <t>C00546</t>
  </si>
  <si>
    <t>BLANCHON GROUPE</t>
  </si>
  <si>
    <t>39011288600085</t>
  </si>
  <si>
    <t>C00547</t>
  </si>
  <si>
    <t>EOLANE DOUARNENEZ _ Demande d'approvisionnement</t>
  </si>
  <si>
    <t>C00548</t>
  </si>
  <si>
    <t>KAFREMBO</t>
  </si>
  <si>
    <t>42467015600035</t>
  </si>
  <si>
    <t>C00549</t>
  </si>
  <si>
    <t>Université Lyon 1</t>
  </si>
  <si>
    <t>19691774400019</t>
  </si>
  <si>
    <t>C00550</t>
  </si>
  <si>
    <t>SPORTFIVE EMEA</t>
  </si>
  <si>
    <t>45375907800059</t>
  </si>
  <si>
    <t>C00551</t>
  </si>
  <si>
    <t>NEUILLY CHATEAU</t>
  </si>
  <si>
    <t>57205373400040</t>
  </si>
  <si>
    <t>C00552</t>
  </si>
  <si>
    <t>BIOMERIEUX</t>
  </si>
  <si>
    <t>C00553</t>
  </si>
  <si>
    <t>COMMUNE DE MARCOUSSIS</t>
  </si>
  <si>
    <t>C00554</t>
  </si>
  <si>
    <t>Leclerc Saint vincent</t>
  </si>
  <si>
    <t>31016241700086</t>
  </si>
  <si>
    <t>C00555</t>
  </si>
  <si>
    <t>CSP PARIS FASHION GROUP - PARIS</t>
  </si>
  <si>
    <t>41031726700038</t>
  </si>
  <si>
    <t>C00556</t>
  </si>
  <si>
    <t>ORECO - TREILLIERES</t>
  </si>
  <si>
    <t>31274483200089</t>
  </si>
  <si>
    <t>C00557</t>
  </si>
  <si>
    <t>STIL PLATRES</t>
  </si>
  <si>
    <t>C00559</t>
  </si>
  <si>
    <t>GROUPE INCA</t>
  </si>
  <si>
    <t>83085868400020</t>
  </si>
  <si>
    <t>C00560</t>
  </si>
  <si>
    <t>CENTRE D'AFFAIRES LE CONCORDE</t>
  </si>
  <si>
    <t>44520850700019</t>
  </si>
  <si>
    <t>C00562</t>
  </si>
  <si>
    <t>TESTO FORBACH</t>
  </si>
  <si>
    <t>31503063500066</t>
  </si>
  <si>
    <t>C00563</t>
  </si>
  <si>
    <t>GIACOMINI</t>
  </si>
  <si>
    <t>C00565</t>
  </si>
  <si>
    <t>PRODUCTEURS PLAIMONT</t>
  </si>
  <si>
    <t>31768523800014</t>
  </si>
  <si>
    <t>C00566</t>
  </si>
  <si>
    <t>CARIMA LA JARDINIERE BAOBAB</t>
  </si>
  <si>
    <t>44073177600017</t>
  </si>
  <si>
    <t>C00567</t>
  </si>
  <si>
    <t>CAMPING DU LAVEDAN</t>
  </si>
  <si>
    <t>38106948300018</t>
  </si>
  <si>
    <t>C00568</t>
  </si>
  <si>
    <t>Hotel CARCARILLE</t>
  </si>
  <si>
    <t>38380678300015</t>
  </si>
  <si>
    <t>C00569</t>
  </si>
  <si>
    <t>MC 2</t>
  </si>
  <si>
    <t>41789734500019</t>
  </si>
  <si>
    <t>C00570</t>
  </si>
  <si>
    <t>EPONA</t>
  </si>
  <si>
    <t>84129188300012</t>
  </si>
  <si>
    <t>C00571</t>
  </si>
  <si>
    <t>OC RESIDENCES SAS</t>
  </si>
  <si>
    <t>C00572</t>
  </si>
  <si>
    <t>CREAGENCEMENTS</t>
  </si>
  <si>
    <t>C00573</t>
  </si>
  <si>
    <t>HOTEL ESTELOU</t>
  </si>
  <si>
    <t>80120585700023</t>
  </si>
  <si>
    <t>C00574</t>
  </si>
  <si>
    <t>GILLOT SAS</t>
  </si>
  <si>
    <t>C00575</t>
  </si>
  <si>
    <t>FRAENKISCHE FRANCE</t>
  </si>
  <si>
    <t>C00577</t>
  </si>
  <si>
    <t>PCE SERVICES</t>
  </si>
  <si>
    <t>53019400000051</t>
  </si>
  <si>
    <t>C00578</t>
  </si>
  <si>
    <t>ELECTRIC VEHICULES MOBILITY</t>
  </si>
  <si>
    <t>89988695600015</t>
  </si>
  <si>
    <t>C00579</t>
  </si>
  <si>
    <t>HOTRAVAIL IN MARCIAC</t>
  </si>
  <si>
    <t>C00580</t>
  </si>
  <si>
    <t>GRAND CASINO DE BANDOL</t>
  </si>
  <si>
    <t>C00581</t>
  </si>
  <si>
    <t>HUHTAMAKI</t>
  </si>
  <si>
    <t>54645045300016</t>
  </si>
  <si>
    <t>C00582</t>
  </si>
  <si>
    <t>RESIDE ETUDES SENIORS PAU</t>
  </si>
  <si>
    <t>C00583</t>
  </si>
  <si>
    <t>MAISON PIERRE OTEIZA</t>
  </si>
  <si>
    <t>39195280100010</t>
  </si>
  <si>
    <t>C00584</t>
  </si>
  <si>
    <t>Uni-Commerces - C/O ESPACE EXPANSION</t>
  </si>
  <si>
    <t>32399869000461</t>
  </si>
  <si>
    <t>C00585</t>
  </si>
  <si>
    <t>GREENYELLOW SAS</t>
  </si>
  <si>
    <t>C00586</t>
  </si>
  <si>
    <t>CISBIO BIOASSAYS</t>
  </si>
  <si>
    <t>51995498600013</t>
  </si>
  <si>
    <t>C00587</t>
  </si>
  <si>
    <t>SYNDICAT COPRO CCR VELIZY 2</t>
  </si>
  <si>
    <t>C00588</t>
  </si>
  <si>
    <t>UNION SYNDICATS COPRO CC V2</t>
  </si>
  <si>
    <t>C00589</t>
  </si>
  <si>
    <t>NUCLETUDES</t>
  </si>
  <si>
    <t>68203026700038</t>
  </si>
  <si>
    <t>C00251</t>
  </si>
  <si>
    <t>SADE</t>
  </si>
  <si>
    <t>56207750302584</t>
  </si>
  <si>
    <t>C00255</t>
  </si>
  <si>
    <t>REGION HAUTS DE FRANCE</t>
  </si>
  <si>
    <t>20005374200025</t>
  </si>
  <si>
    <t>C00256</t>
  </si>
  <si>
    <t>EG SERVICES FRANCE</t>
  </si>
  <si>
    <t>C00257</t>
  </si>
  <si>
    <t>C00258</t>
  </si>
  <si>
    <t>Montagné</t>
  </si>
  <si>
    <t>49814715600075</t>
  </si>
  <si>
    <t>C00259</t>
  </si>
  <si>
    <t>COMU CC COTE D'ALBATRE</t>
  </si>
  <si>
    <t>C00260</t>
  </si>
  <si>
    <t>SEMECO</t>
  </si>
  <si>
    <t>35298060100046</t>
  </si>
  <si>
    <t>C00262</t>
  </si>
  <si>
    <t>COMMUNE DE WISSEMBOURG</t>
  </si>
  <si>
    <t>21670544200012</t>
  </si>
  <si>
    <t>C00263</t>
  </si>
  <si>
    <t>COMMUNE DE SCHWEIGHOUSE SUR MODER</t>
  </si>
  <si>
    <t>21670458500019</t>
  </si>
  <si>
    <t>C00264</t>
  </si>
  <si>
    <t>IOTECHA</t>
  </si>
  <si>
    <t>ETATS-UNIS D'AMERIQU</t>
  </si>
  <si>
    <t>C00265</t>
  </si>
  <si>
    <t>COMU CC DU PAYS DE STENAY ET DU VAL DUNOI</t>
  </si>
  <si>
    <t>C00266</t>
  </si>
  <si>
    <t>ECOLE POLYTECHNIQUE</t>
  </si>
  <si>
    <t>32424060500075</t>
  </si>
  <si>
    <t>C00268</t>
  </si>
  <si>
    <t>NEUILLY-SUR-SEINE</t>
  </si>
  <si>
    <t>C00269</t>
  </si>
  <si>
    <t>CC DU HAUT PAYS DU MONTREUILLOIS</t>
  </si>
  <si>
    <t>C00270</t>
  </si>
  <si>
    <t>DOMOFRANCE</t>
  </si>
  <si>
    <t>C00272</t>
  </si>
  <si>
    <t>REALEASE CAPITAL</t>
  </si>
  <si>
    <t>43380986000037</t>
  </si>
  <si>
    <t>C00273</t>
  </si>
  <si>
    <t>SSP PROVINCE</t>
  </si>
  <si>
    <t>C00275</t>
  </si>
  <si>
    <t>49839632400093</t>
  </si>
  <si>
    <t>C00277</t>
  </si>
  <si>
    <t>DEPARTEMENT DE MEURTHE ET MOSELLE</t>
  </si>
  <si>
    <t>22540001900785</t>
  </si>
  <si>
    <t>C00278</t>
  </si>
  <si>
    <t>PETR DU PAYS DU LUNEVILLOIS</t>
  </si>
  <si>
    <t>20005113400043</t>
  </si>
  <si>
    <t>C00279</t>
  </si>
  <si>
    <t>EPCI COLOMBEY ET SUD TOULOIS</t>
  </si>
  <si>
    <t>24540051000013</t>
  </si>
  <si>
    <t>C00283</t>
  </si>
  <si>
    <t>DUFERCO ENERGIA S.P.A</t>
  </si>
  <si>
    <t>C00285</t>
  </si>
  <si>
    <t>Société des Automobiles Alpine</t>
  </si>
  <si>
    <t>C00286</t>
  </si>
  <si>
    <t>E. LECLERC - SODIPLEC</t>
  </si>
  <si>
    <t>C00287</t>
  </si>
  <si>
    <t>49814715600018</t>
  </si>
  <si>
    <t>C00288</t>
  </si>
  <si>
    <t>SARL SESAR</t>
  </si>
  <si>
    <t>C00289</t>
  </si>
  <si>
    <t>SARL DALOU</t>
  </si>
  <si>
    <t>C00290</t>
  </si>
  <si>
    <t>B2M PERFORMANCE</t>
  </si>
  <si>
    <t>C00291</t>
  </si>
  <si>
    <t>ESSO Les Corbières</t>
  </si>
  <si>
    <t>C00292</t>
  </si>
  <si>
    <t>49966581800120</t>
  </si>
  <si>
    <t>C00295</t>
  </si>
  <si>
    <t>78013017511478</t>
  </si>
  <si>
    <t>C00296</t>
  </si>
  <si>
    <t>C00299</t>
  </si>
  <si>
    <t>CINEVILLE</t>
  </si>
  <si>
    <t>C00300</t>
  </si>
  <si>
    <t>COMMUNE DE LA GARENNE COLOMBES</t>
  </si>
  <si>
    <t>21920035900012</t>
  </si>
  <si>
    <t>C00301</t>
  </si>
  <si>
    <t>INOLYA</t>
  </si>
  <si>
    <t>C00302</t>
  </si>
  <si>
    <t>Luminus</t>
  </si>
  <si>
    <t>BELGIQUE</t>
  </si>
  <si>
    <t>C00303</t>
  </si>
  <si>
    <t>CREDIT AGRICOLE - QUIMPER</t>
  </si>
  <si>
    <t>77813460100013</t>
  </si>
  <si>
    <t>C00304</t>
  </si>
  <si>
    <t>SMART ENTREPRISE</t>
  </si>
  <si>
    <t>C00305</t>
  </si>
  <si>
    <t>UNIBAIL CAGNES SUR MER</t>
  </si>
  <si>
    <t>C00306</t>
  </si>
  <si>
    <t>DREEV</t>
  </si>
  <si>
    <t>84432463200026</t>
  </si>
  <si>
    <t>C00307</t>
  </si>
  <si>
    <t>SIGEIF</t>
  </si>
  <si>
    <t>20005043300024</t>
  </si>
  <si>
    <t>C00308</t>
  </si>
  <si>
    <t>Renault Sport Racing</t>
  </si>
  <si>
    <t>C00310</t>
  </si>
  <si>
    <t>ZE-WATT</t>
  </si>
  <si>
    <t>81084229400045</t>
  </si>
  <si>
    <t>C00311</t>
  </si>
  <si>
    <t>Eneco eMobility B.V.</t>
  </si>
  <si>
    <t>C00312</t>
  </si>
  <si>
    <t>EVBOX B.V.</t>
  </si>
  <si>
    <t>C00313</t>
  </si>
  <si>
    <t>GreenFlux Assets</t>
  </si>
  <si>
    <t>C00314</t>
  </si>
  <si>
    <t>JUSTPLUGIN B.V.</t>
  </si>
  <si>
    <t>C00315</t>
  </si>
  <si>
    <t>VANDEBRON ENERGIE B.V.</t>
  </si>
  <si>
    <t>C00316</t>
  </si>
  <si>
    <t>Blue Corner</t>
  </si>
  <si>
    <t>C00317</t>
  </si>
  <si>
    <t>ChargePoint Network B.V.</t>
  </si>
  <si>
    <t>C00318</t>
  </si>
  <si>
    <t>ChargePoint Austria GmbH</t>
  </si>
  <si>
    <t>AUTRICHE</t>
  </si>
  <si>
    <t>C00319</t>
  </si>
  <si>
    <t>KEOLIS METROPOLE ORLEANS</t>
  </si>
  <si>
    <t>83390859300027</t>
  </si>
  <si>
    <t>C00321</t>
  </si>
  <si>
    <t>DEBESSAC</t>
  </si>
  <si>
    <t>95059966200018</t>
  </si>
  <si>
    <t>C00322</t>
  </si>
  <si>
    <t>CLERMONT AUVERGNE METROPOLE</t>
  </si>
  <si>
    <t>24630070100231</t>
  </si>
  <si>
    <t>C00324</t>
  </si>
  <si>
    <t>Ville de Coulommiers</t>
  </si>
  <si>
    <t>C00325</t>
  </si>
  <si>
    <t>Mairie de Trilport</t>
  </si>
  <si>
    <t>C00326</t>
  </si>
  <si>
    <t>CCI CALAIS</t>
  </si>
  <si>
    <t>13002271800071</t>
  </si>
  <si>
    <t>C00327</t>
  </si>
  <si>
    <t>VILLE DE SAINT GRATIEN</t>
  </si>
  <si>
    <t>C00328</t>
  </si>
  <si>
    <t>BEAUVAIS STATIONNEMENT</t>
  </si>
  <si>
    <t>C00329</t>
  </si>
  <si>
    <t>INDIGO INFRA CGST</t>
  </si>
  <si>
    <t>C00330</t>
  </si>
  <si>
    <t>SDEG 16 Mobive</t>
  </si>
  <si>
    <t>25160006000031</t>
  </si>
  <si>
    <t>C00331</t>
  </si>
  <si>
    <t>SDEER 17</t>
  </si>
  <si>
    <t>25170219700012</t>
  </si>
  <si>
    <t>C00332</t>
  </si>
  <si>
    <t>FDEE 19</t>
  </si>
  <si>
    <t>C00333</t>
  </si>
  <si>
    <t>SYNDICAT DE LA DIEGE</t>
  </si>
  <si>
    <t>20007894700013</t>
  </si>
  <si>
    <t>C00334</t>
  </si>
  <si>
    <t>SDE 24</t>
  </si>
  <si>
    <t>25240147600012</t>
  </si>
  <si>
    <t>C00335</t>
  </si>
  <si>
    <t>SDEEG 33</t>
  </si>
  <si>
    <t>25330347300057</t>
  </si>
  <si>
    <t>C00336</t>
  </si>
  <si>
    <t>SYDEC 40</t>
  </si>
  <si>
    <t>25400139900065</t>
  </si>
  <si>
    <t>C00337</t>
  </si>
  <si>
    <t>TE 47 Mobive</t>
  </si>
  <si>
    <t>25470182400016</t>
  </si>
  <si>
    <t>C00338</t>
  </si>
  <si>
    <t>SDEPA 64</t>
  </si>
  <si>
    <t>25640204100014</t>
  </si>
  <si>
    <t>C00339</t>
  </si>
  <si>
    <t>Syndicat Energies Haute Vienne - SEHV</t>
  </si>
  <si>
    <t>25870858500033</t>
  </si>
  <si>
    <t>C00342</t>
  </si>
  <si>
    <t>Mairie de HEILLECOURT</t>
  </si>
  <si>
    <t>21540257900019</t>
  </si>
  <si>
    <t>C00343</t>
  </si>
  <si>
    <t>COMMUNAUTE DE COMMUNES MOSELLE ET MA</t>
  </si>
  <si>
    <t>24540017100048</t>
  </si>
  <si>
    <t>C00344</t>
  </si>
  <si>
    <t>ZENPARK</t>
  </si>
  <si>
    <t>53752714500024</t>
  </si>
  <si>
    <t>C00345</t>
  </si>
  <si>
    <t>INDIGO INFRA</t>
  </si>
  <si>
    <t>C00346</t>
  </si>
  <si>
    <t>SEMVR- ville de Roubaix Parabole, Bl</t>
  </si>
  <si>
    <t>31869720800169</t>
  </si>
  <si>
    <t>C01001</t>
  </si>
  <si>
    <t>LE VIEUX PORT</t>
  </si>
  <si>
    <t>43383917200015</t>
  </si>
  <si>
    <t>C01002</t>
  </si>
  <si>
    <t>HOLDING FINANCIERE CIUCH</t>
  </si>
  <si>
    <t>C01003</t>
  </si>
  <si>
    <t>CAMPING LA MARINA - MESSANGES</t>
  </si>
  <si>
    <t>C01004</t>
  </si>
  <si>
    <t>K+S FRANCE SITE DE DOMBASLE</t>
  </si>
  <si>
    <t>41498294200024</t>
  </si>
  <si>
    <t>C01005</t>
  </si>
  <si>
    <t>MEDITRANS - ROMILLY SUR SEINE</t>
  </si>
  <si>
    <t>C01006</t>
  </si>
  <si>
    <t>C01007</t>
  </si>
  <si>
    <t>47756406600066</t>
  </si>
  <si>
    <t>C01008</t>
  </si>
  <si>
    <t>EXAGONE SAS Hyper U LES HERBIERS</t>
  </si>
  <si>
    <t>79071075000015</t>
  </si>
  <si>
    <t>C01009</t>
  </si>
  <si>
    <t>LECLERC SAUMUR</t>
  </si>
  <si>
    <t>88273607700018</t>
  </si>
  <si>
    <t>C01010</t>
  </si>
  <si>
    <t>SOLAIDIS-SUPER U PONT D'AIN</t>
  </si>
  <si>
    <t>33028384700037</t>
  </si>
  <si>
    <t>C01011</t>
  </si>
  <si>
    <t>GALEDIS SAS Super U Reze</t>
  </si>
  <si>
    <t>44496339100016</t>
  </si>
  <si>
    <t>C01012</t>
  </si>
  <si>
    <t>CAMPING LE PARADIS</t>
  </si>
  <si>
    <t>38498638600017</t>
  </si>
  <si>
    <t>C01013</t>
  </si>
  <si>
    <t>FCDIS SAS</t>
  </si>
  <si>
    <t>C01014</t>
  </si>
  <si>
    <t>CLEMA SARL Hyper U ChateauBriant</t>
  </si>
  <si>
    <t>48515439700023</t>
  </si>
  <si>
    <t>C01016</t>
  </si>
  <si>
    <t>FLAMENLYS Super U Terdeghem</t>
  </si>
  <si>
    <t>40226241400012</t>
  </si>
  <si>
    <t>C01018</t>
  </si>
  <si>
    <t>SNC CLEMENT ADER</t>
  </si>
  <si>
    <t>49438542000026</t>
  </si>
  <si>
    <t>C01022</t>
  </si>
  <si>
    <t>FESTINA</t>
  </si>
  <si>
    <t>49503680800014</t>
  </si>
  <si>
    <t>C01024</t>
  </si>
  <si>
    <t>HOTEL EN BOURGOGNE</t>
  </si>
  <si>
    <t>80390691600025</t>
  </si>
  <si>
    <t>C01025</t>
  </si>
  <si>
    <t>EDEIS AEROPORT CHERBOURG</t>
  </si>
  <si>
    <t>51468383800015</t>
  </si>
  <si>
    <t>C01026</t>
  </si>
  <si>
    <t>GAZZELLA ATLANTIQUE SARL</t>
  </si>
  <si>
    <t>53776728700015</t>
  </si>
  <si>
    <t>C01027</t>
  </si>
  <si>
    <t>Société des Pétroles Shell</t>
  </si>
  <si>
    <t>78013017514688</t>
  </si>
  <si>
    <t>C01029</t>
  </si>
  <si>
    <t>SOMEDIS SAS</t>
  </si>
  <si>
    <t>C01030</t>
  </si>
  <si>
    <t>YZEE SERVICES</t>
  </si>
  <si>
    <t>C01031</t>
  </si>
  <si>
    <t>AINCIA SAS</t>
  </si>
  <si>
    <t>40155657600015</t>
  </si>
  <si>
    <t>C01032</t>
  </si>
  <si>
    <t>GRECA SAS</t>
  </si>
  <si>
    <t>32875930300014</t>
  </si>
  <si>
    <t>C01033</t>
  </si>
  <si>
    <t>EUROPE 1 IMMOBILIER - LAGARDERE NEWS</t>
  </si>
  <si>
    <t>62200995900033</t>
  </si>
  <si>
    <t>C01034</t>
  </si>
  <si>
    <t>SASEB SAS</t>
  </si>
  <si>
    <t>87851306800022</t>
  </si>
  <si>
    <t>C01035</t>
  </si>
  <si>
    <t>LEATWO SAS</t>
  </si>
  <si>
    <t>83876662400012</t>
  </si>
  <si>
    <t>C01036</t>
  </si>
  <si>
    <t>VICAL SAS</t>
  </si>
  <si>
    <t>35315215000028</t>
  </si>
  <si>
    <t>C01037</t>
  </si>
  <si>
    <t>SABOURG SA</t>
  </si>
  <si>
    <t>40120504200013</t>
  </si>
  <si>
    <t>C01039</t>
  </si>
  <si>
    <t>SODIMARCO SAS</t>
  </si>
  <si>
    <t>92662021200023</t>
  </si>
  <si>
    <t>C01040</t>
  </si>
  <si>
    <t>MEBACOM</t>
  </si>
  <si>
    <t>83929111900015</t>
  </si>
  <si>
    <t>C01041</t>
  </si>
  <si>
    <t>ALIENOR SAS</t>
  </si>
  <si>
    <t>C01042</t>
  </si>
  <si>
    <t>LICARON SAS</t>
  </si>
  <si>
    <t>38134619600011</t>
  </si>
  <si>
    <t>C01043</t>
  </si>
  <si>
    <t>SENOS SAS</t>
  </si>
  <si>
    <t>C01044</t>
  </si>
  <si>
    <t>LEAPOL SA</t>
  </si>
  <si>
    <t>C01047</t>
  </si>
  <si>
    <t>DAGANE SAS</t>
  </si>
  <si>
    <t>80824170700013</t>
  </si>
  <si>
    <t>C01050</t>
  </si>
  <si>
    <t>SERYSAVOIE SAS</t>
  </si>
  <si>
    <t>88895945900023</t>
  </si>
  <si>
    <t>C01051</t>
  </si>
  <si>
    <t>ULENE</t>
  </si>
  <si>
    <t>38895607000014</t>
  </si>
  <si>
    <t>C01052</t>
  </si>
  <si>
    <t>SAV'HOTEL</t>
  </si>
  <si>
    <t>74984439500022</t>
  </si>
  <si>
    <t>C01054</t>
  </si>
  <si>
    <t>UNION AGRICOLE DES PAYS DE LOIRE - THOUARCE</t>
  </si>
  <si>
    <t>C01055</t>
  </si>
  <si>
    <t>UNION AGRICOLE DES PAYS DE LOIRE - HAUT THOUARCE</t>
  </si>
  <si>
    <t>C01056</t>
  </si>
  <si>
    <t>SASRY SARL</t>
  </si>
  <si>
    <t>C01057</t>
  </si>
  <si>
    <t>SEDEL SAS</t>
  </si>
  <si>
    <t>34475096300011</t>
  </si>
  <si>
    <t>C01059</t>
  </si>
  <si>
    <t>LINAFAGE SAS</t>
  </si>
  <si>
    <t>34179650600010</t>
  </si>
  <si>
    <t>C01060</t>
  </si>
  <si>
    <t>BOISAMAX</t>
  </si>
  <si>
    <t>82231632900017</t>
  </si>
  <si>
    <t>C01061</t>
  </si>
  <si>
    <t>CAMPING PARADIS LES ROCHELETS</t>
  </si>
  <si>
    <t>48094701900026</t>
  </si>
  <si>
    <t>C01062</t>
  </si>
  <si>
    <t>TIMOSA SAS</t>
  </si>
  <si>
    <t>40094780000019</t>
  </si>
  <si>
    <t>C01063</t>
  </si>
  <si>
    <t>TRAVENNE SAS</t>
  </si>
  <si>
    <t>C01064</t>
  </si>
  <si>
    <t>TOCAPRE SA</t>
  </si>
  <si>
    <t>42945907600015</t>
  </si>
  <si>
    <t>C01065</t>
  </si>
  <si>
    <t>SOREBA SAS</t>
  </si>
  <si>
    <t>C01066</t>
  </si>
  <si>
    <t>SAINT MARCEL DISTRIBUTION SA</t>
  </si>
  <si>
    <t>31635996700015</t>
  </si>
  <si>
    <t>C01067</t>
  </si>
  <si>
    <t>NARDELLE SAS</t>
  </si>
  <si>
    <t>83472033600017</t>
  </si>
  <si>
    <t>C01068</t>
  </si>
  <si>
    <t>DRAZAH - CCE NETTO</t>
  </si>
  <si>
    <t>41505077200029</t>
  </si>
  <si>
    <t>C01069</t>
  </si>
  <si>
    <t>IBEVIANE BRICOMARCHE SAS</t>
  </si>
  <si>
    <t>39168161600010</t>
  </si>
  <si>
    <t>C01070</t>
  </si>
  <si>
    <t>LAMPROIE SAS</t>
  </si>
  <si>
    <t>43347333700015</t>
  </si>
  <si>
    <t>C01071</t>
  </si>
  <si>
    <t>DEVERT SAS</t>
  </si>
  <si>
    <t>40318469000028</t>
  </si>
  <si>
    <t>C01072</t>
  </si>
  <si>
    <t>MICHRIS</t>
  </si>
  <si>
    <t>40305532000010</t>
  </si>
  <si>
    <t>C01073</t>
  </si>
  <si>
    <t>ALOHA SAS</t>
  </si>
  <si>
    <t>38865702500010</t>
  </si>
  <si>
    <t>C01074</t>
  </si>
  <si>
    <t>LEBASKY SAS</t>
  </si>
  <si>
    <t>C01075</t>
  </si>
  <si>
    <t>ROPHIDINA SA</t>
  </si>
  <si>
    <t>39044366100017</t>
  </si>
  <si>
    <t>C01076</t>
  </si>
  <si>
    <t>FARMEL SAS</t>
  </si>
  <si>
    <t>44851754000044</t>
  </si>
  <si>
    <t>C01078</t>
  </si>
  <si>
    <t>SERDANES SAS</t>
  </si>
  <si>
    <t>48128126900011</t>
  </si>
  <si>
    <t>C01079</t>
  </si>
  <si>
    <t>LEBAL SAS</t>
  </si>
  <si>
    <t>33784962400016</t>
  </si>
  <si>
    <t>C01080</t>
  </si>
  <si>
    <t>CAMBANGE SAS</t>
  </si>
  <si>
    <t>48821294500015</t>
  </si>
  <si>
    <t>C01081</t>
  </si>
  <si>
    <t>BRIDECAR SAS</t>
  </si>
  <si>
    <t>33210749900029</t>
  </si>
  <si>
    <t>C01082</t>
  </si>
  <si>
    <t>BILLON BRICOLAGE SAS</t>
  </si>
  <si>
    <t>43884374000020</t>
  </si>
  <si>
    <t>C01083</t>
  </si>
  <si>
    <t>GEODA SAS</t>
  </si>
  <si>
    <t>49337389800029</t>
  </si>
  <si>
    <t>C01084</t>
  </si>
  <si>
    <t>SAS COURLANE</t>
  </si>
  <si>
    <t>41477047900023</t>
  </si>
  <si>
    <t>C01085</t>
  </si>
  <si>
    <t>MAELYA SAS</t>
  </si>
  <si>
    <t>51806816800013</t>
  </si>
  <si>
    <t>C01086</t>
  </si>
  <si>
    <t>EMIPRA SAS</t>
  </si>
  <si>
    <t>40329397000014</t>
  </si>
  <si>
    <t>C01087</t>
  </si>
  <si>
    <t>SEGEO</t>
  </si>
  <si>
    <t>87914902900016</t>
  </si>
  <si>
    <t>C01088</t>
  </si>
  <si>
    <t>HENNEBIHAN SAS</t>
  </si>
  <si>
    <t>79057022000026</t>
  </si>
  <si>
    <t>C01089</t>
  </si>
  <si>
    <t>PERA SA</t>
  </si>
  <si>
    <t>40121337600015</t>
  </si>
  <si>
    <t>C01090</t>
  </si>
  <si>
    <t>JAFRA SAS</t>
  </si>
  <si>
    <t>42991393200027</t>
  </si>
  <si>
    <t>C01091</t>
  </si>
  <si>
    <t>RUKIM SAS</t>
  </si>
  <si>
    <t>C01092</t>
  </si>
  <si>
    <t>GLEIZE DISTRIBUTION SAS</t>
  </si>
  <si>
    <t>90012018900015</t>
  </si>
  <si>
    <t>C01093</t>
  </si>
  <si>
    <t>LUCIANNE SAS</t>
  </si>
  <si>
    <t>39041290600013</t>
  </si>
  <si>
    <t>C01094</t>
  </si>
  <si>
    <t>3BMCR SAS</t>
  </si>
  <si>
    <t>51562041700011</t>
  </si>
  <si>
    <t>C01095</t>
  </si>
  <si>
    <t>HAVEA REAL ESTATE SAS</t>
  </si>
  <si>
    <t>37863786200038</t>
  </si>
  <si>
    <t>C01096</t>
  </si>
  <si>
    <t>JEUXEYBRI SAS</t>
  </si>
  <si>
    <t>84396586400021</t>
  </si>
  <si>
    <t>C01097</t>
  </si>
  <si>
    <t>ETABLISSEMENTS HARTMANN- COMESU SAS</t>
  </si>
  <si>
    <t>94595026900049</t>
  </si>
  <si>
    <t>C01098</t>
  </si>
  <si>
    <t>BAKITO SAS</t>
  </si>
  <si>
    <t>C01099</t>
  </si>
  <si>
    <t>ROMAX SAS</t>
  </si>
  <si>
    <t>81360204200018</t>
  </si>
  <si>
    <t>C01100</t>
  </si>
  <si>
    <t>HUSIC SAS</t>
  </si>
  <si>
    <t>83008509800028</t>
  </si>
  <si>
    <t>C01101</t>
  </si>
  <si>
    <t>KESE SAS</t>
  </si>
  <si>
    <t>44860977600027</t>
  </si>
  <si>
    <t>C01102</t>
  </si>
  <si>
    <t>KERLYPH SAS</t>
  </si>
  <si>
    <t>82015072000010</t>
  </si>
  <si>
    <t>C01103</t>
  </si>
  <si>
    <t>SOCIETE DE DISTRIBUTION DU PERCHE SAS</t>
  </si>
  <si>
    <t>99785860000023</t>
  </si>
  <si>
    <t>C01104</t>
  </si>
  <si>
    <t>LARY</t>
  </si>
  <si>
    <t>41179865500014</t>
  </si>
  <si>
    <t>C01105</t>
  </si>
  <si>
    <t>SOLVI SAS</t>
  </si>
  <si>
    <t>40044789200011</t>
  </si>
  <si>
    <t>C01107</t>
  </si>
  <si>
    <t>MABRILAUR SA</t>
  </si>
  <si>
    <t>41779781800016</t>
  </si>
  <si>
    <t>C01109</t>
  </si>
  <si>
    <t>MTB - CAMPING PLAGE DES AIGRETTES - SANGUINET</t>
  </si>
  <si>
    <t>45218397300018</t>
  </si>
  <si>
    <t>C01110</t>
  </si>
  <si>
    <t>CAMPING LOU PIGNADA</t>
  </si>
  <si>
    <t>C01111</t>
  </si>
  <si>
    <t>HEXAOM - MAISONS FRANCE CONFORT</t>
  </si>
  <si>
    <t>9572031400012</t>
  </si>
  <si>
    <t>C01112</t>
  </si>
  <si>
    <t>ZERAPP SA</t>
  </si>
  <si>
    <t>40109051900026</t>
  </si>
  <si>
    <t>C01113</t>
  </si>
  <si>
    <t>CAMPING KERZERHO</t>
  </si>
  <si>
    <t>C01114</t>
  </si>
  <si>
    <t>SAS HEURION</t>
  </si>
  <si>
    <t>81064113400012</t>
  </si>
  <si>
    <t>C01115</t>
  </si>
  <si>
    <t>CAMPING LA GARANGEOIRE</t>
  </si>
  <si>
    <t>30136532600018</t>
  </si>
  <si>
    <t>C01116</t>
  </si>
  <si>
    <t>SCI PLAISIR</t>
  </si>
  <si>
    <t>C01117</t>
  </si>
  <si>
    <t>GICUR SAS</t>
  </si>
  <si>
    <t>34126026300023</t>
  </si>
  <si>
    <t>C01118</t>
  </si>
  <si>
    <t>COLLÈGE CHABROUX</t>
  </si>
  <si>
    <t>20004697700019</t>
  </si>
  <si>
    <t>C01119</t>
  </si>
  <si>
    <t>CAP ESTEREL</t>
  </si>
  <si>
    <t>91225116200018</t>
  </si>
  <si>
    <t>C01120</t>
  </si>
  <si>
    <t>LYCEE DES METIERS</t>
  </si>
  <si>
    <t>C01121</t>
  </si>
  <si>
    <t>CLUB DU DOMAINE DES HTS DE VAUGRENIER</t>
  </si>
  <si>
    <t>31915023100011</t>
  </si>
  <si>
    <t>C01122</t>
  </si>
  <si>
    <t>RESIDE ETUDES SENIORS</t>
  </si>
  <si>
    <t>79748872300710</t>
  </si>
  <si>
    <t>C01123</t>
  </si>
  <si>
    <t>SIBILLE OUTILLAGE SAS</t>
  </si>
  <si>
    <t>43967878000024</t>
  </si>
  <si>
    <t>C01124</t>
  </si>
  <si>
    <t>MECANIQUE TOLERIE SERRURERIE SASU</t>
  </si>
  <si>
    <t>30176885900037</t>
  </si>
  <si>
    <t>C01125</t>
  </si>
  <si>
    <t>MOS INDUSTRIE</t>
  </si>
  <si>
    <t>34152233200061</t>
  </si>
  <si>
    <t>C01126</t>
  </si>
  <si>
    <t>ALROC SAS</t>
  </si>
  <si>
    <t>34105098700013</t>
  </si>
  <si>
    <t>C01127</t>
  </si>
  <si>
    <t>FAMECA SASU</t>
  </si>
  <si>
    <t>39333260600010</t>
  </si>
  <si>
    <t>C01128</t>
  </si>
  <si>
    <t>FAMECA ELECTRONICS SASU</t>
  </si>
  <si>
    <t>79913002600021</t>
  </si>
  <si>
    <t>C01129</t>
  </si>
  <si>
    <t>SIGNALISATION ET PUBLICITE SAS</t>
  </si>
  <si>
    <t>37320026000017</t>
  </si>
  <si>
    <t>C01130</t>
  </si>
  <si>
    <t>REGELTEX SAS</t>
  </si>
  <si>
    <t>30718078600047</t>
  </si>
  <si>
    <t>C01131</t>
  </si>
  <si>
    <t>SFDPI SAS</t>
  </si>
  <si>
    <t>32364845100033</t>
  </si>
  <si>
    <t>C01132</t>
  </si>
  <si>
    <t>SODIMAC SAS</t>
  </si>
  <si>
    <t>71204609300068</t>
  </si>
  <si>
    <t>C01133</t>
  </si>
  <si>
    <t>ELECTRO PJP SAS</t>
  </si>
  <si>
    <t>31608582800036</t>
  </si>
  <si>
    <t>C01134</t>
  </si>
  <si>
    <t>DETERGENCE INDUSTRIELLE FRANCAISE SAS</t>
  </si>
  <si>
    <t>30255522200033</t>
  </si>
  <si>
    <t>C01135</t>
  </si>
  <si>
    <t>GPT EUROPEEN TRAITEMENTS CHIMIQUES SAS</t>
  </si>
  <si>
    <t>30554448800037</t>
  </si>
  <si>
    <t>C01136</t>
  </si>
  <si>
    <t>DEVELOPPEMENT ACTIVITES CHIMIQUES DI SAS</t>
  </si>
  <si>
    <t>45323156500046</t>
  </si>
  <si>
    <t>C01137</t>
  </si>
  <si>
    <t>EDF Solutions Solaires (EDF ENR)</t>
  </si>
  <si>
    <t>21620413100017</t>
  </si>
  <si>
    <t>C01138</t>
  </si>
  <si>
    <t>SMURFIT KAPPA AQUITAINE AGENAIS SAS</t>
  </si>
  <si>
    <t>84645030200043</t>
  </si>
  <si>
    <t>C01139</t>
  </si>
  <si>
    <t>Smurfit Kappa Rhône-Alpes</t>
  </si>
  <si>
    <t>49325490800020</t>
  </si>
  <si>
    <t>C01141</t>
  </si>
  <si>
    <t>SMURFIT BAG IN BOX SA</t>
  </si>
  <si>
    <t>38373542000044</t>
  </si>
  <si>
    <t>C01144</t>
  </si>
  <si>
    <t>ETPACK</t>
  </si>
  <si>
    <t>35095622300027</t>
  </si>
  <si>
    <t>C01145</t>
  </si>
  <si>
    <t>SAS CAPIE</t>
  </si>
  <si>
    <t>32574160100018</t>
  </si>
  <si>
    <t>C01146</t>
  </si>
  <si>
    <t>GRAND PARIS SEINE OUEST</t>
  </si>
  <si>
    <t>C01147</t>
  </si>
  <si>
    <t>IDVU</t>
  </si>
  <si>
    <t>C00859</t>
  </si>
  <si>
    <t>ROSET</t>
  </si>
  <si>
    <t>54592007600068</t>
  </si>
  <si>
    <t>C00860</t>
  </si>
  <si>
    <t>NETTO DAMPIERRE-LES-BLOIS</t>
  </si>
  <si>
    <t>48026432400017</t>
  </si>
  <si>
    <t>C00861</t>
  </si>
  <si>
    <t>Confiserie du Roy René</t>
  </si>
  <si>
    <t>62162092100075</t>
  </si>
  <si>
    <t>C00864</t>
  </si>
  <si>
    <t>VILLAGE CORSAIRE 2 PLAGES</t>
  </si>
  <si>
    <t>47920470300017</t>
  </si>
  <si>
    <t>C00865</t>
  </si>
  <si>
    <t>SIMON SAS - AVALLON</t>
  </si>
  <si>
    <t>44272142900011</t>
  </si>
  <si>
    <t>C00866</t>
  </si>
  <si>
    <t>La Chaux Valorisation</t>
  </si>
  <si>
    <t>C00868</t>
  </si>
  <si>
    <t>REAL BLUE PROPERTY MANAG MEDITERRANEE</t>
  </si>
  <si>
    <t>83896197700017</t>
  </si>
  <si>
    <t>C00869</t>
  </si>
  <si>
    <t>Syndicat des Copropriétaires CCR Rosny 2</t>
  </si>
  <si>
    <t>C00870</t>
  </si>
  <si>
    <t>ASLEI CARRE SENART</t>
  </si>
  <si>
    <t>C00871</t>
  </si>
  <si>
    <t>RTE RESEAU DE TRANSPORT D ELECTRICITE SA</t>
  </si>
  <si>
    <t>C00872</t>
  </si>
  <si>
    <t>FIROKA HOSPITALITY EZE</t>
  </si>
  <si>
    <t>82123614800028</t>
  </si>
  <si>
    <t>C00875</t>
  </si>
  <si>
    <t>ALINEA - BEAUMONT DE LOMAGNE</t>
  </si>
  <si>
    <t>C00876</t>
  </si>
  <si>
    <t>ALINEA - LAUTREC</t>
  </si>
  <si>
    <t>C00880</t>
  </si>
  <si>
    <t>BLACK BASS SEVRIER</t>
  </si>
  <si>
    <t>33785803900015</t>
  </si>
  <si>
    <t>C00881</t>
  </si>
  <si>
    <t>SANDAYA LUZAC</t>
  </si>
  <si>
    <t>41029978800019</t>
  </si>
  <si>
    <t>C00882</t>
  </si>
  <si>
    <t>SANDAYA ST AUBIN SUR MER</t>
  </si>
  <si>
    <t>75117653800021</t>
  </si>
  <si>
    <t>C00883</t>
  </si>
  <si>
    <t>Camping Sandaya Atur LE GRAND DAGUE</t>
  </si>
  <si>
    <t>53367070900021</t>
  </si>
  <si>
    <t>C00884</t>
  </si>
  <si>
    <t>Camping Sandaya Plein air des chênes Clapiers</t>
  </si>
  <si>
    <t>46780049600011</t>
  </si>
  <si>
    <t>C00885</t>
  </si>
  <si>
    <t>camping sandaya camping les peneyrals Carlucet</t>
  </si>
  <si>
    <t>34153153100026</t>
  </si>
  <si>
    <t>C00886</t>
  </si>
  <si>
    <t>Sandaya Muides sur Loire chateau Marais</t>
  </si>
  <si>
    <t>80967554900038</t>
  </si>
  <si>
    <t>C00887</t>
  </si>
  <si>
    <t>Camping Sandaya Domaine du Verdon</t>
  </si>
  <si>
    <t>665009700014</t>
  </si>
  <si>
    <t>C00888</t>
  </si>
  <si>
    <t>Camping Sandaya Paris Maisons-Laffitte</t>
  </si>
  <si>
    <t>65272086300024</t>
  </si>
  <si>
    <t>C00889</t>
  </si>
  <si>
    <t>Camping sandaya soulac</t>
  </si>
  <si>
    <t>39444326100026</t>
  </si>
  <si>
    <t>C00892</t>
  </si>
  <si>
    <t>LAVOREL HOTELS - CHATEAU DE BAGNOLS</t>
  </si>
  <si>
    <t>C00893</t>
  </si>
  <si>
    <t>Lavorel Hôtel - PALACE DE MENTHON</t>
  </si>
  <si>
    <t>C00894</t>
  </si>
  <si>
    <t>PARC AUTO METEOR SPAM</t>
  </si>
  <si>
    <t>C00895</t>
  </si>
  <si>
    <t>CAISSE D'EPARGNE ET DE PREVOYANCE LOIRE</t>
  </si>
  <si>
    <t>38395247001746</t>
  </si>
  <si>
    <t>C00896</t>
  </si>
  <si>
    <t>CAMPING LES RESPOUNCHOUS</t>
  </si>
  <si>
    <t>50458874000010</t>
  </si>
  <si>
    <t>C00897</t>
  </si>
  <si>
    <t>MIPIOL INTERMARCHE</t>
  </si>
  <si>
    <t>33895972900017</t>
  </si>
  <si>
    <t>C00898</t>
  </si>
  <si>
    <t>EKOSPORT - 2F -FRASTEYA</t>
  </si>
  <si>
    <t>49531461900059</t>
  </si>
  <si>
    <t>C00900</t>
  </si>
  <si>
    <t>BET NERCO -  ECULLY</t>
  </si>
  <si>
    <t>C00902</t>
  </si>
  <si>
    <t>AUCHAN ENERGIES SNC</t>
  </si>
  <si>
    <t>31700734200015</t>
  </si>
  <si>
    <t>C00903</t>
  </si>
  <si>
    <t>Frais de développement</t>
  </si>
  <si>
    <t>C00904</t>
  </si>
  <si>
    <t>SABENA TECHNICS - MERGINAC</t>
  </si>
  <si>
    <t>48770604600025</t>
  </si>
  <si>
    <t>C00906</t>
  </si>
  <si>
    <t>CAMPING DE FIEF MELIN</t>
  </si>
  <si>
    <t>32362217500020</t>
  </si>
  <si>
    <t>C00907</t>
  </si>
  <si>
    <t>VIRBAC SA</t>
  </si>
  <si>
    <t>41735031100011</t>
  </si>
  <si>
    <t>C00909</t>
  </si>
  <si>
    <t>EURONAT - GRAYAN ET L'HOPITAL</t>
  </si>
  <si>
    <t>30247640300027</t>
  </si>
  <si>
    <t>C00910</t>
  </si>
  <si>
    <t>PARTOUCHE - CASINO DE DIEPPE</t>
  </si>
  <si>
    <t>78101587000038</t>
  </si>
  <si>
    <t>C00911</t>
  </si>
  <si>
    <t>CINELAND</t>
  </si>
  <si>
    <t>87805429500018</t>
  </si>
  <si>
    <t>C00914</t>
  </si>
  <si>
    <t>FRUITS ROUGES ET CO</t>
  </si>
  <si>
    <t>C00915</t>
  </si>
  <si>
    <t>Commune de Guignes</t>
  </si>
  <si>
    <t>C00916</t>
  </si>
  <si>
    <t>UNIVITIS</t>
  </si>
  <si>
    <t>33055838800014</t>
  </si>
  <si>
    <t>C00917</t>
  </si>
  <si>
    <t>TOPO ETUDES</t>
  </si>
  <si>
    <t>38369370200052</t>
  </si>
  <si>
    <t>C00918</t>
  </si>
  <si>
    <t>UNION FROMAGERE JEUNE MONTAGNE - LAGUIOLE</t>
  </si>
  <si>
    <t>77675830200041</t>
  </si>
  <si>
    <t>C00920</t>
  </si>
  <si>
    <t>KIAGIS - GISORS</t>
  </si>
  <si>
    <t>51030056900017</t>
  </si>
  <si>
    <t>C00921</t>
  </si>
  <si>
    <t>TEGOMETALL FRANCE</t>
  </si>
  <si>
    <t>39509944300057</t>
  </si>
  <si>
    <t>C00924</t>
  </si>
  <si>
    <t>CAMPING DU CRIN BLANC - ARLES</t>
  </si>
  <si>
    <t>48028030400019</t>
  </si>
  <si>
    <t>C00925</t>
  </si>
  <si>
    <t>STE UBAUD - LES PENNES MIRABEAU-</t>
  </si>
  <si>
    <t>35263844900020</t>
  </si>
  <si>
    <t>C00926</t>
  </si>
  <si>
    <t>LE LAZARET VILLAGE DE VACANCES - SETE</t>
  </si>
  <si>
    <t>77608667000010</t>
  </si>
  <si>
    <t>C00927</t>
  </si>
  <si>
    <t>INTERPOL - LYON</t>
  </si>
  <si>
    <t>78544746700024</t>
  </si>
  <si>
    <t>C00929</t>
  </si>
  <si>
    <t>FAIVELEY TRANSPORT TOURS</t>
  </si>
  <si>
    <t>48924388100013</t>
  </si>
  <si>
    <t>C00930</t>
  </si>
  <si>
    <t>JONATHAN EVENEMENTS</t>
  </si>
  <si>
    <t>35185839400130</t>
  </si>
  <si>
    <t>C00931</t>
  </si>
  <si>
    <t>LAMBERET</t>
  </si>
  <si>
    <t>51131629100026</t>
  </si>
  <si>
    <t>C00935</t>
  </si>
  <si>
    <t>ITM ACHATS NON MARCHANDS SA</t>
  </si>
  <si>
    <t>C00936</t>
  </si>
  <si>
    <t>REPORAMA</t>
  </si>
  <si>
    <t>61722036300015</t>
  </si>
  <si>
    <t>C00937</t>
  </si>
  <si>
    <t>INNATE PHARMA - MARSEILLE</t>
  </si>
  <si>
    <t>42436533600041</t>
  </si>
  <si>
    <t>C00939</t>
  </si>
  <si>
    <t>PARMENTIER LOISIRS</t>
  </si>
  <si>
    <t>43536850100019</t>
  </si>
  <si>
    <t>C00940</t>
  </si>
  <si>
    <t>MAIRIE DE COURRIERES</t>
  </si>
  <si>
    <t>21620250700010</t>
  </si>
  <si>
    <t>C00941</t>
  </si>
  <si>
    <t>RCV - VANNES</t>
  </si>
  <si>
    <t>82120600000019</t>
  </si>
  <si>
    <t>C00942</t>
  </si>
  <si>
    <t>GAZZELLA ATLANTIQUE</t>
  </si>
  <si>
    <t>C00943</t>
  </si>
  <si>
    <t>FINISTERE HABITAT</t>
  </si>
  <si>
    <t>39530185600013</t>
  </si>
  <si>
    <t>C00945</t>
  </si>
  <si>
    <t>MY MONEY BANK</t>
  </si>
  <si>
    <t>78439334002091</t>
  </si>
  <si>
    <t>C00946</t>
  </si>
  <si>
    <t>BONNEDIS SASU</t>
  </si>
  <si>
    <t>34093620200019</t>
  </si>
  <si>
    <t>C00947</t>
  </si>
  <si>
    <t>ROGADIA</t>
  </si>
  <si>
    <t>80214423800028</t>
  </si>
  <si>
    <t>C00948</t>
  </si>
  <si>
    <t>CAUDIS EXPLOITATION SAS</t>
  </si>
  <si>
    <t>49187888000021</t>
  </si>
  <si>
    <t>C00949</t>
  </si>
  <si>
    <t>RIGNAC DISTRIBUTION SARL U Express Rignac</t>
  </si>
  <si>
    <t>53880997100020</t>
  </si>
  <si>
    <t>C00950</t>
  </si>
  <si>
    <t>EGADIS SAS</t>
  </si>
  <si>
    <t>85373163600025</t>
  </si>
  <si>
    <t>C00951</t>
  </si>
  <si>
    <t>CAPHORN SAS</t>
  </si>
  <si>
    <t>39202688600037</t>
  </si>
  <si>
    <t>C00952</t>
  </si>
  <si>
    <t>LA MOTTE SARL</t>
  </si>
  <si>
    <t>38240263400010</t>
  </si>
  <si>
    <t>C00954</t>
  </si>
  <si>
    <t>PLEYBERIENNE DISTRIBUTION SAS</t>
  </si>
  <si>
    <t>33864748000049</t>
  </si>
  <si>
    <t>C00956</t>
  </si>
  <si>
    <t>SYMPADIS SAS</t>
  </si>
  <si>
    <t>52925653900014</t>
  </si>
  <si>
    <t>C00957</t>
  </si>
  <si>
    <t>CHAUDELPH SAS</t>
  </si>
  <si>
    <t>43178446100011</t>
  </si>
  <si>
    <t>C00958</t>
  </si>
  <si>
    <t>LES 4M SAS</t>
  </si>
  <si>
    <t>C00959</t>
  </si>
  <si>
    <t>YDOL SUPER U Grand-Fort-Philippe</t>
  </si>
  <si>
    <t>45127698400015</t>
  </si>
  <si>
    <t>C00960</t>
  </si>
  <si>
    <t>TREDIS SAS</t>
  </si>
  <si>
    <t>39195898000024</t>
  </si>
  <si>
    <t>C00961</t>
  </si>
  <si>
    <t>SOPODI OUEST SAS</t>
  </si>
  <si>
    <t>49391834600013</t>
  </si>
  <si>
    <t>C00962</t>
  </si>
  <si>
    <t>ARANEA</t>
  </si>
  <si>
    <t>38949630800013</t>
  </si>
  <si>
    <t>C00963</t>
  </si>
  <si>
    <t>COUZEDIS</t>
  </si>
  <si>
    <t>32279047800026</t>
  </si>
  <si>
    <t>C00964</t>
  </si>
  <si>
    <t>CALPE SASU</t>
  </si>
  <si>
    <t>52897182300018</t>
  </si>
  <si>
    <t>C00965</t>
  </si>
  <si>
    <t>DURTANGES SAS</t>
  </si>
  <si>
    <t>43230184400036</t>
  </si>
  <si>
    <t>C00966</t>
  </si>
  <si>
    <t>APAVE - ALSACIENNE SAS</t>
  </si>
  <si>
    <t>30157044600015</t>
  </si>
  <si>
    <t>C00967</t>
  </si>
  <si>
    <t>CLIMAX - TOULOUSE</t>
  </si>
  <si>
    <t>44139780900019</t>
  </si>
  <si>
    <t>C00968</t>
  </si>
  <si>
    <t>HAMMEL - MARSAC SUR L'ISLE</t>
  </si>
  <si>
    <t>68198004100021</t>
  </si>
  <si>
    <t>C00969</t>
  </si>
  <si>
    <t>LAFUMA MOBILIER SAS - ANNEYRON</t>
  </si>
  <si>
    <t>43678021700028</t>
  </si>
  <si>
    <t>C00974</t>
  </si>
  <si>
    <t>LAFUMA SAS - ANNEYRON</t>
  </si>
  <si>
    <t>38019280700234</t>
  </si>
  <si>
    <t>C00977</t>
  </si>
  <si>
    <t>DOLCE FREGATE - ST CYR SUR MER</t>
  </si>
  <si>
    <t>38368199600039</t>
  </si>
  <si>
    <t>C00979</t>
  </si>
  <si>
    <t>TATA STEEL</t>
  </si>
  <si>
    <t>44572029500010</t>
  </si>
  <si>
    <t>C00980</t>
  </si>
  <si>
    <t>MACIF SAM</t>
  </si>
  <si>
    <t>78145251100814</t>
  </si>
  <si>
    <t>C00981</t>
  </si>
  <si>
    <t>VINS RICHARD</t>
  </si>
  <si>
    <t>C00985</t>
  </si>
  <si>
    <t>CAVE DE LA BARGEMONE SAS</t>
  </si>
  <si>
    <t>49285309800027</t>
  </si>
  <si>
    <t>C00986</t>
  </si>
  <si>
    <t>ALD AUTOMOTIVE MC Chilly Mazarin</t>
  </si>
  <si>
    <t>35186769200433</t>
  </si>
  <si>
    <t>C00989</t>
  </si>
  <si>
    <t>79748872300595</t>
  </si>
  <si>
    <t>C00990</t>
  </si>
  <si>
    <t>LABORATOIRES  ML OCCITANE - MANOSQUE</t>
  </si>
  <si>
    <t>30582329600077</t>
  </si>
  <si>
    <t>C00991</t>
  </si>
  <si>
    <t>NOALIS</t>
  </si>
  <si>
    <t>56182048100019</t>
  </si>
  <si>
    <t>C00992</t>
  </si>
  <si>
    <t>CAMPING LE ROUGE GORGE</t>
  </si>
  <si>
    <t>52033304800012</t>
  </si>
  <si>
    <t>C00993</t>
  </si>
  <si>
    <t>Mairie de Chevreuse</t>
  </si>
  <si>
    <t>C00994</t>
  </si>
  <si>
    <t>ORTEC INDUSTRIE SASU</t>
  </si>
  <si>
    <t>6080139600155</t>
  </si>
  <si>
    <t>C00995</t>
  </si>
  <si>
    <t>IKEA Nice Saint Isidore</t>
  </si>
  <si>
    <t>C00997</t>
  </si>
  <si>
    <t>OF COURSE TRANSPORT</t>
  </si>
  <si>
    <t>40815048000064</t>
  </si>
  <si>
    <t>C00998</t>
  </si>
  <si>
    <t>ETABLISSEMENTS VALLEE SAS Super U Villaines La Ju</t>
  </si>
  <si>
    <t>73555018800032</t>
  </si>
  <si>
    <t>C00999</t>
  </si>
  <si>
    <t>TONNAYDIS SAS Super U Tonnay-Charente</t>
  </si>
  <si>
    <t>43036982700182</t>
  </si>
  <si>
    <t>C01000</t>
  </si>
  <si>
    <t>TINTEDIS - SUPER U Tinteniac</t>
  </si>
  <si>
    <t>39748583000012</t>
  </si>
  <si>
    <t>C01574</t>
  </si>
  <si>
    <t>STE GEW FERIEN GMBH</t>
  </si>
  <si>
    <t>42269546000010</t>
  </si>
  <si>
    <t>C01575</t>
  </si>
  <si>
    <t>SAS PARAYQUAI</t>
  </si>
  <si>
    <t>90078114700013</t>
  </si>
  <si>
    <t>C01576</t>
  </si>
  <si>
    <t>SAS ASTRA PLASTIQUE SAS</t>
  </si>
  <si>
    <t>64378038000017</t>
  </si>
  <si>
    <t>C01579</t>
  </si>
  <si>
    <t>ZOOPARC DE BEAUVAL</t>
  </si>
  <si>
    <t>38357843200015</t>
  </si>
  <si>
    <t>C01583</t>
  </si>
  <si>
    <t>SCI GIROUD</t>
  </si>
  <si>
    <t>83925162600017</t>
  </si>
  <si>
    <t>C01584</t>
  </si>
  <si>
    <t>UNION DES SYNDICATS DE COPROPRIÉTÉ DU CCR  ULIS 2</t>
  </si>
  <si>
    <t>C01587</t>
  </si>
  <si>
    <t>SA AEROPORTS DE LYON</t>
  </si>
  <si>
    <t>49342513600030</t>
  </si>
  <si>
    <t>C01588</t>
  </si>
  <si>
    <t>SCI NISSIZA</t>
  </si>
  <si>
    <t>C01589</t>
  </si>
  <si>
    <t>SNC GAIETE PARKINGS</t>
  </si>
  <si>
    <t>C01590</t>
  </si>
  <si>
    <t>STEF SA</t>
  </si>
  <si>
    <t>C01591</t>
  </si>
  <si>
    <t>PFRA Aura 17740231000748</t>
  </si>
  <si>
    <t>C01592</t>
  </si>
  <si>
    <t>SMURFIT KAPPA HEXACOMB AMBOISE</t>
  </si>
  <si>
    <t>79999538600023</t>
  </si>
  <si>
    <t>C01593</t>
  </si>
  <si>
    <t>PFRA Aura 17730232000136</t>
  </si>
  <si>
    <t>C01594</t>
  </si>
  <si>
    <t>PFRA Aura 17730232000011</t>
  </si>
  <si>
    <t>C01595</t>
  </si>
  <si>
    <t>PFRA Aura 17740231000581</t>
  </si>
  <si>
    <t>C01596</t>
  </si>
  <si>
    <t>PFRA Aura 17730232000268</t>
  </si>
  <si>
    <t>C01597</t>
  </si>
  <si>
    <t>PFRA Aura 17690231000026</t>
  </si>
  <si>
    <t>C01599</t>
  </si>
  <si>
    <t>SARL AURAN LES PLANS</t>
  </si>
  <si>
    <t>40161020900017</t>
  </si>
  <si>
    <t>C01601</t>
  </si>
  <si>
    <t>SA RESERVE AFRICAINE PARC ZOO ATTRAC RE</t>
  </si>
  <si>
    <t>78014127100012</t>
  </si>
  <si>
    <t>C01603</t>
  </si>
  <si>
    <t>EURL BEAUVIGNAC</t>
  </si>
  <si>
    <t>C01604</t>
  </si>
  <si>
    <t>SCI Impala</t>
  </si>
  <si>
    <t>51170632700018</t>
  </si>
  <si>
    <t>C01605</t>
  </si>
  <si>
    <t>PFRA Aura 17730232000151</t>
  </si>
  <si>
    <t>C01606</t>
  </si>
  <si>
    <t>PFRA Aura 17690231000034</t>
  </si>
  <si>
    <t>C01607</t>
  </si>
  <si>
    <t>PFRA Aura 17740231000029</t>
  </si>
  <si>
    <t>C01608</t>
  </si>
  <si>
    <t>PFRA Aura 17740231000631</t>
  </si>
  <si>
    <t>C01609</t>
  </si>
  <si>
    <t>PFRA Aura 17690231000729</t>
  </si>
  <si>
    <t>C01610</t>
  </si>
  <si>
    <t>PFRA Aura 17690231000737</t>
  </si>
  <si>
    <t>C01613</t>
  </si>
  <si>
    <t>PLAST AVENIR</t>
  </si>
  <si>
    <t>C01614</t>
  </si>
  <si>
    <t>ASSOCIATION LE BOIS NOIR / ELORN</t>
  </si>
  <si>
    <t>41955227800055</t>
  </si>
  <si>
    <t>C01615</t>
  </si>
  <si>
    <t>CAMPING MUNICIPAL LES SABLERES</t>
  </si>
  <si>
    <t>21400328700015</t>
  </si>
  <si>
    <t>C01616</t>
  </si>
  <si>
    <t>GREENYARD FROZEN FRANCE</t>
  </si>
  <si>
    <t>87250091300050</t>
  </si>
  <si>
    <t>C01617</t>
  </si>
  <si>
    <t>DOMAINES REYBIER</t>
  </si>
  <si>
    <t>C01618</t>
  </si>
  <si>
    <t>SCI LES VERRES - GENERATION</t>
  </si>
  <si>
    <t>41006906600042</t>
  </si>
  <si>
    <t>C01619</t>
  </si>
  <si>
    <t>SCI PHARE (VERLINGUE)</t>
  </si>
  <si>
    <t>C01620</t>
  </si>
  <si>
    <t>LABORATOIRE UNITHER</t>
  </si>
  <si>
    <t>44011008800018</t>
  </si>
  <si>
    <t>C01621</t>
  </si>
  <si>
    <t>3F NORMANVIE</t>
  </si>
  <si>
    <t>55214154100094</t>
  </si>
  <si>
    <t>C01622</t>
  </si>
  <si>
    <t>CERMIX</t>
  </si>
  <si>
    <t>41489730600018</t>
  </si>
  <si>
    <t>C01623</t>
  </si>
  <si>
    <t>LA NORMANDISE</t>
  </si>
  <si>
    <t>38261641500024</t>
  </si>
  <si>
    <t>C01624</t>
  </si>
  <si>
    <t>STEF LOGISTIQUE PLOUENAN SAS</t>
  </si>
  <si>
    <t>34196954100018</t>
  </si>
  <si>
    <t>C01625</t>
  </si>
  <si>
    <t>STEF LOGISTIQUE BRETAGNE NORD</t>
  </si>
  <si>
    <t>50088690800093</t>
  </si>
  <si>
    <t>C01626</t>
  </si>
  <si>
    <t>SCI VAL BREON</t>
  </si>
  <si>
    <t>49012830300016</t>
  </si>
  <si>
    <t>C01627</t>
  </si>
  <si>
    <t>SAS CERAG  SA</t>
  </si>
  <si>
    <t>32773179000017</t>
  </si>
  <si>
    <t>C01628</t>
  </si>
  <si>
    <t>SAS INTELCIA FRANCE</t>
  </si>
  <si>
    <t>35394409300122</t>
  </si>
  <si>
    <t>C00590</t>
  </si>
  <si>
    <t>ASL EI C.SENART</t>
  </si>
  <si>
    <t>C00591</t>
  </si>
  <si>
    <t>BIR BATIMENT INDUSTRIE RESEAUX</t>
  </si>
  <si>
    <t>74725106400024</t>
  </si>
  <si>
    <t>C00592</t>
  </si>
  <si>
    <t>Super U Angresse PROLATZ SAS</t>
  </si>
  <si>
    <t>81780818100033</t>
  </si>
  <si>
    <t>C00593</t>
  </si>
  <si>
    <t>Super U Tranche sur mer SOTRANDIS</t>
  </si>
  <si>
    <t>40373146600013</t>
  </si>
  <si>
    <t>C00594</t>
  </si>
  <si>
    <t>PARKOPOLY SAS</t>
  </si>
  <si>
    <t>C00595</t>
  </si>
  <si>
    <t>Super U LA GRANDE PRAIRIE Bougueil</t>
  </si>
  <si>
    <t>31872465500010</t>
  </si>
  <si>
    <t>C00596</t>
  </si>
  <si>
    <t>SPIRIDIS</t>
  </si>
  <si>
    <t>89246190600026</t>
  </si>
  <si>
    <t>C00597</t>
  </si>
  <si>
    <t>CITEOS QUimper</t>
  </si>
  <si>
    <t>85750014400061</t>
  </si>
  <si>
    <t>C00598</t>
  </si>
  <si>
    <t>CITEOS - RENNES</t>
  </si>
  <si>
    <t>85750014400145</t>
  </si>
  <si>
    <t>C00599</t>
  </si>
  <si>
    <t>FREDERIC TERRIER</t>
  </si>
  <si>
    <t>44520048800010</t>
  </si>
  <si>
    <t>C00600</t>
  </si>
  <si>
    <t>CCI BAYONNE</t>
  </si>
  <si>
    <t>C00601</t>
  </si>
  <si>
    <t>BPCE LEASE</t>
  </si>
  <si>
    <t>C00602</t>
  </si>
  <si>
    <t>CESMAE SARL</t>
  </si>
  <si>
    <t>C00603</t>
  </si>
  <si>
    <t>CHATEAU GISCOURS TDG</t>
  </si>
  <si>
    <t>47220071600018</t>
  </si>
  <si>
    <t>C00604</t>
  </si>
  <si>
    <t>MASTER BUILDERS SOLUTIONS</t>
  </si>
  <si>
    <t>C00605</t>
  </si>
  <si>
    <t>SMTD</t>
  </si>
  <si>
    <t>20001173200092</t>
  </si>
  <si>
    <t>C00606</t>
  </si>
  <si>
    <t>PROSOL GESTION</t>
  </si>
  <si>
    <t>37810041600072</t>
  </si>
  <si>
    <t>C00607</t>
  </si>
  <si>
    <t>Husqvarna - BLOIS</t>
  </si>
  <si>
    <t>C00608</t>
  </si>
  <si>
    <t>Le Ruisseau</t>
  </si>
  <si>
    <t>31664407900014</t>
  </si>
  <si>
    <t>C00609</t>
  </si>
  <si>
    <t>Association Maison Brassalay-Biron</t>
  </si>
  <si>
    <t>C00610</t>
  </si>
  <si>
    <t>Brioches Fonteneau</t>
  </si>
  <si>
    <t>C00611</t>
  </si>
  <si>
    <t>Brioches Fonteneau Boufféré</t>
  </si>
  <si>
    <t>C00612</t>
  </si>
  <si>
    <t>P3M Construction</t>
  </si>
  <si>
    <t>C00613</t>
  </si>
  <si>
    <t>SOBAG</t>
  </si>
  <si>
    <t>78967391000020</t>
  </si>
  <si>
    <t>C00614</t>
  </si>
  <si>
    <t>ECOLE D'INGENIEURS de PURPAN</t>
  </si>
  <si>
    <t>77694414200012</t>
  </si>
  <si>
    <t>C00617</t>
  </si>
  <si>
    <t>Campus de l'espace</t>
  </si>
  <si>
    <t>79420323200036</t>
  </si>
  <si>
    <t>C00618</t>
  </si>
  <si>
    <t>ADVANCED COMFORT SYSTEMS FRANCE (ACS)_OLD</t>
  </si>
  <si>
    <t>65203961100049</t>
  </si>
  <si>
    <t>C00619</t>
  </si>
  <si>
    <t>HUSQVARNA</t>
  </si>
  <si>
    <t>06850020600203</t>
  </si>
  <si>
    <t>C00620</t>
  </si>
  <si>
    <t>Mairie d'Halluin</t>
  </si>
  <si>
    <t>21590279200013</t>
  </si>
  <si>
    <t>C00621</t>
  </si>
  <si>
    <t>TESTO INDUSTRIAL SERVICES SARL</t>
  </si>
  <si>
    <t>50136585200026</t>
  </si>
  <si>
    <t>C00622</t>
  </si>
  <si>
    <t>Super U ChateauNeuf CHATEAUDIS</t>
  </si>
  <si>
    <t>32514732000015</t>
  </si>
  <si>
    <t>C00623</t>
  </si>
  <si>
    <t>Saint-Symphorien d'ozon</t>
  </si>
  <si>
    <t>21690291600016</t>
  </si>
  <si>
    <t>C00624</t>
  </si>
  <si>
    <t>COMBOURG DISTRIBUTION SAS</t>
  </si>
  <si>
    <t>41033947700011</t>
  </si>
  <si>
    <t>C00625</t>
  </si>
  <si>
    <t>Super U GERTWILLER DISTRIBUTION</t>
  </si>
  <si>
    <t>34481464500018</t>
  </si>
  <si>
    <t>C00626</t>
  </si>
  <si>
    <t>HERDIS SAS</t>
  </si>
  <si>
    <t>34885809300035</t>
  </si>
  <si>
    <t>C00627</t>
  </si>
  <si>
    <t>LA PREE SAS SUPER U La Chataigneraie</t>
  </si>
  <si>
    <t>79203969500012</t>
  </si>
  <si>
    <t>C00628</t>
  </si>
  <si>
    <t>Groupe Rabouin</t>
  </si>
  <si>
    <t>34048919400027</t>
  </si>
  <si>
    <t>C00629</t>
  </si>
  <si>
    <t>Provencia - Annecy-le-Vieux</t>
  </si>
  <si>
    <t>32652100200153</t>
  </si>
  <si>
    <t>C00630</t>
  </si>
  <si>
    <t>AU MARCHE SAVOYARD SARL</t>
  </si>
  <si>
    <t>C00631</t>
  </si>
  <si>
    <t>HOTEL RESTAURANT AQUARIUM</t>
  </si>
  <si>
    <t>C00633</t>
  </si>
  <si>
    <t>MOLEX BV</t>
  </si>
  <si>
    <t>40239081900017</t>
  </si>
  <si>
    <t>C00635</t>
  </si>
  <si>
    <t>SOBERDIS SN Super U L'Isle Jourdain</t>
  </si>
  <si>
    <t>38467454500023</t>
  </si>
  <si>
    <t>C00636</t>
  </si>
  <si>
    <t>EXPAN MALESTROIT SAS Super U</t>
  </si>
  <si>
    <t>45127061500045</t>
  </si>
  <si>
    <t>C00637</t>
  </si>
  <si>
    <t>ETABLISSEMENTS TOHA SAS</t>
  </si>
  <si>
    <t>34114964900020</t>
  </si>
  <si>
    <t>C00638</t>
  </si>
  <si>
    <t>PROMALIM SAS</t>
  </si>
  <si>
    <t>C00639</t>
  </si>
  <si>
    <t>INTERMARCHE - CLAUGINIE SAS</t>
  </si>
  <si>
    <t>39937271300012</t>
  </si>
  <si>
    <t>C00640</t>
  </si>
  <si>
    <t>MASSILLY HOLDING SAS</t>
  </si>
  <si>
    <t>C00641</t>
  </si>
  <si>
    <t>LYBEDIS SAS Super U Mondoubleau</t>
  </si>
  <si>
    <t>34846084100011</t>
  </si>
  <si>
    <t>C00642</t>
  </si>
  <si>
    <t>NETTO GIMA</t>
  </si>
  <si>
    <t>45234627300017</t>
  </si>
  <si>
    <t>C00645</t>
  </si>
  <si>
    <t>COOPERATIVE U ENSEIGNE Etab Rungis</t>
  </si>
  <si>
    <t>30460295600142</t>
  </si>
  <si>
    <t>C00647</t>
  </si>
  <si>
    <t>FROMAGERIE MILLERET</t>
  </si>
  <si>
    <t>42625002300014</t>
  </si>
  <si>
    <t>C00648</t>
  </si>
  <si>
    <t>KR EXPANSION AUBIERE</t>
  </si>
  <si>
    <t>39515040200034</t>
  </si>
  <si>
    <t>C00649</t>
  </si>
  <si>
    <t>Bouchard et Fils</t>
  </si>
  <si>
    <t>C00650</t>
  </si>
  <si>
    <t>ANDRE BTP</t>
  </si>
  <si>
    <t>85780154200054</t>
  </si>
  <si>
    <t>C00652</t>
  </si>
  <si>
    <t>CHU DE CLERMONT FERRAND</t>
  </si>
  <si>
    <t>C00653</t>
  </si>
  <si>
    <t>U-LOGISTIQUE SAS</t>
  </si>
  <si>
    <t>81014656300020</t>
  </si>
  <si>
    <t>C00654</t>
  </si>
  <si>
    <t>COMMUNE DE SAINT-FLOUR</t>
  </si>
  <si>
    <t>21150187900012</t>
  </si>
  <si>
    <t>C00655</t>
  </si>
  <si>
    <t>ALLIANZ IARD</t>
  </si>
  <si>
    <t>C00657</t>
  </si>
  <si>
    <t>Super U Nieppe CHAMLYS</t>
  </si>
  <si>
    <t>42870238500025</t>
  </si>
  <si>
    <t>C00658</t>
  </si>
  <si>
    <t>SYPAVER SAS Super U Nieul-Sur-Mer</t>
  </si>
  <si>
    <t>33274682500014</t>
  </si>
  <si>
    <t>C00659</t>
  </si>
  <si>
    <t>SOLMAR SAS SUPER U Olemps</t>
  </si>
  <si>
    <t>32687690100017</t>
  </si>
  <si>
    <t>C00660</t>
  </si>
  <si>
    <t>DISNATH</t>
  </si>
  <si>
    <t>79799262500013</t>
  </si>
  <si>
    <t>C00662</t>
  </si>
  <si>
    <t>LH DISPLAN SAS HYPER U PLANCOET</t>
  </si>
  <si>
    <t>38999612500016</t>
  </si>
  <si>
    <t>C00663</t>
  </si>
  <si>
    <t>Super U Corbelin CORBEDIS</t>
  </si>
  <si>
    <t>80052830900027</t>
  </si>
  <si>
    <t>C00664</t>
  </si>
  <si>
    <t>PONT-L'ABBE DISTRIBUTION LECLERC</t>
  </si>
  <si>
    <t>37708031200020</t>
  </si>
  <si>
    <t>C00665</t>
  </si>
  <si>
    <t>PROTEOR</t>
  </si>
  <si>
    <t>54208370400198</t>
  </si>
  <si>
    <t>C00667</t>
  </si>
  <si>
    <t>IPS GROUPE</t>
  </si>
  <si>
    <t>44914667900021</t>
  </si>
  <si>
    <t>C00668</t>
  </si>
  <si>
    <t>Parcours</t>
  </si>
  <si>
    <t>C00669</t>
  </si>
  <si>
    <t>DEP Industrie</t>
  </si>
  <si>
    <t>39242144200022</t>
  </si>
  <si>
    <t>C00670</t>
  </si>
  <si>
    <t>RECTORAT DE L'ACADÉMIE DE TOULOUSE</t>
  </si>
  <si>
    <t>C00671</t>
  </si>
  <si>
    <t>JET AIR SERVICES</t>
  </si>
  <si>
    <t>C00672</t>
  </si>
  <si>
    <t>LABORATOIRES DES PYRENEES ET DES LANDES</t>
  </si>
  <si>
    <t>C00674</t>
  </si>
  <si>
    <t>INSTITUT CADENELLE MARSEILLE PROVENCE</t>
  </si>
  <si>
    <t>78294740200023</t>
  </si>
  <si>
    <t>C00679</t>
  </si>
  <si>
    <t>SEINE ET YVELINES NUMERIQUE (SYN)</t>
  </si>
  <si>
    <t>20006224800048</t>
  </si>
  <si>
    <t>C00680</t>
  </si>
  <si>
    <t>BORNES-E - SAS</t>
  </si>
  <si>
    <t>C00684</t>
  </si>
  <si>
    <t>CAMPING LES 3 VALLEES</t>
  </si>
  <si>
    <t>49148523100014</t>
  </si>
  <si>
    <t>C00685</t>
  </si>
  <si>
    <t>DELPECH INVESTISSEMENT</t>
  </si>
  <si>
    <t>C00686</t>
  </si>
  <si>
    <t>PROFLUIDE</t>
  </si>
  <si>
    <t>82421189000051</t>
  </si>
  <si>
    <t>C00687</t>
  </si>
  <si>
    <t>SHARP MANUFACTURING FRANCE</t>
  </si>
  <si>
    <t>35054489600029</t>
  </si>
  <si>
    <t>C00688</t>
  </si>
  <si>
    <t>OB CONCEPT</t>
  </si>
  <si>
    <t>77555638400474</t>
  </si>
  <si>
    <t>C00689</t>
  </si>
  <si>
    <t>SUD TERRAINS</t>
  </si>
  <si>
    <t>C00694</t>
  </si>
  <si>
    <t>CAISSE D'EPARGNE DES HAUTS DE FRANCE</t>
  </si>
  <si>
    <t>38300069204998</t>
  </si>
  <si>
    <t>C00695</t>
  </si>
  <si>
    <t>VICAT</t>
  </si>
  <si>
    <t>30991846400160</t>
  </si>
  <si>
    <t>C00696</t>
  </si>
  <si>
    <t>CAVE ROBERT ET MARCEL</t>
  </si>
  <si>
    <t>78619585900016</t>
  </si>
  <si>
    <t>C00700</t>
  </si>
  <si>
    <t>HERPORT</t>
  </si>
  <si>
    <t>38232903500275</t>
  </si>
  <si>
    <t>C00701</t>
  </si>
  <si>
    <t>ACTA</t>
  </si>
  <si>
    <t>38510718000023</t>
  </si>
  <si>
    <t>C00703</t>
  </si>
  <si>
    <t>Unibail SCFHP - Les Halles</t>
  </si>
  <si>
    <t>C00705</t>
  </si>
  <si>
    <t>AVERMES DISTRIBUTION</t>
  </si>
  <si>
    <t>52521574500049</t>
  </si>
  <si>
    <t>C00706</t>
  </si>
  <si>
    <t>Commune de Chelles</t>
  </si>
  <si>
    <t>C00707</t>
  </si>
  <si>
    <t>MAISON TERRES D'OC</t>
  </si>
  <si>
    <t>84520631700024</t>
  </si>
  <si>
    <t>C00709</t>
  </si>
  <si>
    <t>SOCRADIS SAS Super U Craon</t>
  </si>
  <si>
    <t>31975539300034</t>
  </si>
  <si>
    <t>C00711</t>
  </si>
  <si>
    <t>LES HAUTS DE MONTROUGE</t>
  </si>
  <si>
    <t>77702372200013</t>
  </si>
  <si>
    <t>C00713</t>
  </si>
  <si>
    <t>SCI COGIPAR C/O CBRE PROMA SERVICES SAS</t>
  </si>
  <si>
    <t>C00714</t>
  </si>
  <si>
    <t>Kopster Decines - Lavorel Hotel</t>
  </si>
  <si>
    <t>C00716</t>
  </si>
  <si>
    <t>Groupe Partouche - Pasino Grand</t>
  </si>
  <si>
    <t>55162019800020</t>
  </si>
  <si>
    <t>C00717</t>
  </si>
  <si>
    <t>SCANIA FRANCE SAS</t>
  </si>
  <si>
    <t>34771917101160</t>
  </si>
  <si>
    <t>C00719</t>
  </si>
  <si>
    <t>Fondation St Jean de Dieu</t>
  </si>
  <si>
    <t>C00720</t>
  </si>
  <si>
    <t>SOCHADIS SAS</t>
  </si>
  <si>
    <t>30202017700036</t>
  </si>
  <si>
    <t>C00722</t>
  </si>
  <si>
    <t>ALBIFI SARL Super U St-Georges-Sur-Loire</t>
  </si>
  <si>
    <t>47828185000022</t>
  </si>
  <si>
    <t>C00723</t>
  </si>
  <si>
    <t>PROMERAC DAINVILLE</t>
  </si>
  <si>
    <t>C00724</t>
  </si>
  <si>
    <t>CARREFOUR CAUDAN - SARL JERNAT</t>
  </si>
  <si>
    <t>45040813300012</t>
  </si>
  <si>
    <t>C00725</t>
  </si>
  <si>
    <t>CHALODIS SAS</t>
  </si>
  <si>
    <t>33471926700034</t>
  </si>
  <si>
    <t>C00726</t>
  </si>
  <si>
    <t>54200982400344</t>
  </si>
  <si>
    <t>C00727</t>
  </si>
  <si>
    <t>PROPIGNAN SAS Super U Pignan</t>
  </si>
  <si>
    <t>81780488300020</t>
  </si>
  <si>
    <t>C00728</t>
  </si>
  <si>
    <t>FRAMADIS SAS (QUENTHIS)</t>
  </si>
  <si>
    <t>34960432200017</t>
  </si>
  <si>
    <t>C00729</t>
  </si>
  <si>
    <t>SODEXFRANC SAS SUPER U BOUAYE</t>
  </si>
  <si>
    <t>37906366200017</t>
  </si>
  <si>
    <t>C00731</t>
  </si>
  <si>
    <t>CENTRAKOR STORES SAS</t>
  </si>
  <si>
    <t>C00732</t>
  </si>
  <si>
    <t>ETS UNIVERSITE PARIS-SACLAY</t>
  </si>
  <si>
    <t>C00734</t>
  </si>
  <si>
    <t>SCI LA MONTAGNE</t>
  </si>
  <si>
    <t>34032519000015</t>
  </si>
  <si>
    <t>C00735</t>
  </si>
  <si>
    <t>CREDIT AGRICOLE TECHNOLOGIES ET SERVICES</t>
  </si>
  <si>
    <t>52132040800573</t>
  </si>
  <si>
    <t>C00736</t>
  </si>
  <si>
    <t>HYNAMICS</t>
  </si>
  <si>
    <t>84425497900033</t>
  </si>
  <si>
    <t>C00737</t>
  </si>
  <si>
    <t>LE BUREAU - CLABODIS SUPER U</t>
  </si>
  <si>
    <t>34971132500028</t>
  </si>
  <si>
    <t>C00738</t>
  </si>
  <si>
    <t>DUMEZ AUVERGNE</t>
  </si>
  <si>
    <t>C00740</t>
  </si>
  <si>
    <t>IZIVIA METROPOLES SAS</t>
  </si>
  <si>
    <t>91204367600010</t>
  </si>
  <si>
    <t>C00741</t>
  </si>
  <si>
    <t>L'OCCITANE LABORATOIRE M&amp;L - LAGORCE</t>
  </si>
  <si>
    <t>30582329600150</t>
  </si>
  <si>
    <t>C00742</t>
  </si>
  <si>
    <t>EDF Direction Commerce Nord Ouest</t>
  </si>
  <si>
    <t>C00743</t>
  </si>
  <si>
    <t>LES THERMES</t>
  </si>
  <si>
    <t>81298192600015</t>
  </si>
  <si>
    <t>C00744</t>
  </si>
  <si>
    <t>LES ETIERS</t>
  </si>
  <si>
    <t>C00745</t>
  </si>
  <si>
    <t>DOMAINE DE L'ESPERON</t>
  </si>
  <si>
    <t>33223564700010</t>
  </si>
  <si>
    <t>C00747</t>
  </si>
  <si>
    <t>ESPACE THERMAL</t>
  </si>
  <si>
    <t>C00748</t>
  </si>
  <si>
    <t>Hôtel IBIS DIJON SUD</t>
  </si>
  <si>
    <t>C00749</t>
  </si>
  <si>
    <t>IN EXTENSO</t>
  </si>
  <si>
    <t>30732112500139</t>
  </si>
  <si>
    <t>C00750</t>
  </si>
  <si>
    <t>THERM PARK</t>
  </si>
  <si>
    <t>41076664600013</t>
  </si>
  <si>
    <t>C00751</t>
  </si>
  <si>
    <t>Docone - Merignac</t>
  </si>
  <si>
    <t>31881180900140</t>
  </si>
  <si>
    <t>C00752</t>
  </si>
  <si>
    <t>IZI SOLUTIONS</t>
  </si>
  <si>
    <t>80150285700056</t>
  </si>
  <si>
    <t>C00753</t>
  </si>
  <si>
    <t>RESTAURANT BRAS LE SUQUET</t>
  </si>
  <si>
    <t>45158090600019</t>
  </si>
  <si>
    <t>C00754</t>
  </si>
  <si>
    <t>MAIF SOLUTIONS FINANCIERES SAS</t>
  </si>
  <si>
    <t>C00755</t>
  </si>
  <si>
    <t>CAVE COOP DE VINIFICATION - POMEROLS</t>
  </si>
  <si>
    <t>77606946000017</t>
  </si>
  <si>
    <t>C00756</t>
  </si>
  <si>
    <t>CREPS DE POITIERS</t>
  </si>
  <si>
    <t>45271408200016</t>
  </si>
  <si>
    <t>C00763</t>
  </si>
  <si>
    <t>CSP Logistics</t>
  </si>
  <si>
    <t>C00764</t>
  </si>
  <si>
    <t>LE GOLF DES HAUTS DE NÎMES</t>
  </si>
  <si>
    <t>C00765</t>
  </si>
  <si>
    <t>PALETTES GESTION SERVICES</t>
  </si>
  <si>
    <t>39120828700022</t>
  </si>
  <si>
    <t>C00766</t>
  </si>
  <si>
    <t>COMMUNE VAL D'ISÈRE</t>
  </si>
  <si>
    <t>C00767</t>
  </si>
  <si>
    <t>PRICER</t>
  </si>
  <si>
    <t>C00768</t>
  </si>
  <si>
    <t>PROMERAC - FLERS EN ESCREBIEUX</t>
  </si>
  <si>
    <t>C00769</t>
  </si>
  <si>
    <t>VILLE DE CHATILLON SUR CHALARONNE</t>
  </si>
  <si>
    <t>21010093900011</t>
  </si>
  <si>
    <t>C00770</t>
  </si>
  <si>
    <t>TECNIFIBRE</t>
  </si>
  <si>
    <t>31576565100015</t>
  </si>
  <si>
    <t>C00771</t>
  </si>
  <si>
    <t>Crédit Agricole Centre France</t>
  </si>
  <si>
    <t>44520048803923</t>
  </si>
  <si>
    <t>C00772</t>
  </si>
  <si>
    <t>EDF – Direction Action Régionale Grand-Est</t>
  </si>
  <si>
    <t>C00774</t>
  </si>
  <si>
    <t>ENEDIS - MONTPELLIER</t>
  </si>
  <si>
    <t>44460844205959</t>
  </si>
  <si>
    <t>C00778</t>
  </si>
  <si>
    <t>Super U SAUJON MELODIA</t>
  </si>
  <si>
    <t>37983377500024</t>
  </si>
  <si>
    <t>C00779</t>
  </si>
  <si>
    <t>SAS SORODIS Super U Rouillac</t>
  </si>
  <si>
    <t>31730611600029</t>
  </si>
  <si>
    <t>C00780</t>
  </si>
  <si>
    <t>JERDE Super U Pruniers En Sologne</t>
  </si>
  <si>
    <t>39863664700016</t>
  </si>
  <si>
    <t>C00781</t>
  </si>
  <si>
    <t>Super U Limoges SOPACO</t>
  </si>
  <si>
    <t>42042812000026</t>
  </si>
  <si>
    <t>C00782</t>
  </si>
  <si>
    <t>Super U ONET SUDECO</t>
  </si>
  <si>
    <t>43251854600028</t>
  </si>
  <si>
    <t>C00783</t>
  </si>
  <si>
    <t>Super U Gemozac GEMODIAL</t>
  </si>
  <si>
    <t>31127491400028</t>
  </si>
  <si>
    <t>C00784</t>
  </si>
  <si>
    <t>SUPER U HAZEBROUCK BAPRI</t>
  </si>
  <si>
    <t>31887006000015</t>
  </si>
  <si>
    <t>C00786</t>
  </si>
  <si>
    <t>OVIANCE OTI FRANCE</t>
  </si>
  <si>
    <t>49065737600060</t>
  </si>
  <si>
    <t>C00790</t>
  </si>
  <si>
    <t>COMMUNAUTE DE COMMUNES DU BASSIN DE POMPEY</t>
  </si>
  <si>
    <t>24540060100101</t>
  </si>
  <si>
    <t>C00791</t>
  </si>
  <si>
    <t>DIJON CEREALES</t>
  </si>
  <si>
    <t>85192226000019</t>
  </si>
  <si>
    <t>C00792</t>
  </si>
  <si>
    <t>COMMUNE DE SAINT JUNIEN (MAIRIE)</t>
  </si>
  <si>
    <t>21871540700019</t>
  </si>
  <si>
    <t>C00795</t>
  </si>
  <si>
    <t>Q-PARK FRANCE SAS</t>
  </si>
  <si>
    <t>58214281600310</t>
  </si>
  <si>
    <t>C00796</t>
  </si>
  <si>
    <t>CITIZ</t>
  </si>
  <si>
    <t>C00799</t>
  </si>
  <si>
    <t>CAMPING LEZ-EAUX</t>
  </si>
  <si>
    <t>38413671900018</t>
  </si>
  <si>
    <t>C00800</t>
  </si>
  <si>
    <t>IZIVIA EXPRESS</t>
  </si>
  <si>
    <t>88017566600010</t>
  </si>
  <si>
    <t>C00801</t>
  </si>
  <si>
    <t>COMMUNE D OYONNAX</t>
  </si>
  <si>
    <t>21010283600017</t>
  </si>
  <si>
    <t>C00802</t>
  </si>
  <si>
    <t>SCI AEROVILLE</t>
  </si>
  <si>
    <t>C00803</t>
  </si>
  <si>
    <t>ALB'HOTEL</t>
  </si>
  <si>
    <t>C00804</t>
  </si>
  <si>
    <t>ASL Toison d'Or</t>
  </si>
  <si>
    <t>79441770900019</t>
  </si>
  <si>
    <t>C00805</t>
  </si>
  <si>
    <t>Charge4Europe GmbH</t>
  </si>
  <si>
    <t>C00809</t>
  </si>
  <si>
    <t>MAINGAU Energie GmbH</t>
  </si>
  <si>
    <t>C00810</t>
  </si>
  <si>
    <t>AGROPOLE</t>
  </si>
  <si>
    <t>35408102800020</t>
  </si>
  <si>
    <t>C00811</t>
  </si>
  <si>
    <t>MOVE Mobility SA</t>
  </si>
  <si>
    <t>C00812</t>
  </si>
  <si>
    <t>Optimile</t>
  </si>
  <si>
    <t>C00813</t>
  </si>
  <si>
    <t>Kuwait Petroleum (Belgium) N.V.</t>
  </si>
  <si>
    <t>C00814</t>
  </si>
  <si>
    <t>ARDEN PLAST</t>
  </si>
  <si>
    <t>C00815</t>
  </si>
  <si>
    <t>CAMPING DE KERSENTIC</t>
  </si>
  <si>
    <t>52190357500012</t>
  </si>
  <si>
    <t>C00816</t>
  </si>
  <si>
    <t>LES QUATRE SAISONS CAMPING LE TALOUCH</t>
  </si>
  <si>
    <t>44498344900018</t>
  </si>
  <si>
    <t>C00817</t>
  </si>
  <si>
    <t>SWISS KRONO</t>
  </si>
  <si>
    <t>33949483300025</t>
  </si>
  <si>
    <t>C00818</t>
  </si>
  <si>
    <t>CAMPING LES EMBRUNS</t>
  </si>
  <si>
    <t>39070017700038</t>
  </si>
  <si>
    <t>C00819</t>
  </si>
  <si>
    <t>CAMPING DE L'OCEAN</t>
  </si>
  <si>
    <t>39872601800011</t>
  </si>
  <si>
    <t>C00821</t>
  </si>
  <si>
    <t>MONTPELLIER MEDITERRANEE METROPOLE</t>
  </si>
  <si>
    <t>C00823</t>
  </si>
  <si>
    <t>FROMAGERIE HENRI HUTIN</t>
  </si>
  <si>
    <t>48592022700033</t>
  </si>
  <si>
    <t>C00824</t>
  </si>
  <si>
    <t>HELI-DRIVE</t>
  </si>
  <si>
    <t>34266719300037</t>
  </si>
  <si>
    <t>C00825</t>
  </si>
  <si>
    <t>HELI-MOTORS</t>
  </si>
  <si>
    <t>C00826</t>
  </si>
  <si>
    <t>CINECOM HOLDING</t>
  </si>
  <si>
    <t>41780407700036</t>
  </si>
  <si>
    <t>C00827</t>
  </si>
  <si>
    <t>BLANC AERO INDUSTRIES (SOL)</t>
  </si>
  <si>
    <t>39500185200056</t>
  </si>
  <si>
    <t>C00828</t>
  </si>
  <si>
    <t>METROPOLE DE NICE</t>
  </si>
  <si>
    <t>C00829</t>
  </si>
  <si>
    <t>FRANCE BOISSONS RHONE ALPES</t>
  </si>
  <si>
    <t>C00831</t>
  </si>
  <si>
    <t>YARA FRANCE AMBES</t>
  </si>
  <si>
    <t>C00833</t>
  </si>
  <si>
    <t>CC D'AGGLOMERATION DU GARD RHODANIEN</t>
  </si>
  <si>
    <t>C00834</t>
  </si>
  <si>
    <t>Q-PARK PARIS LA DEFENSE SAS</t>
  </si>
  <si>
    <t>C00839</t>
  </si>
  <si>
    <t>CREDIT AGRICOLE TOULON SUR ALLIER</t>
  </si>
  <si>
    <t>C00842</t>
  </si>
  <si>
    <t>ECONOCOM PRODUCTS ET SOLUTIONS SAS</t>
  </si>
  <si>
    <t>33156643000384</t>
  </si>
  <si>
    <t>C00843</t>
  </si>
  <si>
    <t>BATILANG BSO</t>
  </si>
  <si>
    <t>C00844</t>
  </si>
  <si>
    <t>dalkia eletrotechnics (ex CITELUM FRANCE)</t>
  </si>
  <si>
    <t>89238003100393</t>
  </si>
  <si>
    <t>C00848</t>
  </si>
  <si>
    <t>INDIGO INFRA - TURBIGO SAINT DENIS</t>
  </si>
  <si>
    <t>C00849</t>
  </si>
  <si>
    <t>ADHETEC</t>
  </si>
  <si>
    <t>31876101200034</t>
  </si>
  <si>
    <t>C00850</t>
  </si>
  <si>
    <t>CAMPING DOMAINE DE LEVENO</t>
  </si>
  <si>
    <t>C00851</t>
  </si>
  <si>
    <t>CAMPING L'OCEAN</t>
  </si>
  <si>
    <t>C00852</t>
  </si>
  <si>
    <t>CAMPING D'INLY</t>
  </si>
  <si>
    <t>43496747700010</t>
  </si>
  <si>
    <t>C00853</t>
  </si>
  <si>
    <t>VERDI INGENIERIE</t>
  </si>
  <si>
    <t>56209154601280</t>
  </si>
  <si>
    <t>C00854</t>
  </si>
  <si>
    <t>CHÂTEAU CHEVAL BLANC</t>
  </si>
  <si>
    <t>78198575900013</t>
  </si>
  <si>
    <t>C00856</t>
  </si>
  <si>
    <t>REINE DE DIJON</t>
  </si>
  <si>
    <t>C01630</t>
  </si>
  <si>
    <t>SASU FIDOLIS 2019</t>
  </si>
  <si>
    <t>C01632</t>
  </si>
  <si>
    <t>SAS JANADA</t>
  </si>
  <si>
    <t>32552822200012</t>
  </si>
  <si>
    <t>C01633</t>
  </si>
  <si>
    <t>GELMER</t>
  </si>
  <si>
    <t>49108756500025</t>
  </si>
  <si>
    <t>C01635</t>
  </si>
  <si>
    <t>YOCAM</t>
  </si>
  <si>
    <t>38027121300015</t>
  </si>
  <si>
    <t>C01637</t>
  </si>
  <si>
    <t>SAS BERIC</t>
  </si>
  <si>
    <t>35025121100024</t>
  </si>
  <si>
    <t>C01638</t>
  </si>
  <si>
    <t>SAS DISTRIDOLE</t>
  </si>
  <si>
    <t>C01639</t>
  </si>
  <si>
    <t>SCI SAINT HERBLAIN ATLANTIS</t>
  </si>
  <si>
    <t>C01640</t>
  </si>
  <si>
    <t>ATB ENERGIE</t>
  </si>
  <si>
    <t>95154780100013</t>
  </si>
  <si>
    <t>C01642</t>
  </si>
  <si>
    <t>TEREOS FRANCE</t>
  </si>
  <si>
    <t>53324797900016</t>
  </si>
  <si>
    <t>C01643</t>
  </si>
  <si>
    <t>PAROT VI</t>
  </si>
  <si>
    <t>30946788400073</t>
  </si>
  <si>
    <t>C01645</t>
  </si>
  <si>
    <t>UP2PLAY PORNICHET</t>
  </si>
  <si>
    <t>91112447700025</t>
  </si>
  <si>
    <t>C01646</t>
  </si>
  <si>
    <t>LYCEE PROFESSIONNEL HURLEVENT</t>
  </si>
  <si>
    <t>C01648</t>
  </si>
  <si>
    <t>BRUNET Cognac</t>
  </si>
  <si>
    <t>38981890700591</t>
  </si>
  <si>
    <t>C01649</t>
  </si>
  <si>
    <t>BRUNET La Rochelle SICOT</t>
  </si>
  <si>
    <t>38981890700088</t>
  </si>
  <si>
    <t>C01650</t>
  </si>
  <si>
    <t>BRUNET Poitiers</t>
  </si>
  <si>
    <t>38981890700294</t>
  </si>
  <si>
    <t>C01651</t>
  </si>
  <si>
    <t>MADIC INDUSTRIES SAS</t>
  </si>
  <si>
    <t>38974904500073</t>
  </si>
  <si>
    <t>C01652</t>
  </si>
  <si>
    <t>COTILAS SAS</t>
  </si>
  <si>
    <t>38836283200023</t>
  </si>
  <si>
    <t>C01653</t>
  </si>
  <si>
    <t>ORANO LA HAGUE</t>
  </si>
  <si>
    <t>C01655</t>
  </si>
  <si>
    <t>BTB ELEC SAS</t>
  </si>
  <si>
    <t>41489485700039</t>
  </si>
  <si>
    <t>C01656</t>
  </si>
  <si>
    <t>VENDEE LOGEMENT</t>
  </si>
  <si>
    <t>C01657</t>
  </si>
  <si>
    <t>3MEDIA</t>
  </si>
  <si>
    <t>C01659</t>
  </si>
  <si>
    <t>VPK FRANCE</t>
  </si>
  <si>
    <t>39243915400015</t>
  </si>
  <si>
    <t>C01660</t>
  </si>
  <si>
    <t>IZIVIA FAST</t>
  </si>
  <si>
    <t>95147843700019</t>
  </si>
  <si>
    <t>C01661</t>
  </si>
  <si>
    <t>SASU ALGI</t>
  </si>
  <si>
    <t>79754225500014</t>
  </si>
  <si>
    <t>C01662</t>
  </si>
  <si>
    <t>L’Anse du Brick</t>
  </si>
  <si>
    <t>C01664</t>
  </si>
  <si>
    <t>SOM – Val de Loire</t>
  </si>
  <si>
    <t>C01665</t>
  </si>
  <si>
    <t>LYCEE PIERRE GILLES DE GENNES</t>
  </si>
  <si>
    <t>19750685000019</t>
  </si>
  <si>
    <t>C01666</t>
  </si>
  <si>
    <t>SARL MAILLOT SABLONS</t>
  </si>
  <si>
    <t>34769726000045</t>
  </si>
  <si>
    <t>C01668</t>
  </si>
  <si>
    <t>COOP CAISSE REG CREDIT AGRICUT CTREOLE M-</t>
  </si>
  <si>
    <t>39997382500017</t>
  </si>
  <si>
    <t>C01669</t>
  </si>
  <si>
    <t>SCI TOULON LA VALETTE</t>
  </si>
  <si>
    <t>C01670</t>
  </si>
  <si>
    <t>SAS COLIGNY</t>
  </si>
  <si>
    <t>C01671</t>
  </si>
  <si>
    <t>SCI DU LAC</t>
  </si>
  <si>
    <t>35174572400499</t>
  </si>
  <si>
    <t>C01672</t>
  </si>
  <si>
    <t>DANIEL MOUTON SA</t>
  </si>
  <si>
    <t>C01856</t>
  </si>
  <si>
    <t>SAS PERDIS</t>
  </si>
  <si>
    <t>C01858</t>
  </si>
  <si>
    <t>TS DISTRIBUTION</t>
  </si>
  <si>
    <t>C01859</t>
  </si>
  <si>
    <t>SAS TS DISTRIBUTION</t>
  </si>
  <si>
    <t>94735029400031</t>
  </si>
  <si>
    <t>C01860</t>
  </si>
  <si>
    <t>EURL ROTEL</t>
  </si>
  <si>
    <t>79525565200047</t>
  </si>
  <si>
    <t>C01861</t>
  </si>
  <si>
    <t>DISTRICT DE L'ARIEGE DE FOOTBALL</t>
  </si>
  <si>
    <t>40510193200029</t>
  </si>
  <si>
    <t>C01863</t>
  </si>
  <si>
    <t>SAS MONTESPAL</t>
  </si>
  <si>
    <t>32977745200015</t>
  </si>
  <si>
    <t>C01865</t>
  </si>
  <si>
    <t>CHESNEAU</t>
  </si>
  <si>
    <t>C01866</t>
  </si>
  <si>
    <t>COGEVIE</t>
  </si>
  <si>
    <t>53489002500016</t>
  </si>
  <si>
    <t>C01868</t>
  </si>
  <si>
    <t>ASS LIGUE DE FOOTBALL NOUVELLE-AQUITAINE</t>
  </si>
  <si>
    <t>78184360200041</t>
  </si>
  <si>
    <t>C01869</t>
  </si>
  <si>
    <t>MAN TRUCK &amp; BUS FRANCE</t>
  </si>
  <si>
    <t>31891906500157</t>
  </si>
  <si>
    <t>C01871</t>
  </si>
  <si>
    <t>SAS E TOTEM</t>
  </si>
  <si>
    <t>53918816900038</t>
  </si>
  <si>
    <t>C01872</t>
  </si>
  <si>
    <t>Grande Côte</t>
  </si>
  <si>
    <t>89754111600025</t>
  </si>
  <si>
    <t>C01873</t>
  </si>
  <si>
    <t>SAS FRANDIS</t>
  </si>
  <si>
    <t>C01874</t>
  </si>
  <si>
    <t>SAS MADIS MAMERS DISTRIBUTION</t>
  </si>
  <si>
    <t>81933952400012</t>
  </si>
  <si>
    <t>C01876</t>
  </si>
  <si>
    <t>55208131766522</t>
  </si>
  <si>
    <t>C01877</t>
  </si>
  <si>
    <t>SANOFI CHIMIE</t>
  </si>
  <si>
    <t>42870620400040</t>
  </si>
  <si>
    <t>C01878</t>
  </si>
  <si>
    <t>COVED ROYAN</t>
  </si>
  <si>
    <t>34340353103252</t>
  </si>
  <si>
    <t>C01881</t>
  </si>
  <si>
    <t>SASU DALKIA FROID SOLUTIONS</t>
  </si>
  <si>
    <t>C01848</t>
  </si>
  <si>
    <t>HYDROMETAL FRANCE</t>
  </si>
  <si>
    <t>07705001100038</t>
  </si>
  <si>
    <t>C01850</t>
  </si>
  <si>
    <t>HAMARIS</t>
  </si>
  <si>
    <t>40389199700013</t>
  </si>
  <si>
    <t>C01853</t>
  </si>
  <si>
    <t>SAM SMEG DEVELOPPEMENT</t>
  </si>
  <si>
    <t>C01278</t>
  </si>
  <si>
    <t>SAS BERVAVI</t>
  </si>
  <si>
    <t>C01279</t>
  </si>
  <si>
    <t>SAS SOBOLA</t>
  </si>
  <si>
    <t>40875040400027</t>
  </si>
  <si>
    <t>C01280</t>
  </si>
  <si>
    <t>SA ANTARES</t>
  </si>
  <si>
    <t>41901329700041</t>
  </si>
  <si>
    <t>C01281</t>
  </si>
  <si>
    <t>SAS ALDISCOL</t>
  </si>
  <si>
    <t>C01282</t>
  </si>
  <si>
    <t>SA DUTO</t>
  </si>
  <si>
    <t>C01283</t>
  </si>
  <si>
    <t>SAS CHAMVYLE SA</t>
  </si>
  <si>
    <t>32639755100010</t>
  </si>
  <si>
    <t>C01284</t>
  </si>
  <si>
    <t>DANIEL MOUTON SAINT MALO</t>
  </si>
  <si>
    <t>48198155300029</t>
  </si>
  <si>
    <t>C01285</t>
  </si>
  <si>
    <t>MOUTON DANIEL VOLKSWAGEN FOUGERES</t>
  </si>
  <si>
    <t>32723673300033</t>
  </si>
  <si>
    <t>C01286</t>
  </si>
  <si>
    <t>DANIEL MOUTON VITRE</t>
  </si>
  <si>
    <t>32723673300017</t>
  </si>
  <si>
    <t>C01287</t>
  </si>
  <si>
    <t>SAS GIMIVAL</t>
  </si>
  <si>
    <t>38071511000025</t>
  </si>
  <si>
    <t>C01288</t>
  </si>
  <si>
    <t>SAS AMOHEM</t>
  </si>
  <si>
    <t>C01289</t>
  </si>
  <si>
    <t>SAS RAVINE</t>
  </si>
  <si>
    <t>41288044500025</t>
  </si>
  <si>
    <t>C01290</t>
  </si>
  <si>
    <t>SAS MOTHRACE</t>
  </si>
  <si>
    <t>35220880500015</t>
  </si>
  <si>
    <t>C01291</t>
  </si>
  <si>
    <t>JOKEFLO</t>
  </si>
  <si>
    <t>88323882600035</t>
  </si>
  <si>
    <t>C01292</t>
  </si>
  <si>
    <t>SAS ELVILIA</t>
  </si>
  <si>
    <t>44395119900027</t>
  </si>
  <si>
    <t>C01294</t>
  </si>
  <si>
    <t>SAS AVENIR</t>
  </si>
  <si>
    <t>41277336800029</t>
  </si>
  <si>
    <t>C01295</t>
  </si>
  <si>
    <t>SA LUDIVAN</t>
  </si>
  <si>
    <t>C01296</t>
  </si>
  <si>
    <t>EDENIS TOULOUSE</t>
  </si>
  <si>
    <t>33479505100237</t>
  </si>
  <si>
    <t>C01297</t>
  </si>
  <si>
    <t>EDENIS EPHAD LES 3 FONTAINES - LE MURET</t>
  </si>
  <si>
    <t>33479505100336</t>
  </si>
  <si>
    <t>C01298</t>
  </si>
  <si>
    <t>EDENIS EHPAD LES JARDINS DE MANIBAN - BLAGNAC</t>
  </si>
  <si>
    <t>33479505100229</t>
  </si>
  <si>
    <t>C01300</t>
  </si>
  <si>
    <t>SOCIETE FRANCAISE D ISOLATION</t>
  </si>
  <si>
    <t>C01302</t>
  </si>
  <si>
    <t>SAS MAROUAN</t>
  </si>
  <si>
    <t>41019285000015</t>
  </si>
  <si>
    <t>C01306</t>
  </si>
  <si>
    <t>VARTELEC</t>
  </si>
  <si>
    <t>53922079800026</t>
  </si>
  <si>
    <t>C01307</t>
  </si>
  <si>
    <t>VABEMA</t>
  </si>
  <si>
    <t>C01308</t>
  </si>
  <si>
    <t>ETABLISSEMENTS CANCE</t>
  </si>
  <si>
    <t>9728023400010</t>
  </si>
  <si>
    <t>C01309</t>
  </si>
  <si>
    <t>SAS LES JONQUILLES</t>
  </si>
  <si>
    <t>38118286400029</t>
  </si>
  <si>
    <t>C01310</t>
  </si>
  <si>
    <t>WEB STRATEGIES</t>
  </si>
  <si>
    <t>C01312</t>
  </si>
  <si>
    <t>SAS PATHYVELLE</t>
  </si>
  <si>
    <t>88288975100021</t>
  </si>
  <si>
    <t>C01314</t>
  </si>
  <si>
    <t>SAS VALEX</t>
  </si>
  <si>
    <t>38446139800016</t>
  </si>
  <si>
    <t>C01315</t>
  </si>
  <si>
    <t>SAS HUCADIS</t>
  </si>
  <si>
    <t>89801891600012</t>
  </si>
  <si>
    <t>C01316</t>
  </si>
  <si>
    <t>SAS EMBDIS</t>
  </si>
  <si>
    <t>48032322900017</t>
  </si>
  <si>
    <t>C01317</t>
  </si>
  <si>
    <t>SA D'HLM LES CHALETS</t>
  </si>
  <si>
    <t>66080284400028</t>
  </si>
  <si>
    <t>C01320</t>
  </si>
  <si>
    <t>CONMED</t>
  </si>
  <si>
    <t>42465334300030</t>
  </si>
  <si>
    <t>C01321</t>
  </si>
  <si>
    <t>ESCOLLE BETON</t>
  </si>
  <si>
    <t>33136472900011</t>
  </si>
  <si>
    <t>C01323</t>
  </si>
  <si>
    <t>TECHNOCITY</t>
  </si>
  <si>
    <t>84940326600018</t>
  </si>
  <si>
    <t>C01324</t>
  </si>
  <si>
    <t>SCI MARSEILLE LA RAVELLE</t>
  </si>
  <si>
    <t>C01325</t>
  </si>
  <si>
    <t>SCI LE MORELLON - Dépôt DSIF Lyon</t>
  </si>
  <si>
    <t>35170529800047</t>
  </si>
  <si>
    <t>C01326</t>
  </si>
  <si>
    <t>SCI VILLIERS ARMOIRIES</t>
  </si>
  <si>
    <t>C01327</t>
  </si>
  <si>
    <t>Communauté de Communes Alpes d’Azur</t>
  </si>
  <si>
    <t>C01328</t>
  </si>
  <si>
    <t>ESTEREL COTE D’AZUR AGGLOMERATION</t>
  </si>
  <si>
    <t>20003531900108</t>
  </si>
  <si>
    <t>C01341</t>
  </si>
  <si>
    <t>SAS CEJUSYL</t>
  </si>
  <si>
    <t>33927550500024</t>
  </si>
  <si>
    <t>C01343</t>
  </si>
  <si>
    <t>SAS SOUDAL</t>
  </si>
  <si>
    <t>44988894000011</t>
  </si>
  <si>
    <t>C01344</t>
  </si>
  <si>
    <t>MAIRIE DE ST LAURENT BLANGUY</t>
  </si>
  <si>
    <t>C01345</t>
  </si>
  <si>
    <t>SAS CREYNAUVE</t>
  </si>
  <si>
    <t>80098833900027</t>
  </si>
  <si>
    <t>C01347</t>
  </si>
  <si>
    <t>SAS ESORMA</t>
  </si>
  <si>
    <t>35159739800012</t>
  </si>
  <si>
    <t>C01348</t>
  </si>
  <si>
    <t>SAS GISALDO</t>
  </si>
  <si>
    <t>43869154500026</t>
  </si>
  <si>
    <t>C01349</t>
  </si>
  <si>
    <t>SAS MIRABELLA</t>
  </si>
  <si>
    <t>43140302100014</t>
  </si>
  <si>
    <t>C01350</t>
  </si>
  <si>
    <t>SAS NADFLO</t>
  </si>
  <si>
    <t>80037899400019</t>
  </si>
  <si>
    <t>C01351</t>
  </si>
  <si>
    <t>SA DU GORD</t>
  </si>
  <si>
    <t>39439213800019</t>
  </si>
  <si>
    <t>C01352</t>
  </si>
  <si>
    <t>SA JICEES</t>
  </si>
  <si>
    <t>38062252200023</t>
  </si>
  <si>
    <t>C01354</t>
  </si>
  <si>
    <t>SAS LES ARCADES</t>
  </si>
  <si>
    <t>35065680700012</t>
  </si>
  <si>
    <t>C01355</t>
  </si>
  <si>
    <t>SAS VERSTHAN</t>
  </si>
  <si>
    <t>40389451200025</t>
  </si>
  <si>
    <t>C01356</t>
  </si>
  <si>
    <t>SAS JADORIC</t>
  </si>
  <si>
    <t>C01357</t>
  </si>
  <si>
    <t>SAS VADEMA</t>
  </si>
  <si>
    <t>48926329300016</t>
  </si>
  <si>
    <t>C01358</t>
  </si>
  <si>
    <t>VALDARENA</t>
  </si>
  <si>
    <t>C01359</t>
  </si>
  <si>
    <t>SAS JACVA</t>
  </si>
  <si>
    <t>48404018300010</t>
  </si>
  <si>
    <t>C01360</t>
  </si>
  <si>
    <t>SAS CHAMAFFI</t>
  </si>
  <si>
    <t>C01361</t>
  </si>
  <si>
    <t>SAS ATACLA</t>
  </si>
  <si>
    <t>35261167700019</t>
  </si>
  <si>
    <t>C01362</t>
  </si>
  <si>
    <t>SAS PAVY</t>
  </si>
  <si>
    <t>33985060400010</t>
  </si>
  <si>
    <t>C01363</t>
  </si>
  <si>
    <t>SAS BERCRIS</t>
  </si>
  <si>
    <t>C01364</t>
  </si>
  <si>
    <t>SAS TREBAM</t>
  </si>
  <si>
    <t>82442343800020</t>
  </si>
  <si>
    <t>C01365</t>
  </si>
  <si>
    <t>SA Libre Service Les Marronniers</t>
  </si>
  <si>
    <t>33104771200012</t>
  </si>
  <si>
    <t>C01366</t>
  </si>
  <si>
    <t>JOCILE SAS</t>
  </si>
  <si>
    <t>C01367</t>
  </si>
  <si>
    <t>SAS PREJOUX</t>
  </si>
  <si>
    <t>39902097300018</t>
  </si>
  <si>
    <t>C01368</t>
  </si>
  <si>
    <t>SAS STEPHE</t>
  </si>
  <si>
    <t>35175826300013</t>
  </si>
  <si>
    <t>C01369</t>
  </si>
  <si>
    <t>SAS SAFRAX</t>
  </si>
  <si>
    <t>44335061600019</t>
  </si>
  <si>
    <t>C01370</t>
  </si>
  <si>
    <t>SAS CECLAMA</t>
  </si>
  <si>
    <t>35184247100028</t>
  </si>
  <si>
    <t>C01371</t>
  </si>
  <si>
    <t>SAS PEZALI</t>
  </si>
  <si>
    <t>39811335700014</t>
  </si>
  <si>
    <t>C01372</t>
  </si>
  <si>
    <t>SAS SOVEBRIC</t>
  </si>
  <si>
    <t>88875531100022</t>
  </si>
  <si>
    <t>C01373</t>
  </si>
  <si>
    <t>SAS VORLY</t>
  </si>
  <si>
    <t>38828071100010</t>
  </si>
  <si>
    <t>C01374</t>
  </si>
  <si>
    <t>GROUP ESI</t>
  </si>
  <si>
    <t>33094312700069</t>
  </si>
  <si>
    <t>C01375</t>
  </si>
  <si>
    <t>SAS DEUFIMA</t>
  </si>
  <si>
    <t>79236658500018</t>
  </si>
  <si>
    <t>C01376</t>
  </si>
  <si>
    <t>PFRA Nouvelle Aquitaine</t>
  </si>
  <si>
    <t>C01377</t>
  </si>
  <si>
    <t>PFRA BFC</t>
  </si>
  <si>
    <t>C01378</t>
  </si>
  <si>
    <t>PFRA HDF</t>
  </si>
  <si>
    <t>C01380</t>
  </si>
  <si>
    <t>VPK France</t>
  </si>
  <si>
    <t>32015361200074</t>
  </si>
  <si>
    <t>C01381</t>
  </si>
  <si>
    <t>VEOLIA INDUSTRIES GLOBAL SOLUTIONS SAS</t>
  </si>
  <si>
    <t>C01383</t>
  </si>
  <si>
    <t>SAS POLYTOUL</t>
  </si>
  <si>
    <t>44282539400012</t>
  </si>
  <si>
    <t>C01384</t>
  </si>
  <si>
    <t>SAS SMB</t>
  </si>
  <si>
    <t>C01385</t>
  </si>
  <si>
    <t>35065680700020</t>
  </si>
  <si>
    <t>C01386</t>
  </si>
  <si>
    <t>SAS B2J</t>
  </si>
  <si>
    <t>40668031400969</t>
  </si>
  <si>
    <t>C01388</t>
  </si>
  <si>
    <t>79748872300678</t>
  </si>
  <si>
    <t>C01389</t>
  </si>
  <si>
    <t>AMBULANCES CHATEAU LA VALLIERE</t>
  </si>
  <si>
    <t>50448386800023</t>
  </si>
  <si>
    <t>C01390</t>
  </si>
  <si>
    <t>SARL JULOLILU</t>
  </si>
  <si>
    <t>38349175000014</t>
  </si>
  <si>
    <t>C01392</t>
  </si>
  <si>
    <t>SAS CEDIB</t>
  </si>
  <si>
    <t>40941719300011</t>
  </si>
  <si>
    <t>C01393</t>
  </si>
  <si>
    <t>SICK</t>
  </si>
  <si>
    <t>C01394</t>
  </si>
  <si>
    <t>DOMANYS</t>
  </si>
  <si>
    <t>38282003300019</t>
  </si>
  <si>
    <t>C01395</t>
  </si>
  <si>
    <t>VISHAY SA</t>
  </si>
  <si>
    <t>61204132700026</t>
  </si>
  <si>
    <t>C01397</t>
  </si>
  <si>
    <t>TRANSVINS</t>
  </si>
  <si>
    <t>40224437000134</t>
  </si>
  <si>
    <t>C01399</t>
  </si>
  <si>
    <t>SA SPC CONSULTANTS</t>
  </si>
  <si>
    <t>34376230800033</t>
  </si>
  <si>
    <t>C01400</t>
  </si>
  <si>
    <t>SAS DESAUTEL</t>
  </si>
  <si>
    <t>95950572800011</t>
  </si>
  <si>
    <t>C01401</t>
  </si>
  <si>
    <t>ET P OFFICE PUBLIC DE L'HABITAT DU DEPART</t>
  </si>
  <si>
    <t>77985929700383</t>
  </si>
  <si>
    <t>C01404</t>
  </si>
  <si>
    <t>OLEON SAS</t>
  </si>
  <si>
    <t>32492510600027</t>
  </si>
  <si>
    <t>C01405</t>
  </si>
  <si>
    <t>BACACIER ATLANTIQUE</t>
  </si>
  <si>
    <t>38456442300018</t>
  </si>
  <si>
    <t>C01407</t>
  </si>
  <si>
    <t>APOGEI 94 – FAM de la Pointe du Lac</t>
  </si>
  <si>
    <t>77573764600395</t>
  </si>
  <si>
    <t>C01408</t>
  </si>
  <si>
    <t>Affaire diffus Multi-stations</t>
  </si>
  <si>
    <t>C01409</t>
  </si>
  <si>
    <t>SAS ULYS MOBILITE SERVICES</t>
  </si>
  <si>
    <t>C01412</t>
  </si>
  <si>
    <t>SAS MILLAU DIFF</t>
  </si>
  <si>
    <t>C01413</t>
  </si>
  <si>
    <t>ASS RESILIENCE OCCITANIE</t>
  </si>
  <si>
    <t>77558124200069</t>
  </si>
  <si>
    <t>C01414</t>
  </si>
  <si>
    <t>INEO SYSTRANS C/O EQUANS BUSINESS SUPPORT</t>
  </si>
  <si>
    <t>42115915300061</t>
  </si>
  <si>
    <t>C01417</t>
  </si>
  <si>
    <t>SMURFIT Kappa Rethel</t>
  </si>
  <si>
    <t>49325490800145</t>
  </si>
  <si>
    <t>C01418</t>
  </si>
  <si>
    <t>SMURFIT KAPPA FRANCE SITE DE SIEMCO</t>
  </si>
  <si>
    <t xml:space="preserve"> 49325490800152</t>
  </si>
  <si>
    <t>C01419</t>
  </si>
  <si>
    <t>Smurfit Kappa France Usine de Vernon</t>
  </si>
  <si>
    <t>47970115300112</t>
  </si>
  <si>
    <t>C01421</t>
  </si>
  <si>
    <t>Smurfit Kappa Roubaix</t>
  </si>
  <si>
    <t>48529172800015</t>
  </si>
  <si>
    <t>C01422</t>
  </si>
  <si>
    <t>Smurfit Kappa Dore Emballage</t>
  </si>
  <si>
    <t>31322137600012</t>
  </si>
  <si>
    <t>C01423</t>
  </si>
  <si>
    <t>Smurfit Kappa Mortagne</t>
  </si>
  <si>
    <t xml:space="preserve"> 49325490800111</t>
  </si>
  <si>
    <t>C01425</t>
  </si>
  <si>
    <t>Smurfit Kappa Parnalland</t>
  </si>
  <si>
    <t>03548005200014</t>
  </si>
  <si>
    <t>C01426</t>
  </si>
  <si>
    <t>Smurfit Kappa Gétigné Ouest</t>
  </si>
  <si>
    <t xml:space="preserve"> 49325490800160</t>
  </si>
  <si>
    <t>C01427</t>
  </si>
  <si>
    <t>Smurfit Kappa Gallargues</t>
  </si>
  <si>
    <t xml:space="preserve"> 49325490800228</t>
  </si>
  <si>
    <t>C01430</t>
  </si>
  <si>
    <t>Smurfit Kappa Central pac</t>
  </si>
  <si>
    <t xml:space="preserve"> 49325490800079</t>
  </si>
  <si>
    <t>C01431</t>
  </si>
  <si>
    <t>SAS GRUPO ANTOLIN CAMBRAI</t>
  </si>
  <si>
    <t>43871230900030</t>
  </si>
  <si>
    <t>C01432</t>
  </si>
  <si>
    <t>ETS HOPITAL LOCAL DU NEUBOURG</t>
  </si>
  <si>
    <t>C01433</t>
  </si>
  <si>
    <t>BETON VICAT</t>
  </si>
  <si>
    <t>30991846401630</t>
  </si>
  <si>
    <t>C01436</t>
  </si>
  <si>
    <t>TEREOS PARTICIPATIONS</t>
  </si>
  <si>
    <t>44441305800017</t>
  </si>
  <si>
    <t>C01437</t>
  </si>
  <si>
    <t>SAS JIBLA</t>
  </si>
  <si>
    <t>50004723800018</t>
  </si>
  <si>
    <t>C01439</t>
  </si>
  <si>
    <t>SASU KOPSTER COLOMBES</t>
  </si>
  <si>
    <t>84317334500011</t>
  </si>
  <si>
    <t>C01441</t>
  </si>
  <si>
    <t>SAS AZELIS FRANCE</t>
  </si>
  <si>
    <t>C01442</t>
  </si>
  <si>
    <t>SNC BILANS SERVICE</t>
  </si>
  <si>
    <t>C01443</t>
  </si>
  <si>
    <t>SCI JOKER</t>
  </si>
  <si>
    <t>89198419700022</t>
  </si>
  <si>
    <t>C01444</t>
  </si>
  <si>
    <t>ATLANTIQUE AUTO LOCATION SAS</t>
  </si>
  <si>
    <t>68272074300108</t>
  </si>
  <si>
    <t>C01445</t>
  </si>
  <si>
    <t>Société Basque de Locations Automobiles</t>
  </si>
  <si>
    <t>C01446</t>
  </si>
  <si>
    <t>SIXT SAS_</t>
  </si>
  <si>
    <t>41120701200013</t>
  </si>
  <si>
    <t>C01447</t>
  </si>
  <si>
    <t>AMAZONE SA</t>
  </si>
  <si>
    <t>57980003800054</t>
  </si>
  <si>
    <t>C01448</t>
  </si>
  <si>
    <t>SYNDICOPRO Calais</t>
  </si>
  <si>
    <t>C01450</t>
  </si>
  <si>
    <t>SEGULA TECHNOLOGIES</t>
  </si>
  <si>
    <t>33058108300921</t>
  </si>
  <si>
    <t>C01452</t>
  </si>
  <si>
    <t>SAS PAULEO</t>
  </si>
  <si>
    <t>91280424200010</t>
  </si>
  <si>
    <t>C01453</t>
  </si>
  <si>
    <t>FIGA PERPIGNAN</t>
  </si>
  <si>
    <t>C01454</t>
  </si>
  <si>
    <t>GIE SERVICIMMOG</t>
  </si>
  <si>
    <t>C01455</t>
  </si>
  <si>
    <t>SCCV PUTEAUX 46 ARAGO</t>
  </si>
  <si>
    <t>C01456</t>
  </si>
  <si>
    <t>SMURFIT KAPPA POITOU CARTONS SASU</t>
  </si>
  <si>
    <t>31899412600023</t>
  </si>
  <si>
    <t>C01460</t>
  </si>
  <si>
    <t>ASL LOBAU C/O ACCESSITE</t>
  </si>
  <si>
    <t>C01461</t>
  </si>
  <si>
    <t>SAS SERTHISA</t>
  </si>
  <si>
    <t>49119634100011</t>
  </si>
  <si>
    <t>C01462</t>
  </si>
  <si>
    <t>SAS 3CMETAL</t>
  </si>
  <si>
    <t>C01463</t>
  </si>
  <si>
    <t>EURL ANTELES</t>
  </si>
  <si>
    <t>53319883400020</t>
  </si>
  <si>
    <t>C01464</t>
  </si>
  <si>
    <t>GIE AXA FRANCE</t>
  </si>
  <si>
    <t>C01465</t>
  </si>
  <si>
    <t>3M BRICOLAGE ET BATIMENT</t>
  </si>
  <si>
    <t>37962216000024</t>
  </si>
  <si>
    <t>C01466</t>
  </si>
  <si>
    <t>GECINA</t>
  </si>
  <si>
    <t>59201447600150</t>
  </si>
  <si>
    <t>C01467</t>
  </si>
  <si>
    <t>MACIF - NEMOURS</t>
  </si>
  <si>
    <t>C01468</t>
  </si>
  <si>
    <t>SAS JEAN CHEREAU SAS</t>
  </si>
  <si>
    <t>C01470</t>
  </si>
  <si>
    <t>SASU DOCONE</t>
  </si>
  <si>
    <t>31881180900124</t>
  </si>
  <si>
    <t>C01472</t>
  </si>
  <si>
    <t>KARL STORZ ENDOSCOPIE FRANCE</t>
  </si>
  <si>
    <t>63201145800031</t>
  </si>
  <si>
    <t>C01473</t>
  </si>
  <si>
    <t>SCA AVRIL</t>
  </si>
  <si>
    <t>C01476</t>
  </si>
  <si>
    <t>Ne pas utiliser voir C00844 DALKIA ELECTROTECHNICS</t>
  </si>
  <si>
    <t>C01479</t>
  </si>
  <si>
    <t>SAS EQIOM</t>
  </si>
  <si>
    <t>C01480</t>
  </si>
  <si>
    <t>SAS C DIS</t>
  </si>
  <si>
    <t>41069809600030</t>
  </si>
  <si>
    <t>C01481</t>
  </si>
  <si>
    <t>SAS EQIOM BETONS</t>
  </si>
  <si>
    <t>C01482</t>
  </si>
  <si>
    <t>SAS EQIOM EBANGE</t>
  </si>
  <si>
    <t>C01882</t>
  </si>
  <si>
    <t>ASS LIGUE MEDITERRANEE FOOT BALL</t>
  </si>
  <si>
    <t>78281290300030</t>
  </si>
  <si>
    <t>C01883</t>
  </si>
  <si>
    <t>FRANCE AIR</t>
  </si>
  <si>
    <t>37800602700015</t>
  </si>
  <si>
    <t>C01887</t>
  </si>
  <si>
    <t>PROVENCIA CARREFOUR MARKET</t>
  </si>
  <si>
    <t>C01888</t>
  </si>
  <si>
    <t>SA ARVAL SERVICE LEASE</t>
  </si>
  <si>
    <t>C01890</t>
  </si>
  <si>
    <t>Ets Base de SAINT HILAIRE</t>
  </si>
  <si>
    <t>C01891</t>
  </si>
  <si>
    <t>INGRAM MICRO</t>
  </si>
  <si>
    <t>53469058100028</t>
  </si>
  <si>
    <t>C01893</t>
  </si>
  <si>
    <t>CHAMBRE D'AGRICULTURE DES PYRENEES ATLANTIQUES</t>
  </si>
  <si>
    <t>18640003200022</t>
  </si>
  <si>
    <t>C01894</t>
  </si>
  <si>
    <t>MAIRIE DE PLOUMAGOAR</t>
  </si>
  <si>
    <t>21220225300010</t>
  </si>
  <si>
    <t>C01895</t>
  </si>
  <si>
    <t>C01896</t>
  </si>
  <si>
    <t>DISTRIBUTION FRANPRIX - Chennevières-sur-Marne</t>
  </si>
  <si>
    <t>41426516500020</t>
  </si>
  <si>
    <t>C01897</t>
  </si>
  <si>
    <t>SAS PAPREC GRAND ILE DE FRANCE</t>
  </si>
  <si>
    <t xml:space="preserve"> 42171646500156</t>
  </si>
  <si>
    <t>C01899</t>
  </si>
  <si>
    <t>SAS PAPREC SUD-OUEST</t>
  </si>
  <si>
    <t>51186732700021</t>
  </si>
  <si>
    <t>C01900</t>
  </si>
  <si>
    <t>SAS SMURFIT KAPPA FRANCE</t>
  </si>
  <si>
    <t>49325490800202</t>
  </si>
  <si>
    <t>C01904</t>
  </si>
  <si>
    <t>SAS ENEXTEN</t>
  </si>
  <si>
    <t>C01905</t>
  </si>
  <si>
    <t>SYNDICAT PROFESSIONNEL DES PILOTES DE DUNKERQUE</t>
  </si>
  <si>
    <t>78359502800037</t>
  </si>
  <si>
    <t>C01906</t>
  </si>
  <si>
    <t>CCAS WATTRELOS</t>
  </si>
  <si>
    <t>26590650300031</t>
  </si>
  <si>
    <t>C01907</t>
  </si>
  <si>
    <t>LIGUE DE FOOTBALL DES PAYS DE LA LOIRE</t>
  </si>
  <si>
    <t>78601603000029</t>
  </si>
  <si>
    <t>C01909</t>
  </si>
  <si>
    <t>GROUPE PLG - BLANQUEFORT</t>
  </si>
  <si>
    <t>44030355000220</t>
  </si>
  <si>
    <t>C01912</t>
  </si>
  <si>
    <t>MONTA APS</t>
  </si>
  <si>
    <t>DANEMARK</t>
  </si>
  <si>
    <t>C01915</t>
  </si>
  <si>
    <t>DEFTPOWER B.V.</t>
  </si>
  <si>
    <t>C01916</t>
  </si>
  <si>
    <t>SOCIETE HOTELIERE DU PALM BEACH</t>
  </si>
  <si>
    <t>C01918</t>
  </si>
  <si>
    <t>CARREFOUR MARKET PROVENCIA GENEVOIS DISTRIBUTION</t>
  </si>
  <si>
    <t>30809108100015</t>
  </si>
  <si>
    <t>C01919</t>
  </si>
  <si>
    <t>LIGUE DE BRETAGNE DE FOOTBALL</t>
  </si>
  <si>
    <t>77774667800062</t>
  </si>
  <si>
    <t>C01921</t>
  </si>
  <si>
    <t>SAS PRODEC</t>
  </si>
  <si>
    <t>79425648700024</t>
  </si>
  <si>
    <t>C01926</t>
  </si>
  <si>
    <t>DISTRICT VAL OISE FOOTBALL</t>
  </si>
  <si>
    <t>32303771300035</t>
  </si>
  <si>
    <t>C01927</t>
  </si>
  <si>
    <t>LIGUE DE FOOTBALL D'OCCITANIE</t>
  </si>
  <si>
    <t>C01928</t>
  </si>
  <si>
    <t>DISTRICT DE LA VIENNE DE FOOTBALL</t>
  </si>
  <si>
    <t>C01929</t>
  </si>
  <si>
    <t>MAIRIE DE JEUMONT</t>
  </si>
  <si>
    <t>21590324600019</t>
  </si>
  <si>
    <t>C01930</t>
  </si>
  <si>
    <t>LIGUE BOURGOGNE-FRANCHE-COMTE DE FOOTBALL</t>
  </si>
  <si>
    <t>C01931</t>
  </si>
  <si>
    <t>LIMAGRAIN EUROPE</t>
  </si>
  <si>
    <t>54200982400161</t>
  </si>
  <si>
    <t>C01932</t>
  </si>
  <si>
    <t>RHENUS LOGISTICS VAULX MILIEU</t>
  </si>
  <si>
    <t>48121256100312</t>
  </si>
  <si>
    <t>C01933</t>
  </si>
  <si>
    <t>RHENUS LOGISTICS GRETZ</t>
  </si>
  <si>
    <t>44236200000030</t>
  </si>
  <si>
    <t>C01934</t>
  </si>
  <si>
    <t>RHENUS LOGISTICS STRASBOURG</t>
  </si>
  <si>
    <t>72820273000491</t>
  </si>
  <si>
    <t>C01935</t>
  </si>
  <si>
    <t>ZENITH ARCHE 2</t>
  </si>
  <si>
    <t>88869591300028</t>
  </si>
  <si>
    <t>C01937</t>
  </si>
  <si>
    <t>ETS INSTITUTION DE GESTION SOCIALE DES A</t>
  </si>
  <si>
    <t>C01939</t>
  </si>
  <si>
    <t>GRAND PARIS AMENAGEMENT</t>
  </si>
  <si>
    <t>64203694100036</t>
  </si>
  <si>
    <t>C01940</t>
  </si>
  <si>
    <t>ROAD B.V.</t>
  </si>
  <si>
    <t>C01941</t>
  </si>
  <si>
    <t>SAS CLABODIS</t>
  </si>
  <si>
    <t>C01943</t>
  </si>
  <si>
    <t>BOLUDA LE HAVRE</t>
  </si>
  <si>
    <t>36850070800020</t>
  </si>
  <si>
    <t>C01948</t>
  </si>
  <si>
    <t>SAS EVRODIS</t>
  </si>
  <si>
    <t>C01949</t>
  </si>
  <si>
    <t>SAS ST VICTOR DISTRIBUTION</t>
  </si>
  <si>
    <t>C01950</t>
  </si>
  <si>
    <t>SAS ST GEORGES</t>
  </si>
  <si>
    <t>40532506900020</t>
  </si>
  <si>
    <t>C01951</t>
  </si>
  <si>
    <t>SAS DISTRAUNEAU</t>
  </si>
  <si>
    <t>84005291400024</t>
  </si>
  <si>
    <t>C01952</t>
  </si>
  <si>
    <t>SAS GOLF - RESORT  TERRE BLANCHE  SAS</t>
  </si>
  <si>
    <t>49284323000037</t>
  </si>
  <si>
    <t>C01953</t>
  </si>
  <si>
    <t>ADVANCED COMFORT SYSTEMS FRANCE</t>
  </si>
  <si>
    <t>C01954</t>
  </si>
  <si>
    <t>SAS S.A.T.E</t>
  </si>
  <si>
    <t>82204541500053</t>
  </si>
  <si>
    <t>C01955</t>
  </si>
  <si>
    <t>CENTIGON FRANCE</t>
  </si>
  <si>
    <t>34799419600017</t>
  </si>
  <si>
    <t>C01956</t>
  </si>
  <si>
    <t>SA ADA</t>
  </si>
  <si>
    <t>C01957</t>
  </si>
  <si>
    <t>SAS JOLTEE</t>
  </si>
  <si>
    <t>C01958</t>
  </si>
  <si>
    <t>MB92</t>
  </si>
  <si>
    <t>42386465100017</t>
  </si>
  <si>
    <t>C01959</t>
  </si>
  <si>
    <t>AFICEPP</t>
  </si>
  <si>
    <t>C01960</t>
  </si>
  <si>
    <t>SAS SODISSOIRE</t>
  </si>
  <si>
    <t>67201408100158</t>
  </si>
  <si>
    <t>C01961</t>
  </si>
  <si>
    <t>SAFRAN MARTIN BAKER France</t>
  </si>
  <si>
    <t>C01962</t>
  </si>
  <si>
    <t>SCI LC MONTESPAN</t>
  </si>
  <si>
    <t>C01963</t>
  </si>
  <si>
    <t>ASL TERRALUMIA</t>
  </si>
  <si>
    <t>C01673</t>
  </si>
  <si>
    <t>IKEA ROUEN</t>
  </si>
  <si>
    <t>C01674</t>
  </si>
  <si>
    <t>MALTEP SASU</t>
  </si>
  <si>
    <t>45154565100015</t>
  </si>
  <si>
    <t>C01675</t>
  </si>
  <si>
    <t>SMC FRANCE</t>
  </si>
  <si>
    <t>34454304600041</t>
  </si>
  <si>
    <t>C01676</t>
  </si>
  <si>
    <t>Smurfit Kappa Cartonnerie d'Uzerche</t>
  </si>
  <si>
    <t xml:space="preserve"> 49325490800053</t>
  </si>
  <si>
    <t>C01677</t>
  </si>
  <si>
    <t>Smurfit Kappa Cartonnerie St Seurin</t>
  </si>
  <si>
    <t xml:space="preserve"> 49325490800046</t>
  </si>
  <si>
    <t>C01679</t>
  </si>
  <si>
    <t>Smurfit Kappa Cartonneries Nouvelles de Cham</t>
  </si>
  <si>
    <t>77561221100018</t>
  </si>
  <si>
    <t>C01680</t>
  </si>
  <si>
    <t>Smurfit Kappa Cartonnerie Dijon</t>
  </si>
  <si>
    <t>49325490800087</t>
  </si>
  <si>
    <t>C01681</t>
  </si>
  <si>
    <t>SAS CEGELEC CENTRE EST TERTIAIRE SAS</t>
  </si>
  <si>
    <t>41864733500094</t>
  </si>
  <si>
    <t>C01682</t>
  </si>
  <si>
    <t>SAS FERROPEM</t>
  </si>
  <si>
    <t>64200517700240</t>
  </si>
  <si>
    <t>C01685</t>
  </si>
  <si>
    <t>SAS KOPSTER PORTE DE VERSAILLES</t>
  </si>
  <si>
    <t>90117797200022</t>
  </si>
  <si>
    <t>C01686</t>
  </si>
  <si>
    <t>SAS IVECO FRANCE</t>
  </si>
  <si>
    <t>41968381800241</t>
  </si>
  <si>
    <t>C01687</t>
  </si>
  <si>
    <t>COMM COMMUNE DE NANTES</t>
  </si>
  <si>
    <t>21440109300015</t>
  </si>
  <si>
    <t>C01688</t>
  </si>
  <si>
    <t>NANTES METROPOLE</t>
  </si>
  <si>
    <t>C01689</t>
  </si>
  <si>
    <t>Smurfit Kappa Cartonnage de Roeze sur Sarthe</t>
  </si>
  <si>
    <t>57705027100011</t>
  </si>
  <si>
    <t>C01690</t>
  </si>
  <si>
    <t>Smurfit Kappa PLV Lyon</t>
  </si>
  <si>
    <t>95650221500042</t>
  </si>
  <si>
    <t>C01691</t>
  </si>
  <si>
    <t>Smurfit Kappa Cartonnerie de Bray en Val</t>
  </si>
  <si>
    <t xml:space="preserve"> 49325490800244</t>
  </si>
  <si>
    <t>C01692</t>
  </si>
  <si>
    <t>Smurfit Kappa Cartonnerie Bigny</t>
  </si>
  <si>
    <t>49325490800129</t>
  </si>
  <si>
    <t>C01693</t>
  </si>
  <si>
    <t>Smurfit Kappa Cartonnerie Crest</t>
  </si>
  <si>
    <t>49325490800095</t>
  </si>
  <si>
    <t>C01694</t>
  </si>
  <si>
    <t>Smurfit Kappa Papcart Gétigné</t>
  </si>
  <si>
    <t>87080048900011</t>
  </si>
  <si>
    <t>C01695</t>
  </si>
  <si>
    <t>SCI DU 32 AVENUE P  GRENIER</t>
  </si>
  <si>
    <t>C01696</t>
  </si>
  <si>
    <t>BLULINC</t>
  </si>
  <si>
    <t>C01697</t>
  </si>
  <si>
    <t>BORNES LIB</t>
  </si>
  <si>
    <t>C01698</t>
  </si>
  <si>
    <t>LODMI</t>
  </si>
  <si>
    <t>C01699</t>
  </si>
  <si>
    <t>DRAGER FRANCE SAS</t>
  </si>
  <si>
    <t>31860586200024</t>
  </si>
  <si>
    <t>C01700</t>
  </si>
  <si>
    <t>SARTORIUS STEDIM CHROMATOGRAPHY RESINS S.A.S .</t>
  </si>
  <si>
    <t>88048978600025</t>
  </si>
  <si>
    <t>C01701</t>
  </si>
  <si>
    <t>DEKRA Industrial Holding SAS</t>
  </si>
  <si>
    <t>C01702</t>
  </si>
  <si>
    <t>AXXES</t>
  </si>
  <si>
    <t>C01703</t>
  </si>
  <si>
    <t>SAS PAPREC GRAND-OUEST</t>
  </si>
  <si>
    <t>38183085000198</t>
  </si>
  <si>
    <t>C01704</t>
  </si>
  <si>
    <t>42171646500081</t>
  </si>
  <si>
    <t>C01707</t>
  </si>
  <si>
    <t>SAS COLLECTES VALORISATION ENERGIE DECHE</t>
  </si>
  <si>
    <t>90844032400014</t>
  </si>
  <si>
    <t>C01708</t>
  </si>
  <si>
    <t>SAS PAPREC GRAND ILE DE FRANCE-AGENCE VILLEUNEUVE</t>
  </si>
  <si>
    <t>42171646500032</t>
  </si>
  <si>
    <t>C01709</t>
  </si>
  <si>
    <t>SAS PAPREC GRAND ILE DE FRANCE- AGENCE GENEVILLIER</t>
  </si>
  <si>
    <t>42171646500206</t>
  </si>
  <si>
    <t>C01710</t>
  </si>
  <si>
    <t>SAS PAPREC GRAND-OUEST - AGENCE SAINT NAZAIRE</t>
  </si>
  <si>
    <t>38183085000230</t>
  </si>
  <si>
    <t>C01711</t>
  </si>
  <si>
    <t>Camping Riviera d'Azur</t>
  </si>
  <si>
    <t>C01712</t>
  </si>
  <si>
    <t>Camping Sanguinet Plage SAS</t>
  </si>
  <si>
    <t>C01713</t>
  </si>
  <si>
    <t>Camping Les Tamaris SAS</t>
  </si>
  <si>
    <t>C01714</t>
  </si>
  <si>
    <t>Camping Douce Quiétude SNC</t>
  </si>
  <si>
    <t>C01715</t>
  </si>
  <si>
    <t>Camping Les Deux Fontaines SAS</t>
  </si>
  <si>
    <t>C01716</t>
  </si>
  <si>
    <t>Camping Les Vagues</t>
  </si>
  <si>
    <t>C01717</t>
  </si>
  <si>
    <t>Blenod</t>
  </si>
  <si>
    <t>C01719</t>
  </si>
  <si>
    <t>45650053703475</t>
  </si>
  <si>
    <t>C01720</t>
  </si>
  <si>
    <t>SAS AGILAUTO PARTAGE</t>
  </si>
  <si>
    <t>54209752203309</t>
  </si>
  <si>
    <t>C01721</t>
  </si>
  <si>
    <t>LYCEE FRANCOIS PREMIER</t>
  </si>
  <si>
    <t>C01722</t>
  </si>
  <si>
    <t>ECONOCOM PRODUCTS AND SOLUTIONS</t>
  </si>
  <si>
    <t>C01723</t>
  </si>
  <si>
    <t>CIRCET</t>
  </si>
  <si>
    <t>39007255100018</t>
  </si>
  <si>
    <t>C01725</t>
  </si>
  <si>
    <t>SARL JUTIN - Super U JOUE LES TOURS</t>
  </si>
  <si>
    <t>C01726</t>
  </si>
  <si>
    <t>SAS VENTE-PRIVEE LOGISTIQUE</t>
  </si>
  <si>
    <t>45265050000054</t>
  </si>
  <si>
    <t>C01727</t>
  </si>
  <si>
    <t>SAS HORIBA ABX SAS</t>
  </si>
  <si>
    <t>32803104200042</t>
  </si>
  <si>
    <t>C01728</t>
  </si>
  <si>
    <t>CENTRIMEX</t>
  </si>
  <si>
    <t>C01729</t>
  </si>
  <si>
    <t>LA NOUVELLE REPUBLIQUE DU CENTRE OUEST</t>
  </si>
  <si>
    <t>58480012200676</t>
  </si>
  <si>
    <t>C01730</t>
  </si>
  <si>
    <t>SCI SCI SERRE DU VILLARD</t>
  </si>
  <si>
    <t>83498284500010</t>
  </si>
  <si>
    <t>C01731</t>
  </si>
  <si>
    <t>SAS VACANCES BLEUES RESIDENCES</t>
  </si>
  <si>
    <t>C01732</t>
  </si>
  <si>
    <t>SCI PLEIN SUD</t>
  </si>
  <si>
    <t>40003087000028</t>
  </si>
  <si>
    <t>C01734</t>
  </si>
  <si>
    <t>SCI VILLA MARLIOZ</t>
  </si>
  <si>
    <t>C01736</t>
  </si>
  <si>
    <t>SAS VACANCES BLEUES HOTELS</t>
  </si>
  <si>
    <t>39112787500097</t>
  </si>
  <si>
    <t>C01737</t>
  </si>
  <si>
    <t>WIPAK GRYSPEERT</t>
  </si>
  <si>
    <t>32895935800024</t>
  </si>
  <si>
    <t>C01738</t>
  </si>
  <si>
    <t>GRAND LARGE</t>
  </si>
  <si>
    <t>C01739</t>
  </si>
  <si>
    <t>SOVEX GRANDSCHATEAUX</t>
  </si>
  <si>
    <t>32596272800052</t>
  </si>
  <si>
    <t>C01740</t>
  </si>
  <si>
    <t>MEWA SARL</t>
  </si>
  <si>
    <t>C01741</t>
  </si>
  <si>
    <t>Amis de la Plage</t>
  </si>
  <si>
    <t>89754111600017</t>
  </si>
  <si>
    <t>C01742</t>
  </si>
  <si>
    <t>SYNERGIE SE</t>
  </si>
  <si>
    <t>32992501008262</t>
  </si>
  <si>
    <t>C01743</t>
  </si>
  <si>
    <t>GROUPE PARTOUCHE -CASINO LA ROCHE POSAY</t>
  </si>
  <si>
    <t>33115299100021</t>
  </si>
  <si>
    <t>C01744</t>
  </si>
  <si>
    <t>FIVES NORDON</t>
  </si>
  <si>
    <t>43394803100011</t>
  </si>
  <si>
    <t>C01745</t>
  </si>
  <si>
    <t>AVRIL SERVICES</t>
  </si>
  <si>
    <t>C01746</t>
  </si>
  <si>
    <t>PROLEA  IMMOBILIER</t>
  </si>
  <si>
    <t>51774130200023</t>
  </si>
  <si>
    <t>C01747</t>
  </si>
  <si>
    <t>LESIEUR</t>
  </si>
  <si>
    <t>C01748</t>
  </si>
  <si>
    <t>SAS JONADIS</t>
  </si>
  <si>
    <t>C01749</t>
  </si>
  <si>
    <t>SAS LA MARANDAISE</t>
  </si>
  <si>
    <t>C01750</t>
  </si>
  <si>
    <t>MVM Mobiliti Kft</t>
  </si>
  <si>
    <t>HONGRIE</t>
  </si>
  <si>
    <t>C01752</t>
  </si>
  <si>
    <t>QUEVILLY HABITAT</t>
  </si>
  <si>
    <t>59050056700078</t>
  </si>
  <si>
    <t>C01753</t>
  </si>
  <si>
    <t>FOREST STYLE SERVICES</t>
  </si>
  <si>
    <t>42358913400059</t>
  </si>
  <si>
    <t>C01754</t>
  </si>
  <si>
    <t>C01755</t>
  </si>
  <si>
    <t>MANOIR DE LA ROCHE TORIN</t>
  </si>
  <si>
    <t>79056717600017</t>
  </si>
  <si>
    <t>C01756</t>
  </si>
  <si>
    <t>BANQUE POPULAIRE VAL DE FRANCE</t>
  </si>
  <si>
    <t>54980037300926</t>
  </si>
  <si>
    <t>C01757</t>
  </si>
  <si>
    <t>SCI MEUNIER COUERON</t>
  </si>
  <si>
    <t>40107174100029</t>
  </si>
  <si>
    <t>C01759</t>
  </si>
  <si>
    <t>SCI Le Grand But</t>
  </si>
  <si>
    <t>C01760</t>
  </si>
  <si>
    <t>SAS CAMPAGNE SAINT ESTEVE</t>
  </si>
  <si>
    <t>52017229700035</t>
  </si>
  <si>
    <t>C01762</t>
  </si>
  <si>
    <t>SAS SAINT-GOBAIN EXPERTISE ET SERVICE</t>
  </si>
  <si>
    <t>31761213300056</t>
  </si>
  <si>
    <t>C01763</t>
  </si>
  <si>
    <t>SA CEETRUS FRANCE</t>
  </si>
  <si>
    <t>C01764</t>
  </si>
  <si>
    <t>ASL MANTES</t>
  </si>
  <si>
    <t>C01765</t>
  </si>
  <si>
    <t>EHPAD LES JONQUILLES</t>
  </si>
  <si>
    <t>C01766</t>
  </si>
  <si>
    <t>SESSAD DES 36 PONTS</t>
  </si>
  <si>
    <t>C01767</t>
  </si>
  <si>
    <t>EHPAD L'ALBERGUE</t>
  </si>
  <si>
    <t>C01768</t>
  </si>
  <si>
    <t>FOYER FOND PEYRE</t>
  </si>
  <si>
    <t>C01769</t>
  </si>
  <si>
    <t>IME SESSAD PORTES DE GARONNE</t>
  </si>
  <si>
    <t>C01770</t>
  </si>
  <si>
    <t>MARQUIOL RESILIENCE VAL D'ARIZE</t>
  </si>
  <si>
    <t>C01771</t>
  </si>
  <si>
    <t>IMPRO LAMARCK 36 PONTS</t>
  </si>
  <si>
    <t>C01772</t>
  </si>
  <si>
    <t>SESSAD PAUL SOULIE</t>
  </si>
  <si>
    <t>90191828400018</t>
  </si>
  <si>
    <t>C01773</t>
  </si>
  <si>
    <t>ASSOCIATION LE FORESTA</t>
  </si>
  <si>
    <t>51008482500049</t>
  </si>
  <si>
    <t>C01774</t>
  </si>
  <si>
    <t>SASU DUPARC ET GESLIN</t>
  </si>
  <si>
    <t>76020047700114</t>
  </si>
  <si>
    <t>C01775</t>
  </si>
  <si>
    <t>SAS SHD-IMMO ATLANTIS</t>
  </si>
  <si>
    <t>86980050800028</t>
  </si>
  <si>
    <t>C01777</t>
  </si>
  <si>
    <t>GROUPE COMPTOIR</t>
  </si>
  <si>
    <t>39490829700044</t>
  </si>
  <si>
    <t>C01778</t>
  </si>
  <si>
    <t>PFRA CVDL</t>
  </si>
  <si>
    <t>C01779</t>
  </si>
  <si>
    <t>DOMAINE DE L'AGREOU</t>
  </si>
  <si>
    <t>C01780</t>
  </si>
  <si>
    <t>ORTEC ENVIRONNEMENT ROUEN</t>
  </si>
  <si>
    <t>38967501800151</t>
  </si>
  <si>
    <t>C01782</t>
  </si>
  <si>
    <t>AQUABELLA</t>
  </si>
  <si>
    <t>C01785</t>
  </si>
  <si>
    <t>SARL ZEBORNE</t>
  </si>
  <si>
    <t>C01786</t>
  </si>
  <si>
    <t>SAS COVED ENVIRONNEMENT</t>
  </si>
  <si>
    <t>C01788</t>
  </si>
  <si>
    <t>SAS SMURFIT KAPPA DISPLAY BRETIGNY</t>
  </si>
  <si>
    <t>49329122300011</t>
  </si>
  <si>
    <t>C01789</t>
  </si>
  <si>
    <t>VIRGILE ARENE</t>
  </si>
  <si>
    <t>92026660800032</t>
  </si>
  <si>
    <t>C01791</t>
  </si>
  <si>
    <t>CGR CINEMAS</t>
  </si>
  <si>
    <t>40753536800028</t>
  </si>
  <si>
    <t>C01793</t>
  </si>
  <si>
    <t>Paris 2024</t>
  </si>
  <si>
    <t>83498343900029</t>
  </si>
  <si>
    <t>C01794</t>
  </si>
  <si>
    <t>NHOOD SERVICES FRANCE</t>
  </si>
  <si>
    <t>79531556300010</t>
  </si>
  <si>
    <t>C01795</t>
  </si>
  <si>
    <t>TOYOTA MATERIAL HANDLING MANUFACTURING SAS</t>
  </si>
  <si>
    <t>40018553400023</t>
  </si>
  <si>
    <t>C01796</t>
  </si>
  <si>
    <t>MVCI HOLIDAYS FRANCE SAS</t>
  </si>
  <si>
    <t>44036574000024</t>
  </si>
  <si>
    <t>C01797</t>
  </si>
  <si>
    <t>COOPERATIVE U ENSEIGNE MULHOUSE BAAF</t>
  </si>
  <si>
    <t>C01799</t>
  </si>
  <si>
    <t>SAS BACACIER MERIDIONAL</t>
  </si>
  <si>
    <t>C01801</t>
  </si>
  <si>
    <t>LTIS</t>
  </si>
  <si>
    <t>50439891800020</t>
  </si>
  <si>
    <t>C01802</t>
  </si>
  <si>
    <t>DERICHEBOURG POLYCEJA</t>
  </si>
  <si>
    <t>C01803</t>
  </si>
  <si>
    <t>SCI MOSELLE LA MAXE</t>
  </si>
  <si>
    <t>C01804</t>
  </si>
  <si>
    <t>COOP LES CAVES DE LA LOIRE</t>
  </si>
  <si>
    <t>C01807</t>
  </si>
  <si>
    <t>BRUNET ORLEANS</t>
  </si>
  <si>
    <t>38981890700526</t>
  </si>
  <si>
    <t>C01808</t>
  </si>
  <si>
    <t>BRUNET Nantes Sud</t>
  </si>
  <si>
    <t>38981890700518</t>
  </si>
  <si>
    <t>C01809</t>
  </si>
  <si>
    <t>BRUNET Bordeaux</t>
  </si>
  <si>
    <t>38981890700559</t>
  </si>
  <si>
    <t>C01810</t>
  </si>
  <si>
    <t>BRUNET BATAILLE Le Neubourg</t>
  </si>
  <si>
    <t>38981890700468</t>
  </si>
  <si>
    <t>C01811</t>
  </si>
  <si>
    <t>BRUNET ALPHA CLIMA Lille</t>
  </si>
  <si>
    <t>38981890700534</t>
  </si>
  <si>
    <t>C01812</t>
  </si>
  <si>
    <t>BRUNET EEGI Toulouse</t>
  </si>
  <si>
    <t>38981890700401</t>
  </si>
  <si>
    <t>C01813</t>
  </si>
  <si>
    <t>BRUNET Angoulême</t>
  </si>
  <si>
    <t>38981890700211</t>
  </si>
  <si>
    <t>C01814</t>
  </si>
  <si>
    <t>BRUNET HOLDING</t>
  </si>
  <si>
    <t>30573060800026</t>
  </si>
  <si>
    <t>C01817</t>
  </si>
  <si>
    <t>BRUNET AEEI</t>
  </si>
  <si>
    <t>38981890700427</t>
  </si>
  <si>
    <t>C01818</t>
  </si>
  <si>
    <t>BRUNET LOISEAU</t>
  </si>
  <si>
    <t>38981890700328</t>
  </si>
  <si>
    <t>C01819</t>
  </si>
  <si>
    <t>BRUNET DROUILLAC</t>
  </si>
  <si>
    <t>43036982700174</t>
  </si>
  <si>
    <t>C01820</t>
  </si>
  <si>
    <t>BRUNET MIGNE</t>
  </si>
  <si>
    <t>38981890700609</t>
  </si>
  <si>
    <t>C01821</t>
  </si>
  <si>
    <t>BRUNET ECTI</t>
  </si>
  <si>
    <t>38981890700351</t>
  </si>
  <si>
    <t>C01822</t>
  </si>
  <si>
    <t>CASINO BARBAZAN</t>
  </si>
  <si>
    <t>87753247300015</t>
  </si>
  <si>
    <t>C01823</t>
  </si>
  <si>
    <t>FRANCE BOISSONS BRETAGNE NORMANDIE</t>
  </si>
  <si>
    <t>C01824</t>
  </si>
  <si>
    <t>HOTEL FORMULE 1 LAVAL</t>
  </si>
  <si>
    <t>30573106900046</t>
  </si>
  <si>
    <t>C01826</t>
  </si>
  <si>
    <t>HOTEL IBIS LAVAL</t>
  </si>
  <si>
    <t>30573106900012</t>
  </si>
  <si>
    <t>C01827</t>
  </si>
  <si>
    <t>SCI STRASBOURG CRONENBOURG</t>
  </si>
  <si>
    <t>35174572400135</t>
  </si>
  <si>
    <t>C01828</t>
  </si>
  <si>
    <t>HOTEL IBIS BUDGET HEROUVILLE</t>
  </si>
  <si>
    <t>40919769600019</t>
  </si>
  <si>
    <t>C01829</t>
  </si>
  <si>
    <t>HOTEL IBIS NEW AVRANCHES</t>
  </si>
  <si>
    <t>33466568400018</t>
  </si>
  <si>
    <t>C01830</t>
  </si>
  <si>
    <t>IBIS BUDGET LISIEUX</t>
  </si>
  <si>
    <t>C01831</t>
  </si>
  <si>
    <t>HOTEL FORMULE 1 AVRANCHES</t>
  </si>
  <si>
    <t>C01832</t>
  </si>
  <si>
    <t>SA SOCIETE DE DISTRIBUTION DES ALLEMAND</t>
  </si>
  <si>
    <t>30912451900039</t>
  </si>
  <si>
    <t>C01833</t>
  </si>
  <si>
    <t>IBIS STYLES BOURBON LANCY</t>
  </si>
  <si>
    <t>49800149400018</t>
  </si>
  <si>
    <t>C01834</t>
  </si>
  <si>
    <t>HOTEL MERCURE DIEPPE</t>
  </si>
  <si>
    <t>C01835</t>
  </si>
  <si>
    <t>GROUPE PLG</t>
  </si>
  <si>
    <t>35109987400049</t>
  </si>
  <si>
    <t>C01836</t>
  </si>
  <si>
    <t>ORTEC SOLEO AIX</t>
  </si>
  <si>
    <t>41792268900266</t>
  </si>
  <si>
    <t>C01837</t>
  </si>
  <si>
    <t>VILLA SOPHIE</t>
  </si>
  <si>
    <t>90808621800025</t>
  </si>
  <si>
    <t>C01838</t>
  </si>
  <si>
    <t>HOTEL CASINO St Valery En Caux</t>
  </si>
  <si>
    <t>44517783500029</t>
  </si>
  <si>
    <t>C01841</t>
  </si>
  <si>
    <t>Carrefour Provencia GRESY SUR AIX</t>
  </si>
  <si>
    <t>32652100200302</t>
  </si>
  <si>
    <t>C01842</t>
  </si>
  <si>
    <t>IBIS BUDGET/SOCIETE DOLOISE HÔTELLERIE</t>
  </si>
  <si>
    <t>47909653900016</t>
  </si>
  <si>
    <t>C01843</t>
  </si>
  <si>
    <t>SAS WALLDIS</t>
  </si>
  <si>
    <t>84341111700024</t>
  </si>
  <si>
    <t>C01845</t>
  </si>
  <si>
    <t>SAS RANDRE NETTO</t>
  </si>
  <si>
    <t>43858494800014</t>
  </si>
  <si>
    <t>C01846</t>
  </si>
  <si>
    <t>BOLUDA DUNKERQUE</t>
  </si>
  <si>
    <t>C90183</t>
  </si>
  <si>
    <t>SARCELLES ENERGIE</t>
  </si>
  <si>
    <t>C90184</t>
  </si>
  <si>
    <t>RESOP - GIE RESEAU OUEST PARISIEN</t>
  </si>
  <si>
    <t>C90185</t>
  </si>
  <si>
    <t>SOCIETE SALMON</t>
  </si>
  <si>
    <t>39420417600017</t>
  </si>
  <si>
    <t>C90188</t>
  </si>
  <si>
    <t>CEGELEC CENTRE EST TERTIAIRE</t>
  </si>
  <si>
    <t>C90189</t>
  </si>
  <si>
    <t>KYNDRYL FRANCE</t>
  </si>
  <si>
    <t>C90190</t>
  </si>
  <si>
    <t>Ne pas facturer - EDF Datacenter</t>
  </si>
  <si>
    <t>C90191</t>
  </si>
  <si>
    <t>OLLIVIER Christine</t>
  </si>
  <si>
    <t>C90192</t>
  </si>
  <si>
    <t>GODART Romain</t>
  </si>
  <si>
    <t>C90193</t>
  </si>
  <si>
    <t>GUYOMARD Erwan</t>
  </si>
  <si>
    <t>C90194</t>
  </si>
  <si>
    <t>ENSIO SUD</t>
  </si>
  <si>
    <t>43372511600118</t>
  </si>
  <si>
    <t>C90195</t>
  </si>
  <si>
    <t>DALKIA CAMPUS</t>
  </si>
  <si>
    <t>45650053705918</t>
  </si>
  <si>
    <t>C90196</t>
  </si>
  <si>
    <t>DATANUMIA</t>
  </si>
  <si>
    <t>C90198</t>
  </si>
  <si>
    <t>HYDROSTADIUM</t>
  </si>
  <si>
    <t>C90199</t>
  </si>
  <si>
    <t>CLASS CROUTE</t>
  </si>
  <si>
    <t>C90200</t>
  </si>
  <si>
    <t>FNAC PARIS - TEST</t>
  </si>
  <si>
    <t>C90201</t>
  </si>
  <si>
    <t>GIE WIVETIX SERVICES</t>
  </si>
  <si>
    <t>C90202</t>
  </si>
  <si>
    <t>SWISSLIFE</t>
  </si>
  <si>
    <t>C90203</t>
  </si>
  <si>
    <t>SAS SVL ENERGIE</t>
  </si>
  <si>
    <t>53126290500049</t>
  </si>
  <si>
    <t>C90204</t>
  </si>
  <si>
    <t>Direction du Patrimoine / DGST VILLE DE BRON</t>
  </si>
  <si>
    <t>30230517200033</t>
  </si>
  <si>
    <t>C90205</t>
  </si>
  <si>
    <t>Valentine BRASSEUR</t>
  </si>
  <si>
    <t>C90206</t>
  </si>
  <si>
    <t>RABRAM Aurore</t>
  </si>
  <si>
    <t>C90207</t>
  </si>
  <si>
    <t>Akram Ben Salah</t>
  </si>
  <si>
    <t>C90208</t>
  </si>
  <si>
    <t>Inès Bensalah</t>
  </si>
  <si>
    <t>C90001</t>
  </si>
  <si>
    <t>COMMUNE D ANDRESY</t>
  </si>
  <si>
    <t>C90002</t>
  </si>
  <si>
    <t>BATIGERE IDF</t>
  </si>
  <si>
    <t>C90003</t>
  </si>
  <si>
    <t>CEA GRENOBLE</t>
  </si>
  <si>
    <t>C90004</t>
  </si>
  <si>
    <t>Ne plus utiliser - EDF AMT Ouest Nantes</t>
  </si>
  <si>
    <t>C90005</t>
  </si>
  <si>
    <t>Ne plus utiliser - EDF PB6</t>
  </si>
  <si>
    <t>C90006</t>
  </si>
  <si>
    <t>Ne plus utiliser - EDF UFPI</t>
  </si>
  <si>
    <t>C90007</t>
  </si>
  <si>
    <t>EDF ENR PHOTOWATT</t>
  </si>
  <si>
    <t>C90009</t>
  </si>
  <si>
    <t>OPH SAINT DIZIER</t>
  </si>
  <si>
    <t>C90011</t>
  </si>
  <si>
    <t>AUTO1 EUROPEAN CARS B.V</t>
  </si>
  <si>
    <t>C90012</t>
  </si>
  <si>
    <t>Ne plus utiliser - EDF RD</t>
  </si>
  <si>
    <t>C90013</t>
  </si>
  <si>
    <t>Ne plus utiliser - EDF ULM</t>
  </si>
  <si>
    <t>C90018</t>
  </si>
  <si>
    <t>EDF RENOUVELABLES</t>
  </si>
  <si>
    <t>FR41379677636</t>
  </si>
  <si>
    <t>C90022</t>
  </si>
  <si>
    <t>EDF SEI GUYANE</t>
  </si>
  <si>
    <t>C90023</t>
  </si>
  <si>
    <t>CYCLIFE</t>
  </si>
  <si>
    <t>38030310700045</t>
  </si>
  <si>
    <t>C90026</t>
  </si>
  <si>
    <t>PARIS LA DEFENSE ARENA</t>
  </si>
  <si>
    <t>52488943300032</t>
  </si>
  <si>
    <t>C90031</t>
  </si>
  <si>
    <t>EDF SEI GUADELOUPE</t>
  </si>
  <si>
    <t>C90032</t>
  </si>
  <si>
    <t>EDF SEI CORSE</t>
  </si>
  <si>
    <t>C90038</t>
  </si>
  <si>
    <t>SA FUTUREN</t>
  </si>
  <si>
    <t>C90039</t>
  </si>
  <si>
    <t>MMA</t>
  </si>
  <si>
    <t>C90043</t>
  </si>
  <si>
    <t>EDF SEI LA REUNION</t>
  </si>
  <si>
    <t>C90044</t>
  </si>
  <si>
    <t>SNC WORKINPARK</t>
  </si>
  <si>
    <t>C90046</t>
  </si>
  <si>
    <t>EGA ELECTRICITE GENERALE APPLIQUEE</t>
  </si>
  <si>
    <t>C90047</t>
  </si>
  <si>
    <t>Ne plus utiliser - EDF R&amp;D Les Renardières</t>
  </si>
  <si>
    <t>C90049</t>
  </si>
  <si>
    <t>Ne plus utiliser - EDF CNPE Flamanville</t>
  </si>
  <si>
    <t>C90050</t>
  </si>
  <si>
    <t>CFC DEVELOPPEMENT</t>
  </si>
  <si>
    <t>C90052</t>
  </si>
  <si>
    <t>DALKIA SO</t>
  </si>
  <si>
    <t>45650053704622</t>
  </si>
  <si>
    <t>C90053</t>
  </si>
  <si>
    <t>IZI CONFORT</t>
  </si>
  <si>
    <t>44476855000402</t>
  </si>
  <si>
    <t>C90181</t>
  </si>
  <si>
    <t>SARL MANTAISE EXPLOITATION CHAUFFAGE</t>
  </si>
  <si>
    <t>C01991</t>
  </si>
  <si>
    <t>LYCEE PRO DOMINIQUE LABROISE</t>
  </si>
  <si>
    <t>C01992</t>
  </si>
  <si>
    <t>PAPREC ENGINEERING LS</t>
  </si>
  <si>
    <t>90803479600031</t>
  </si>
  <si>
    <t>C01994</t>
  </si>
  <si>
    <t>AGILE AGENCE DE GESTION DE L'IMMOBILIER DE L'ETAT</t>
  </si>
  <si>
    <t>C01995</t>
  </si>
  <si>
    <t>GOCARDLESS SAS</t>
  </si>
  <si>
    <t>83442218000036</t>
  </si>
  <si>
    <t>C01996</t>
  </si>
  <si>
    <t>SAS PAYPLUG ENTERPRISE SAS</t>
  </si>
  <si>
    <t>44322268200066</t>
  </si>
  <si>
    <t>C01998</t>
  </si>
  <si>
    <t>SGCD - PREFECTURE DE LA CREUSE</t>
  </si>
  <si>
    <t>C01999</t>
  </si>
  <si>
    <t>BNP PARIBAS LEASE GROUP</t>
  </si>
  <si>
    <t>C02000</t>
  </si>
  <si>
    <t>SCPI FRUCTIPIERRE Caz Azur s/c VSA MEDITERRANEE</t>
  </si>
  <si>
    <t>400003</t>
  </si>
  <si>
    <t>TEMPS</t>
  </si>
  <si>
    <t>400006</t>
  </si>
  <si>
    <t>OTC FLOW B.V.</t>
  </si>
  <si>
    <t>KVK72525037</t>
  </si>
  <si>
    <t>400002</t>
  </si>
  <si>
    <t>FEDERATION FRANCAISE D EQUITATION</t>
  </si>
  <si>
    <t>34438670100074</t>
  </si>
  <si>
    <t>400016</t>
  </si>
  <si>
    <t>COENTREPRISE DE MOBILITE ELECTRIQUE</t>
  </si>
  <si>
    <t>98480063100017</t>
  </si>
  <si>
    <t>400020</t>
  </si>
  <si>
    <t>DIJON CEREALES - LONGVIC 2</t>
  </si>
  <si>
    <t>37861070300480</t>
  </si>
  <si>
    <t>600008</t>
  </si>
  <si>
    <t>EGER MARTINIQUE</t>
  </si>
  <si>
    <t>Autre</t>
  </si>
  <si>
    <t>400023</t>
  </si>
  <si>
    <t>IZIVIA IG (Ne pas utiliser)</t>
  </si>
  <si>
    <t>F90375</t>
  </si>
  <si>
    <t>BATIMARK ENVIRONNEMENT</t>
  </si>
  <si>
    <t>400026</t>
  </si>
  <si>
    <t>CRC DIJON</t>
  </si>
  <si>
    <t>20005372600028</t>
  </si>
  <si>
    <t>400027</t>
  </si>
  <si>
    <t>400030</t>
  </si>
  <si>
    <t>ISS FACILITY SERVICES</t>
  </si>
  <si>
    <t>54201695103266</t>
  </si>
  <si>
    <t>400032</t>
  </si>
  <si>
    <t>ELECTRICITE DE STRASBOURG</t>
  </si>
  <si>
    <t>55850191200239</t>
  </si>
  <si>
    <t>400035</t>
  </si>
  <si>
    <t>SARTORIUS FRANCE</t>
  </si>
  <si>
    <t>38187325600048</t>
  </si>
  <si>
    <t>400037</t>
  </si>
  <si>
    <t>EDF SEI REUNION</t>
  </si>
  <si>
    <t>55208131712187</t>
  </si>
  <si>
    <t>400040</t>
  </si>
  <si>
    <t>GMR POITOU</t>
  </si>
  <si>
    <t>44461925802003</t>
  </si>
  <si>
    <t>400039</t>
  </si>
  <si>
    <t>INSTIT EUROP NORMES TELECOMMUNICATION</t>
  </si>
  <si>
    <t>34862356200017</t>
  </si>
  <si>
    <t>400041</t>
  </si>
  <si>
    <t>GMR BRETAGNE</t>
  </si>
  <si>
    <t>44461925802466</t>
  </si>
  <si>
    <t>400042</t>
  </si>
  <si>
    <t>GMR ANJOU</t>
  </si>
  <si>
    <t>44461925801583</t>
  </si>
  <si>
    <t>400046</t>
  </si>
  <si>
    <t>SKF</t>
  </si>
  <si>
    <t>58210698500044</t>
  </si>
  <si>
    <t>400047</t>
  </si>
  <si>
    <t>COLUMBIA SPORTSWEAR DISTRIBUTION</t>
  </si>
  <si>
    <t>43830738100030</t>
  </si>
  <si>
    <t>400048</t>
  </si>
  <si>
    <t>EDF REN</t>
  </si>
  <si>
    <t>44460857400661</t>
  </si>
  <si>
    <t>400049</t>
  </si>
  <si>
    <t>Centre universitaire catholique</t>
  </si>
  <si>
    <t>39404944900025</t>
  </si>
  <si>
    <t>400050</t>
  </si>
  <si>
    <t>MACIF ILLZACH</t>
  </si>
  <si>
    <t>78145251103909</t>
  </si>
  <si>
    <t>400051</t>
  </si>
  <si>
    <t>BOURGEY MONTREUIL EQUIPEMENT</t>
  </si>
  <si>
    <t>42511764500019</t>
  </si>
  <si>
    <t>400052</t>
  </si>
  <si>
    <t>400053</t>
  </si>
  <si>
    <t>SAS AUREMI</t>
  </si>
  <si>
    <t>34238876600012</t>
  </si>
  <si>
    <t>400054</t>
  </si>
  <si>
    <t>TREVINS IMMOBILIER GAIA</t>
  </si>
  <si>
    <t>44462773100045</t>
  </si>
  <si>
    <t>400055</t>
  </si>
  <si>
    <t>Macif Bois Rigault</t>
  </si>
  <si>
    <t>78145251109286</t>
  </si>
  <si>
    <t>400056</t>
  </si>
  <si>
    <t>FRANCE BOISSONS SUD EST</t>
  </si>
  <si>
    <t>400057</t>
  </si>
  <si>
    <t>400058</t>
  </si>
  <si>
    <t>DURIEZ VIANNEY</t>
  </si>
  <si>
    <t>92761806600017</t>
  </si>
  <si>
    <t>400059</t>
  </si>
  <si>
    <t>IGESA</t>
  </si>
  <si>
    <t>180 090 060 00997</t>
  </si>
  <si>
    <t>400060</t>
  </si>
  <si>
    <t>Mairie de Lannoy</t>
  </si>
  <si>
    <t>21590332900013</t>
  </si>
  <si>
    <t>400061</t>
  </si>
  <si>
    <t>RTE - GMR CHAMPAGNE ARDENNE</t>
  </si>
  <si>
    <t>44461925800148</t>
  </si>
  <si>
    <t>400062</t>
  </si>
  <si>
    <t>B2ei</t>
  </si>
  <si>
    <t>43478467400047</t>
  </si>
  <si>
    <t>400063</t>
  </si>
  <si>
    <t>INTERMARCHE METZ TEPAGO</t>
  </si>
  <si>
    <t>41760426100012</t>
  </si>
  <si>
    <t>C01974</t>
  </si>
  <si>
    <t>TEREOS STARCH&amp;SWEETENERS LBN SAS</t>
  </si>
  <si>
    <t>48089140700029</t>
  </si>
  <si>
    <t>C01975</t>
  </si>
  <si>
    <t>LYCEE HENRI LORITZ</t>
  </si>
  <si>
    <t>C01976</t>
  </si>
  <si>
    <t>Lycée Professionnel Eugène FREYSSINET</t>
  </si>
  <si>
    <t>19550891600010</t>
  </si>
  <si>
    <t>C01978</t>
  </si>
  <si>
    <t>M.A.J CHEZ ELIS SERVICES</t>
  </si>
  <si>
    <t>77573383501313</t>
  </si>
  <si>
    <t>C01979</t>
  </si>
  <si>
    <t>CREANCES DOUTEUSES 2023</t>
  </si>
  <si>
    <t>C01980</t>
  </si>
  <si>
    <t>SEM SEOLIS</t>
  </si>
  <si>
    <t>C01981</t>
  </si>
  <si>
    <t>2GE SAS</t>
  </si>
  <si>
    <t>C01982</t>
  </si>
  <si>
    <t>C01988</t>
  </si>
  <si>
    <t>MINIAC</t>
  </si>
  <si>
    <t>C01989</t>
  </si>
  <si>
    <t>CROUS LYON</t>
  </si>
  <si>
    <t>C01990</t>
  </si>
  <si>
    <t>BLANCHISSERIE TEINTURERIE WARTNER</t>
  </si>
  <si>
    <t>Z_B2B_FRANCE</t>
  </si>
  <si>
    <t>_B2B France</t>
  </si>
  <si>
    <t>400017</t>
  </si>
  <si>
    <t>FRIEDLANDER (ne pas utiliser)</t>
  </si>
  <si>
    <t>39873956500024</t>
  </si>
  <si>
    <t>C02001</t>
  </si>
  <si>
    <t>Soleil Vivarais (Ets ADB - Maupertus-sur-Mer)</t>
  </si>
  <si>
    <t>343 756 904 00045</t>
  </si>
  <si>
    <t>C02002</t>
  </si>
  <si>
    <t>Campair 12 (Ets ADP - Le Bois-Plage-en Ré)</t>
  </si>
  <si>
    <t>897 541 116 00041</t>
  </si>
  <si>
    <t>400014</t>
  </si>
  <si>
    <t>EDF SEI MARTINIQUE</t>
  </si>
  <si>
    <t>55208131721931</t>
  </si>
  <si>
    <t>C02003</t>
  </si>
  <si>
    <t>Les Alicourts</t>
  </si>
  <si>
    <t>"309 824 258 00029	"</t>
  </si>
  <si>
    <t>C02004</t>
  </si>
  <si>
    <t>Blue Bayou (Ets BLB – Vendres)</t>
  </si>
  <si>
    <t>344 817 572 00011</t>
  </si>
  <si>
    <t>C02005</t>
  </si>
  <si>
    <t>Camping de la Bosse</t>
  </si>
  <si>
    <t>833 996 119 00016</t>
  </si>
  <si>
    <t>C02006</t>
  </si>
  <si>
    <t>Cap Sud Exploitation</t>
  </si>
  <si>
    <t>892 298 274 00028</t>
  </si>
  <si>
    <t>C02007</t>
  </si>
  <si>
    <t>Ets La CLUSURE</t>
  </si>
  <si>
    <t>0413.554.847</t>
  </si>
  <si>
    <t>C02008</t>
  </si>
  <si>
    <t>Le Col Vert (Ets COL – Veille-St-Girons)</t>
  </si>
  <si>
    <t>378 012 868 00014</t>
  </si>
  <si>
    <t>C02009</t>
  </si>
  <si>
    <t>Ets CYPSELA</t>
  </si>
  <si>
    <t>A17237652</t>
  </si>
  <si>
    <t>C02010</t>
  </si>
  <si>
    <t>"Société d’exploitation du camping Douce Quiétude 
(Ets DOU – Saint-Raphael)"</t>
  </si>
  <si>
    <t>315 589 952 00011</t>
  </si>
  <si>
    <t>C02011</t>
  </si>
  <si>
    <t>La Dragonnière (Ets DRA - Vias)</t>
  </si>
  <si>
    <t>329 570 139 00017</t>
  </si>
  <si>
    <t>C02012</t>
  </si>
  <si>
    <t>Soleil Vivarais (Ets ESG - Bénodet)</t>
  </si>
  <si>
    <t>343 756 904 00029</t>
  </si>
  <si>
    <t>C02013</t>
  </si>
  <si>
    <t>Blue Bayou (Ets FON – Nevez)</t>
  </si>
  <si>
    <t>344 817 572 00037</t>
  </si>
  <si>
    <t>C02014</t>
  </si>
  <si>
    <t>Campair 12 (Ets IDP - Villeneuve-les-Avignon)</t>
  </si>
  <si>
    <t>897 541 116 00058</t>
  </si>
  <si>
    <t>C02015</t>
  </si>
  <si>
    <t>Soleil Vivarais (Ets KER - Clohars-Carnoet)</t>
  </si>
  <si>
    <t>343 756 904 00037</t>
  </si>
  <si>
    <t>C02016</t>
  </si>
  <si>
    <t>Campair 12 (Ets LAC - Sanguinet)</t>
  </si>
  <si>
    <t>897 541 116 00066</t>
  </si>
  <si>
    <t>C02017</t>
  </si>
  <si>
    <t>Campair 12 (Ets LGC - La Barre-de-Monts)</t>
  </si>
  <si>
    <t>897 541 116 00033</t>
  </si>
  <si>
    <t>C02018</t>
  </si>
  <si>
    <t>Camping Le Littoral</t>
  </si>
  <si>
    <t>378 756 431 00029</t>
  </si>
  <si>
    <t>C02019</t>
  </si>
  <si>
    <t>Campair 12 (Ets MDE - Asserac)</t>
  </si>
  <si>
    <t>897 541 116 00082</t>
  </si>
  <si>
    <t>C02020</t>
  </si>
  <si>
    <t>Domaine du Midi</t>
  </si>
  <si>
    <t>833 581 903 00014</t>
  </si>
  <si>
    <t>C02021</t>
  </si>
  <si>
    <t>Campair 12 (Ets NUB - Doussard)</t>
  </si>
  <si>
    <t>897 541 116 00025</t>
  </si>
  <si>
    <t>C02022</t>
  </si>
  <si>
    <t>L’Orée du Bois</t>
  </si>
  <si>
    <t>327 765 350 00019</t>
  </si>
  <si>
    <t>C02023</t>
  </si>
  <si>
    <t>Le Ranolien</t>
  </si>
  <si>
    <t>592 028 468 00045</t>
  </si>
  <si>
    <t>C02024</t>
  </si>
  <si>
    <t>Camping de La Ribeyre</t>
  </si>
  <si>
    <t>344 024 898 00019</t>
  </si>
  <si>
    <t>C02025</t>
  </si>
  <si>
    <t>Le Col Vert (Ets RIV – Frejus)</t>
  </si>
  <si>
    <t>378 012 868 00022</t>
  </si>
  <si>
    <t>C02026</t>
  </si>
  <si>
    <t>Soulac Plage (Ets SAN - Sanguinet)</t>
  </si>
  <si>
    <t>394 443 261 00059</t>
  </si>
  <si>
    <t>C02027</t>
  </si>
  <si>
    <t>Sequoia Parc</t>
  </si>
  <si>
    <t>410 299 788 00019</t>
  </si>
  <si>
    <t>C02028</t>
  </si>
  <si>
    <t>Soulac Plage (Ets SPL - Soulac-sur-Mer)</t>
  </si>
  <si>
    <t>394 443 261 00026</t>
  </si>
  <si>
    <t>C02029</t>
  </si>
  <si>
    <t>Blue Bayou (Ets SSV – Soustons)</t>
  </si>
  <si>
    <t>344 817 572 00029</t>
  </si>
  <si>
    <t>C02030</t>
  </si>
  <si>
    <t>Blue Bayou (Ets TAM – Frontignan)</t>
  </si>
  <si>
    <t>344 817 572 00045</t>
  </si>
  <si>
    <t>C01483</t>
  </si>
  <si>
    <t>SASU SPB FRANCE SAS</t>
  </si>
  <si>
    <t>C01485</t>
  </si>
  <si>
    <t>SASU VARONIS FRANCE</t>
  </si>
  <si>
    <t>C01486</t>
  </si>
  <si>
    <t>SDEC 23 - MOBIVE</t>
  </si>
  <si>
    <t>25230964600054</t>
  </si>
  <si>
    <t>C01488</t>
  </si>
  <si>
    <t>ALIVE GROUP</t>
  </si>
  <si>
    <t>97928251400012</t>
  </si>
  <si>
    <t>C01489</t>
  </si>
  <si>
    <t>FPEE INDUSTRIES</t>
  </si>
  <si>
    <t>32348006100015</t>
  </si>
  <si>
    <t>C01490</t>
  </si>
  <si>
    <t>MASSILLY FRANCE</t>
  </si>
  <si>
    <t>40358545800017</t>
  </si>
  <si>
    <t>C01491</t>
  </si>
  <si>
    <t>DUACOM</t>
  </si>
  <si>
    <t>C01492</t>
  </si>
  <si>
    <t>BIOVAL</t>
  </si>
  <si>
    <t>C01493</t>
  </si>
  <si>
    <t>SARL PARMENTIER LOISIRS</t>
  </si>
  <si>
    <t>C01494</t>
  </si>
  <si>
    <t>SYNDICOPRO Perols</t>
  </si>
  <si>
    <t>C01496</t>
  </si>
  <si>
    <t>TRITIUM TECHNOLOGIES B.V.</t>
  </si>
  <si>
    <t>C01498</t>
  </si>
  <si>
    <t>COOP LES VIGNERONS DE FLORENSAC</t>
  </si>
  <si>
    <t>77599714100012</t>
  </si>
  <si>
    <t>C01499</t>
  </si>
  <si>
    <t>PAPREC FRANCE SAS</t>
  </si>
  <si>
    <t>33305028400186</t>
  </si>
  <si>
    <t>C01500</t>
  </si>
  <si>
    <t>FRANFINANCE</t>
  </si>
  <si>
    <t>71980740600884</t>
  </si>
  <si>
    <t>C01501</t>
  </si>
  <si>
    <t>ZELLER PLASTIK FRANCE SAS</t>
  </si>
  <si>
    <t>31966519600014</t>
  </si>
  <si>
    <t>C01502</t>
  </si>
  <si>
    <t>SCI CROIX DE CHAVAUX</t>
  </si>
  <si>
    <t>78422768800032</t>
  </si>
  <si>
    <t>C01503</t>
  </si>
  <si>
    <t>SAS JEAN DE PARIS</t>
  </si>
  <si>
    <t>C01504</t>
  </si>
  <si>
    <t>CESI ASSOCIATION REGION IDFC</t>
  </si>
  <si>
    <t>77572257201109</t>
  </si>
  <si>
    <t>C01505</t>
  </si>
  <si>
    <t>SAS CHADA</t>
  </si>
  <si>
    <t>32433392100033</t>
  </si>
  <si>
    <t>C01506</t>
  </si>
  <si>
    <t>BACACIER EST</t>
  </si>
  <si>
    <t>C01507</t>
  </si>
  <si>
    <t>GEA PROCESS ENGINEERING SAS</t>
  </si>
  <si>
    <t>42085622100015</t>
  </si>
  <si>
    <t>C01508</t>
  </si>
  <si>
    <t>GEORG FISCHER</t>
  </si>
  <si>
    <t>58214405100049</t>
  </si>
  <si>
    <t>C01509</t>
  </si>
  <si>
    <t>Uni-Commerces c/o Espace Expansion</t>
  </si>
  <si>
    <t>32399869000552</t>
  </si>
  <si>
    <t>C01511</t>
  </si>
  <si>
    <t>WATTZHUB</t>
  </si>
  <si>
    <t>C01512</t>
  </si>
  <si>
    <t>BACACIER GASCOGNE</t>
  </si>
  <si>
    <t>53115611500036</t>
  </si>
  <si>
    <t>C01513</t>
  </si>
  <si>
    <t>Liikennevirta Oy (VIRTA)</t>
  </si>
  <si>
    <t>FINLANDE</t>
  </si>
  <si>
    <t>C01514</t>
  </si>
  <si>
    <t>BUMP</t>
  </si>
  <si>
    <t>89784992300023</t>
  </si>
  <si>
    <t>C01515</t>
  </si>
  <si>
    <t>BACACIER NORD FLANDRES</t>
  </si>
  <si>
    <t>80815874500022</t>
  </si>
  <si>
    <t>C01516</t>
  </si>
  <si>
    <t>CAMPING ELEOVIC</t>
  </si>
  <si>
    <t>C01519</t>
  </si>
  <si>
    <t>LR2P</t>
  </si>
  <si>
    <t>82857281800015</t>
  </si>
  <si>
    <t>C01520</t>
  </si>
  <si>
    <t>DEFTPOWER</t>
  </si>
  <si>
    <t>C01521</t>
  </si>
  <si>
    <t>diego Luxembourg</t>
  </si>
  <si>
    <t>LUXEMBOURG</t>
  </si>
  <si>
    <t>C01522</t>
  </si>
  <si>
    <t>ENEL</t>
  </si>
  <si>
    <t>C01523</t>
  </si>
  <si>
    <t>SAS ANTHORIMEL</t>
  </si>
  <si>
    <t>50876699500015</t>
  </si>
  <si>
    <t>C01524</t>
  </si>
  <si>
    <t>SAS CONUCA</t>
  </si>
  <si>
    <t>40805953300013</t>
  </si>
  <si>
    <t>C01525</t>
  </si>
  <si>
    <t>SAS SOCIETE CHABLISIENNE DE DISTRIBUTION</t>
  </si>
  <si>
    <t>38893805200015</t>
  </si>
  <si>
    <t>C01526</t>
  </si>
  <si>
    <t>SAS LAMPAC</t>
  </si>
  <si>
    <t>34405633800017</t>
  </si>
  <si>
    <t>C01527</t>
  </si>
  <si>
    <t>SA ARDIG</t>
  </si>
  <si>
    <t>C01528</t>
  </si>
  <si>
    <t>MCDONALD'S FRANCE SASU</t>
  </si>
  <si>
    <t>C01529</t>
  </si>
  <si>
    <t>EURO-VERT</t>
  </si>
  <si>
    <t>34771576500066</t>
  </si>
  <si>
    <t>C01530</t>
  </si>
  <si>
    <t>SARL IBIPEX</t>
  </si>
  <si>
    <t>53527338700022</t>
  </si>
  <si>
    <t>C01531</t>
  </si>
  <si>
    <t>PHM INVEST SAS</t>
  </si>
  <si>
    <t>C01532</t>
  </si>
  <si>
    <t>CABLERIES LAPP SARL</t>
  </si>
  <si>
    <t>37809342100014</t>
  </si>
  <si>
    <t>C01534</t>
  </si>
  <si>
    <t>COOP CAISSE REGION CRED AGR MUTUEL CENT O</t>
  </si>
  <si>
    <t>39100745700016</t>
  </si>
  <si>
    <t>C01536</t>
  </si>
  <si>
    <t>Q-PARK CHARTRES SAS</t>
  </si>
  <si>
    <t>C01537</t>
  </si>
  <si>
    <t>IMMUNEO</t>
  </si>
  <si>
    <t>49931601600025</t>
  </si>
  <si>
    <t>C01538</t>
  </si>
  <si>
    <t>MONTEA SCA</t>
  </si>
  <si>
    <t>49767314500031</t>
  </si>
  <si>
    <t>C01540</t>
  </si>
  <si>
    <t>LISI AEROSPACE SA</t>
  </si>
  <si>
    <t>32015233300094</t>
  </si>
  <si>
    <t>C01541</t>
  </si>
  <si>
    <t>RTE RESEAU DE TRANSPORT D ELECTRICIT</t>
  </si>
  <si>
    <t>C01542</t>
  </si>
  <si>
    <t>SA COMPAGNIE DU MONT-BLANC</t>
  </si>
  <si>
    <t>60552058400018</t>
  </si>
  <si>
    <t>C01543</t>
  </si>
  <si>
    <t>ETS CENTRE HOSPITALIER GENERAL</t>
  </si>
  <si>
    <t>20003501200018</t>
  </si>
  <si>
    <t>C01544</t>
  </si>
  <si>
    <t>COMM COMMUNE DE LE PECQ</t>
  </si>
  <si>
    <t>C01546</t>
  </si>
  <si>
    <t>STE INSTITUT COOPERATIF DU VIN</t>
  </si>
  <si>
    <t>C01547</t>
  </si>
  <si>
    <t>SAS METTLER TOLEDO SAS</t>
  </si>
  <si>
    <t>31037075400023</t>
  </si>
  <si>
    <t>C01548</t>
  </si>
  <si>
    <t>SA SUPERSONIC IMAGINE</t>
  </si>
  <si>
    <t>48158189000037</t>
  </si>
  <si>
    <t>C01549</t>
  </si>
  <si>
    <t>J &amp; G BROTHER'S</t>
  </si>
  <si>
    <t>89760337900016</t>
  </si>
  <si>
    <t>C01550</t>
  </si>
  <si>
    <t>SA BENEDETTI</t>
  </si>
  <si>
    <t>30520623700029</t>
  </si>
  <si>
    <t>C01551</t>
  </si>
  <si>
    <t>SAS SYGNATURES-BOURDIL</t>
  </si>
  <si>
    <t>30136756100059</t>
  </si>
  <si>
    <t>C01552</t>
  </si>
  <si>
    <t>EURL PROMOLARC</t>
  </si>
  <si>
    <t>C01553</t>
  </si>
  <si>
    <t>SAS LES ETIERS II - SUPER U NOIRMOUTIER</t>
  </si>
  <si>
    <t>C01554</t>
  </si>
  <si>
    <t>ASS KER AR MOR</t>
  </si>
  <si>
    <t>38147951800015</t>
  </si>
  <si>
    <t>C01556</t>
  </si>
  <si>
    <t>Station E</t>
  </si>
  <si>
    <t>83512428000016</t>
  </si>
  <si>
    <t>C01557</t>
  </si>
  <si>
    <t>Octopus</t>
  </si>
  <si>
    <t>ROYAUME-UNI DE GRAND</t>
  </si>
  <si>
    <t>C01558</t>
  </si>
  <si>
    <t>SAPS</t>
  </si>
  <si>
    <t>C01559</t>
  </si>
  <si>
    <t>MUVEXT</t>
  </si>
  <si>
    <t>PORTUGAL</t>
  </si>
  <si>
    <t>C01560</t>
  </si>
  <si>
    <t>Tan Q You</t>
  </si>
  <si>
    <t>C01561</t>
  </si>
  <si>
    <t>SAS CARLANNE</t>
  </si>
  <si>
    <t>34984435700013</t>
  </si>
  <si>
    <t>C01562</t>
  </si>
  <si>
    <t>SAS LES TROIS SOLEILS</t>
  </si>
  <si>
    <t>C01563</t>
  </si>
  <si>
    <t>ECOLOGIC</t>
  </si>
  <si>
    <t>48774196900041</t>
  </si>
  <si>
    <t>C01564</t>
  </si>
  <si>
    <t>DASSAULT AVIATION SA</t>
  </si>
  <si>
    <t>71204245600145</t>
  </si>
  <si>
    <t>C01565</t>
  </si>
  <si>
    <t>C01566</t>
  </si>
  <si>
    <t>71204245600194</t>
  </si>
  <si>
    <t>C01567</t>
  </si>
  <si>
    <t>DASSAULT AVIATION Service Comptabilité Fournisseurs</t>
  </si>
  <si>
    <t>71204245600160</t>
  </si>
  <si>
    <t>C01568</t>
  </si>
  <si>
    <t>71204245600228</t>
  </si>
  <si>
    <t>C01569</t>
  </si>
  <si>
    <t>71204245600277</t>
  </si>
  <si>
    <t>C01570</t>
  </si>
  <si>
    <t>71204245600269</t>
  </si>
  <si>
    <t>C01571</t>
  </si>
  <si>
    <t>SAS STOCKMEIER FRANCE</t>
  </si>
  <si>
    <t>C01572</t>
  </si>
  <si>
    <t>SAS GALTY</t>
  </si>
  <si>
    <t>C01573</t>
  </si>
  <si>
    <t>FAIVELEY TRANSPORT AMIENS SAS</t>
  </si>
  <si>
    <t>70980607900022</t>
  </si>
  <si>
    <t>C01966</t>
  </si>
  <si>
    <t>CENTRE UNIVERSITAIRE CATHOLIQUE DE BOURGOGNE</t>
  </si>
  <si>
    <t>C01967</t>
  </si>
  <si>
    <t>DIRPJJ Centre Est</t>
  </si>
  <si>
    <t>C01968</t>
  </si>
  <si>
    <t>ORANGE SA</t>
  </si>
  <si>
    <t>38012986648625</t>
  </si>
  <si>
    <t>C01969</t>
  </si>
  <si>
    <t>Mer Germany GmbH</t>
  </si>
  <si>
    <t>C01972</t>
  </si>
  <si>
    <t>EDF DCO</t>
  </si>
  <si>
    <t>C01903</t>
  </si>
  <si>
    <t>Clenergy</t>
  </si>
  <si>
    <t>400004</t>
  </si>
  <si>
    <t>400007</t>
  </si>
  <si>
    <t>SNC HOTELIERE BEAUMONT</t>
  </si>
  <si>
    <t>88407091300014</t>
  </si>
  <si>
    <t>400019</t>
  </si>
  <si>
    <t>PFRA NA</t>
  </si>
  <si>
    <t>20005375900011</t>
  </si>
  <si>
    <t>C02031</t>
  </si>
  <si>
    <t>"Société d’exploitation du camping Douce Quiétude
(Ets VAG – Vendres)"</t>
  </si>
  <si>
    <t>315 589 952 00037</t>
  </si>
  <si>
    <t>C02032</t>
  </si>
  <si>
    <t>Soleil Vivarais (Ets VIV - Sampzon)</t>
  </si>
  <si>
    <t>343 756 904 00011</t>
  </si>
  <si>
    <t>C02033</t>
  </si>
  <si>
    <t>Soulac Plage (Ets VER - Castellane)</t>
  </si>
  <si>
    <t>394 443 261 00042</t>
  </si>
  <si>
    <t>400018</t>
  </si>
  <si>
    <t>FRIEDLANDER</t>
  </si>
  <si>
    <t>39873956500040</t>
  </si>
  <si>
    <t>400028</t>
  </si>
  <si>
    <t>IZIVIA IMPACT</t>
  </si>
  <si>
    <t>93459546300019</t>
  </si>
  <si>
    <t>400029</t>
  </si>
  <si>
    <t>COGETRANS</t>
  </si>
  <si>
    <t>44928637600040</t>
  </si>
  <si>
    <t>400031</t>
  </si>
  <si>
    <t>BOLUDA MARSEILLE FOS</t>
  </si>
  <si>
    <t>40435063900013</t>
  </si>
  <si>
    <t>400033</t>
  </si>
  <si>
    <t>PROTEOR FRANCE</t>
  </si>
  <si>
    <t>54208370400529</t>
  </si>
  <si>
    <t>400034</t>
  </si>
  <si>
    <t>PAPREC SUD OUEST</t>
  </si>
  <si>
    <t>51186732700088</t>
  </si>
  <si>
    <t>400036</t>
  </si>
  <si>
    <t>PAPREC GRAND EST</t>
  </si>
  <si>
    <t>95450612700372</t>
  </si>
  <si>
    <t>C90054</t>
  </si>
  <si>
    <t>DALKIA CENTRE OUEST</t>
  </si>
  <si>
    <t>45650053703541</t>
  </si>
  <si>
    <t>C90056</t>
  </si>
  <si>
    <t>DALKIA Méditerrannée</t>
  </si>
  <si>
    <t>45650053702691</t>
  </si>
  <si>
    <t>C90057</t>
  </si>
  <si>
    <t>ROIRET ENERGIES</t>
  </si>
  <si>
    <t>C90061</t>
  </si>
  <si>
    <t>C90062</t>
  </si>
  <si>
    <t>Centre Hospitalier Général de Dieppe</t>
  </si>
  <si>
    <t>C90063</t>
  </si>
  <si>
    <t>DALKIA NO</t>
  </si>
  <si>
    <t>45650053702576</t>
  </si>
  <si>
    <t>C90064</t>
  </si>
  <si>
    <t>DALKIA Siège</t>
  </si>
  <si>
    <t>45650053706585</t>
  </si>
  <si>
    <t>C90065</t>
  </si>
  <si>
    <t>DALKIA GRAND EST</t>
  </si>
  <si>
    <t>45650053702832</t>
  </si>
  <si>
    <t>C90066</t>
  </si>
  <si>
    <t>C90067</t>
  </si>
  <si>
    <t>DALKIA Centre Est</t>
  </si>
  <si>
    <t>45650053705892</t>
  </si>
  <si>
    <t>C90068</t>
  </si>
  <si>
    <t>GIPELEC</t>
  </si>
  <si>
    <t>79806694000056</t>
  </si>
  <si>
    <t>C90069</t>
  </si>
  <si>
    <t>DALKIA AIR SOLUTIONS</t>
  </si>
  <si>
    <t>50332833800036</t>
  </si>
  <si>
    <t>C90070</t>
  </si>
  <si>
    <t>SOLARIS GESTION OUEST</t>
  </si>
  <si>
    <t>52536264600057</t>
  </si>
  <si>
    <t>C90071</t>
  </si>
  <si>
    <t>EDF PEI GUADELOUPE</t>
  </si>
  <si>
    <t>C90072</t>
  </si>
  <si>
    <t>EDF PEI MARTINIQUE</t>
  </si>
  <si>
    <t>C90073</t>
  </si>
  <si>
    <t>EDF PEI LA REUNION</t>
  </si>
  <si>
    <t>C90074</t>
  </si>
  <si>
    <t>EDF PEI HAUTE CORSE</t>
  </si>
  <si>
    <t>C90076</t>
  </si>
  <si>
    <t>KLARA IMMOBILIER 19.1</t>
  </si>
  <si>
    <t>C90077</t>
  </si>
  <si>
    <t>DALKIA BIOMASSE RENNES</t>
  </si>
  <si>
    <t>51347488200026</t>
  </si>
  <si>
    <t>C90078</t>
  </si>
  <si>
    <t>SOCOS DISTRIBUTION DE CHALEUR</t>
  </si>
  <si>
    <t>C90079</t>
  </si>
  <si>
    <t>ECO CHALEUR DE BREST</t>
  </si>
  <si>
    <t>C90080</t>
  </si>
  <si>
    <t>SYNERGIE</t>
  </si>
  <si>
    <t>C90081</t>
  </si>
  <si>
    <t>STE DE CHAUFFAGE DES BORDS DU CHER</t>
  </si>
  <si>
    <t>C90082</t>
  </si>
  <si>
    <t>NADIC</t>
  </si>
  <si>
    <t>C90083</t>
  </si>
  <si>
    <t>DALKIA BIOMASSE TOURS</t>
  </si>
  <si>
    <t>51347491600022</t>
  </si>
  <si>
    <t>C90084</t>
  </si>
  <si>
    <t>DALKIA CO SAINTE GEMMES SUR LOIRE</t>
  </si>
  <si>
    <t>51347490800029</t>
  </si>
  <si>
    <t>C90085</t>
  </si>
  <si>
    <t>SOFLEC FLEURY</t>
  </si>
  <si>
    <t>C90086</t>
  </si>
  <si>
    <t>DALKIA Générale de Téléactivité</t>
  </si>
  <si>
    <t>38261305700076</t>
  </si>
  <si>
    <t>C90087</t>
  </si>
  <si>
    <t>DALKIA Direction France</t>
  </si>
  <si>
    <t xml:space="preserve"> 45650053704515</t>
  </si>
  <si>
    <t>C90088</t>
  </si>
  <si>
    <t>SOGETHA</t>
  </si>
  <si>
    <t>C90089</t>
  </si>
  <si>
    <t>CLIMATELEC</t>
  </si>
  <si>
    <t>C90090</t>
  </si>
  <si>
    <t>CIDEME - Filiale Dalkia Wastenergy</t>
  </si>
  <si>
    <t>C90092</t>
  </si>
  <si>
    <t>ENERLIS</t>
  </si>
  <si>
    <t>C90093</t>
  </si>
  <si>
    <t>MONTARGIS ENERGIES</t>
  </si>
  <si>
    <t>C90095</t>
  </si>
  <si>
    <t>EDF RENOUVELABLES FRANCE</t>
  </si>
  <si>
    <t>C90096</t>
  </si>
  <si>
    <t>EDF RENOUVELABLES SERVICES</t>
  </si>
  <si>
    <t>C90098</t>
  </si>
  <si>
    <t>EOLANE DOUARNENEZ</t>
  </si>
  <si>
    <t>77621879400035</t>
  </si>
  <si>
    <t>C90099</t>
  </si>
  <si>
    <t>EOLIENNES OFFSHORE DES HAUTES FALAISES</t>
  </si>
  <si>
    <t>C90100</t>
  </si>
  <si>
    <t>RESONOR</t>
  </si>
  <si>
    <t>C90101</t>
  </si>
  <si>
    <t>EDF PEI GUYANE</t>
  </si>
  <si>
    <t>C90102</t>
  </si>
  <si>
    <t>INEO HAUTS DE FRANCE</t>
  </si>
  <si>
    <t>C90104</t>
  </si>
  <si>
    <t>SAFRAN HELICOPTER ENGINES</t>
  </si>
  <si>
    <t>C90105</t>
  </si>
  <si>
    <t>PARC DU BANC DE GUERANDE</t>
  </si>
  <si>
    <t>C90106</t>
  </si>
  <si>
    <t>ELM OPERATIONS</t>
  </si>
  <si>
    <t>C90107</t>
  </si>
  <si>
    <t>MONS ENERGIE</t>
  </si>
  <si>
    <t>C90108</t>
  </si>
  <si>
    <t>52984939000016</t>
  </si>
  <si>
    <t>C90109</t>
  </si>
  <si>
    <t>SAFRAN DATA SYSTEMS</t>
  </si>
  <si>
    <t>C90110</t>
  </si>
  <si>
    <t>ISARIENNE D'IMMOBILIER D'ENTREPRISE</t>
  </si>
  <si>
    <t>C90111</t>
  </si>
  <si>
    <t>BENSALAH Foueid</t>
  </si>
  <si>
    <t>C90112</t>
  </si>
  <si>
    <t>HAGUE ENERGIE</t>
  </si>
  <si>
    <t>C90118</t>
  </si>
  <si>
    <t>SAFRAN</t>
  </si>
  <si>
    <t>56208290901257</t>
  </si>
  <si>
    <t>C90119</t>
  </si>
  <si>
    <t>48260577100104</t>
  </si>
  <si>
    <t>C90120</t>
  </si>
  <si>
    <t>SAFRAN ELECTRONICS ET DEFENSE</t>
  </si>
  <si>
    <t>C90121</t>
  </si>
  <si>
    <t>CIELIS</t>
  </si>
  <si>
    <t>90013717500023</t>
  </si>
  <si>
    <t>C90122</t>
  </si>
  <si>
    <t>SAFRAN LANDING SYSTEMS</t>
  </si>
  <si>
    <t>C90125</t>
  </si>
  <si>
    <t>EVESA</t>
  </si>
  <si>
    <t>C90126</t>
  </si>
  <si>
    <t>SPB</t>
  </si>
  <si>
    <t>30510977900077</t>
  </si>
  <si>
    <t>C90127</t>
  </si>
  <si>
    <t>VERMEG FRANCE</t>
  </si>
  <si>
    <t>C90128</t>
  </si>
  <si>
    <t>CALAIS ENERGIE</t>
  </si>
  <si>
    <t>C90130</t>
  </si>
  <si>
    <t>CERGA</t>
  </si>
  <si>
    <t>C90131</t>
  </si>
  <si>
    <t>CIRD</t>
  </si>
  <si>
    <t>C90134</t>
  </si>
  <si>
    <t>EQIOM GRANULATS</t>
  </si>
  <si>
    <t>33389261001067</t>
  </si>
  <si>
    <t>C90136</t>
  </si>
  <si>
    <t>C90137</t>
  </si>
  <si>
    <t>STRASBOURG ELECTRICITE RESEAUX</t>
  </si>
  <si>
    <t>C90138</t>
  </si>
  <si>
    <t>DALKIA SMART BUILDING</t>
  </si>
  <si>
    <t>50159230700075</t>
  </si>
  <si>
    <t>C90139</t>
  </si>
  <si>
    <t>Générale de Téléactivité</t>
  </si>
  <si>
    <t>38261305700043</t>
  </si>
  <si>
    <t>C90140</t>
  </si>
  <si>
    <t>MUFRAGGI MATERIAUX</t>
  </si>
  <si>
    <t>C90141</t>
  </si>
  <si>
    <t>SOCIETE DE CLIMATISATION DE SURESNES</t>
  </si>
  <si>
    <t>C90142</t>
  </si>
  <si>
    <t>GROUPE PRODUCT LIFE</t>
  </si>
  <si>
    <t>C90143</t>
  </si>
  <si>
    <t>DAUZOU Mickaël</t>
  </si>
  <si>
    <t>C90144</t>
  </si>
  <si>
    <t>Ne plus utiliser - EDF SA</t>
  </si>
  <si>
    <t>C90145</t>
  </si>
  <si>
    <t>STE THERMIQUE DE L'ALMONT</t>
  </si>
  <si>
    <t>C90146</t>
  </si>
  <si>
    <t>ENERLAY</t>
  </si>
  <si>
    <t>C90147</t>
  </si>
  <si>
    <t>SOC MANTAISE EXPLOITATION CHAUFFAGE</t>
  </si>
  <si>
    <t>C90148</t>
  </si>
  <si>
    <t>BNP PARIBAS REAL ESTATE</t>
  </si>
  <si>
    <t>69201218000190</t>
  </si>
  <si>
    <t>C90149</t>
  </si>
  <si>
    <t>EIFFAGE ENERGIE SYSTEMES - SERVICES</t>
  </si>
  <si>
    <t>C90150</t>
  </si>
  <si>
    <t>Ne pas facturer - EDF DPN DST IMMO</t>
  </si>
  <si>
    <t>C90152</t>
  </si>
  <si>
    <t>BOISOURCE</t>
  </si>
  <si>
    <t>C90154</t>
  </si>
  <si>
    <t>PROTERTIA FM</t>
  </si>
  <si>
    <t>C90155</t>
  </si>
  <si>
    <t>CREDIT AGRICOLE PAYMENTS SERVICES</t>
  </si>
  <si>
    <t>C90157</t>
  </si>
  <si>
    <t>R ENERGIES</t>
  </si>
  <si>
    <t>C90158</t>
  </si>
  <si>
    <t>W-ENERGIES</t>
  </si>
  <si>
    <t>C90159</t>
  </si>
  <si>
    <t>VILLAE</t>
  </si>
  <si>
    <t>48336968200032</t>
  </si>
  <si>
    <t>C90160</t>
  </si>
  <si>
    <t>DALKIA ELECTROTECHNICS</t>
  </si>
  <si>
    <t>45650053700018</t>
  </si>
  <si>
    <t>C90161</t>
  </si>
  <si>
    <t>ELECTRICITE D'EMOSSON</t>
  </si>
  <si>
    <t>C90162</t>
  </si>
  <si>
    <t>ATALYS</t>
  </si>
  <si>
    <t>44988962500082</t>
  </si>
  <si>
    <t>C90163</t>
  </si>
  <si>
    <t>Ne pas facturer - EDF DTEAM UPTI CPE CETAC</t>
  </si>
  <si>
    <t>C90164</t>
  </si>
  <si>
    <t>EDDC EFFICACITE DALKIA DATA CENTER</t>
  </si>
  <si>
    <t>C90165</t>
  </si>
  <si>
    <t>OPEN X TREM</t>
  </si>
  <si>
    <t>C90166</t>
  </si>
  <si>
    <t>IZI BY EDF</t>
  </si>
  <si>
    <t>C90167</t>
  </si>
  <si>
    <t>EOLIENNES OFFSHORE DU CALVADOS</t>
  </si>
  <si>
    <t>C90168</t>
  </si>
  <si>
    <t>SIEMENS GAMESA RENEWABLE ENERGY SA</t>
  </si>
  <si>
    <t>C90169</t>
  </si>
  <si>
    <t>EDVANCE</t>
  </si>
  <si>
    <t>C90170</t>
  </si>
  <si>
    <t xml:space="preserve"> 69201218000174</t>
  </si>
  <si>
    <t>C90172</t>
  </si>
  <si>
    <t>SCHNEIDER ELECTRIC FRANCE</t>
  </si>
  <si>
    <t>42110670900668</t>
  </si>
  <si>
    <t>C90173</t>
  </si>
  <si>
    <t>SOGETH</t>
  </si>
  <si>
    <t>C90174</t>
  </si>
  <si>
    <t>STE DE CHAUFFAGE URBAIN DE CRETEIL-SCUC</t>
  </si>
  <si>
    <t>C90176</t>
  </si>
  <si>
    <t>ES SERVICES ENERGETIQUES</t>
  </si>
  <si>
    <t>32279139300042</t>
  </si>
  <si>
    <t>C90179</t>
  </si>
  <si>
    <t>SCHNEIDER ELECTRIC INTERNATIONAL</t>
  </si>
  <si>
    <t>C90180</t>
  </si>
  <si>
    <t>GRAND PARIS SUD ENERGIE POSITIVE - GPSEP</t>
  </si>
  <si>
    <t>400066</t>
  </si>
  <si>
    <t>SSR MARGUERITE BOUCICAUT</t>
  </si>
  <si>
    <t>88215875100017</t>
  </si>
  <si>
    <t>400067</t>
  </si>
  <si>
    <t>CHILDREN WORLDWIDE FASHION</t>
  </si>
  <si>
    <t>42199465800027</t>
  </si>
  <si>
    <t>400069</t>
  </si>
  <si>
    <t>DALKIA ELECTROTECHNICS - BONDOUFLE</t>
  </si>
  <si>
    <t>89238003100427</t>
  </si>
  <si>
    <t>400070</t>
  </si>
  <si>
    <t>COGEVI</t>
  </si>
  <si>
    <t>78035820600016</t>
  </si>
  <si>
    <t>400075</t>
  </si>
  <si>
    <t>HITACHI ENERGY</t>
  </si>
  <si>
    <t>85299041500055</t>
  </si>
  <si>
    <t>400074</t>
  </si>
  <si>
    <t>IKEA Developpement SAS</t>
  </si>
  <si>
    <t>30420037100041</t>
  </si>
  <si>
    <t>400077</t>
  </si>
  <si>
    <t>IZIVIA MAX</t>
  </si>
  <si>
    <t>CATTENTE</t>
  </si>
  <si>
    <t>client attente</t>
  </si>
  <si>
    <t>00000000000000</t>
  </si>
  <si>
    <t>400087</t>
  </si>
  <si>
    <t>INTERMARCHE FRANCE - COMPTE PARENT</t>
  </si>
  <si>
    <t>32522172900016</t>
  </si>
  <si>
    <t>400092</t>
  </si>
  <si>
    <t>44460844206783</t>
  </si>
  <si>
    <t>400093</t>
  </si>
  <si>
    <t>44460844200406</t>
  </si>
  <si>
    <t>400094</t>
  </si>
  <si>
    <t>44460844214167</t>
  </si>
  <si>
    <t>400095</t>
  </si>
  <si>
    <t>44460844207997</t>
  </si>
  <si>
    <t>400096</t>
  </si>
  <si>
    <t>44460844207179</t>
  </si>
  <si>
    <t>400097</t>
  </si>
  <si>
    <t>ETHYPHARM</t>
  </si>
  <si>
    <t>31199983300081</t>
  </si>
  <si>
    <t>400143</t>
  </si>
  <si>
    <t>NATIOCREDIMURS BNP CREDIBAIL</t>
  </si>
  <si>
    <t>33219946200042</t>
  </si>
  <si>
    <t>400159</t>
  </si>
  <si>
    <t>44460844206270</t>
  </si>
  <si>
    <t>400167</t>
  </si>
  <si>
    <t>GEA WESTFALIA SEPARATOR FRANCE</t>
  </si>
  <si>
    <t>41400130500013</t>
  </si>
  <si>
    <t>400257</t>
  </si>
  <si>
    <t>ONYX EST</t>
  </si>
  <si>
    <t>30520541100930</t>
  </si>
  <si>
    <t>400170</t>
  </si>
  <si>
    <t>SOCIETE ANONYME D'HABITATIONS A LOYER MODERE DES CHALETS</t>
  </si>
  <si>
    <t>400188</t>
  </si>
  <si>
    <t>Enedis EV100 - Sud Est - 112 valence auréats</t>
  </si>
  <si>
    <t>44460844207914</t>
  </si>
  <si>
    <t>400259</t>
  </si>
  <si>
    <t>DS SMITH PACKAGING FRANCE</t>
  </si>
  <si>
    <t>77556335600051</t>
  </si>
  <si>
    <t>400260</t>
  </si>
  <si>
    <t>Les Lavandières chez Elis Services</t>
  </si>
  <si>
    <t>400261</t>
  </si>
  <si>
    <t>43828966200035</t>
  </si>
  <si>
    <t>400262</t>
  </si>
  <si>
    <t>ARAMIS</t>
  </si>
  <si>
    <t>43928926500316</t>
  </si>
  <si>
    <t>400284</t>
  </si>
  <si>
    <t>LES ETAPES ANDRE TRIGANO</t>
  </si>
  <si>
    <t>42017590300236</t>
  </si>
  <si>
    <t>400309</t>
  </si>
  <si>
    <t>ADSEA 06</t>
  </si>
  <si>
    <t>77555221900674</t>
  </si>
  <si>
    <t>400318</t>
  </si>
  <si>
    <t>EDF EDVANCE</t>
  </si>
  <si>
    <t>82999760000012</t>
  </si>
  <si>
    <t>400326</t>
  </si>
  <si>
    <t>RTE IMMO LOGISTIQUE TOULOUSE</t>
  </si>
  <si>
    <t>44461925800676</t>
  </si>
  <si>
    <t>400337</t>
  </si>
  <si>
    <t>SCI du 32 avenue Pierre Grenier</t>
  </si>
  <si>
    <t>43905445300048</t>
  </si>
  <si>
    <t>400339</t>
  </si>
  <si>
    <t>44460844206692</t>
  </si>
  <si>
    <t>400345</t>
  </si>
  <si>
    <t>MASTER BUILDERS SOLUTIONS FRANCE SAS</t>
  </si>
  <si>
    <t>87941416700012</t>
  </si>
  <si>
    <t>400346</t>
  </si>
  <si>
    <t>SUDECO</t>
  </si>
  <si>
    <t>34887704400134</t>
  </si>
  <si>
    <t>400358</t>
  </si>
  <si>
    <t>KUEHNE + NAGEL ROAD</t>
  </si>
  <si>
    <t>49319140700037</t>
  </si>
  <si>
    <t>400381</t>
  </si>
  <si>
    <t>Association Notre Dame de Montligeon</t>
  </si>
  <si>
    <t>78094845100015</t>
  </si>
  <si>
    <t>400382</t>
  </si>
  <si>
    <t>TISSOT INDUSTRIE</t>
  </si>
  <si>
    <t>41487029500022</t>
  </si>
  <si>
    <t>400383</t>
  </si>
  <si>
    <t>44460844207963</t>
  </si>
  <si>
    <t>400385</t>
  </si>
  <si>
    <t>SCI ECUREUIL COEUR MEDITERRANEE s/c VSA MEDITERRANEE</t>
  </si>
  <si>
    <t xml:space="preserve"> 83896197700017</t>
  </si>
  <si>
    <t>400391</t>
  </si>
  <si>
    <t>ELECRO PJP SAS</t>
  </si>
  <si>
    <t>400418</t>
  </si>
  <si>
    <t>Compagnie Méditerranéenne des cafés</t>
  </si>
  <si>
    <t>95580206100106</t>
  </si>
  <si>
    <t>400419</t>
  </si>
  <si>
    <t>EPC DEMOSTEN (DEMOSTEN)</t>
  </si>
  <si>
    <t>49860979100047</t>
  </si>
  <si>
    <t>400076</t>
  </si>
  <si>
    <t>DALKIA EN</t>
  </si>
  <si>
    <t>400120</t>
  </si>
  <si>
    <t>35170529800120</t>
  </si>
  <si>
    <t>400123</t>
  </si>
  <si>
    <t>NEOT CAPITAL</t>
  </si>
  <si>
    <t>82123967000036</t>
  </si>
  <si>
    <t>400130</t>
  </si>
  <si>
    <t>STELLANTIS AUTO SAS</t>
  </si>
  <si>
    <t>54206547900926</t>
  </si>
  <si>
    <t>400131</t>
  </si>
  <si>
    <t>EMERSON PROCESS MANAGEMENT</t>
  </si>
  <si>
    <t>65205419800070</t>
  </si>
  <si>
    <t>400132</t>
  </si>
  <si>
    <t>Yamaha Motor Manufacturing Europe</t>
  </si>
  <si>
    <t>32903542200065</t>
  </si>
  <si>
    <t>400207</t>
  </si>
  <si>
    <t>MEA Energies</t>
  </si>
  <si>
    <t>FR65894878594</t>
  </si>
  <si>
    <t>400209</t>
  </si>
  <si>
    <t>Clients Monétique à reverser à Izivia</t>
  </si>
  <si>
    <t>400135</t>
  </si>
  <si>
    <t>SAIPOL SAS</t>
  </si>
  <si>
    <t>38802115600046</t>
  </si>
  <si>
    <t>400136</t>
  </si>
  <si>
    <t>IGESA HOTEL CLUB DE MONT LOUIS FONT ROMEU «  Les Sorbiers »</t>
  </si>
  <si>
    <t>18009006000369</t>
  </si>
  <si>
    <t>400138</t>
  </si>
  <si>
    <t>SCI 9 rue des Cuirassiers chez Covivio</t>
  </si>
  <si>
    <t>43892436700032</t>
  </si>
  <si>
    <t>400210</t>
  </si>
  <si>
    <t>44460844203483</t>
  </si>
  <si>
    <t>400215</t>
  </si>
  <si>
    <t>PAPREC GROUP</t>
  </si>
  <si>
    <t>48945536000052</t>
  </si>
  <si>
    <t>400229</t>
  </si>
  <si>
    <t>RAGNI</t>
  </si>
  <si>
    <t>30327547300013</t>
  </si>
  <si>
    <t>400230</t>
  </si>
  <si>
    <t>ALPADISTRI</t>
  </si>
  <si>
    <t>31338399400016</t>
  </si>
  <si>
    <t>400233</t>
  </si>
  <si>
    <t>AXEHOTEL CLERMONT</t>
  </si>
  <si>
    <t>44013335300027</t>
  </si>
  <si>
    <t>400234</t>
  </si>
  <si>
    <t>A2H ACE HOTEL HOLDING</t>
  </si>
  <si>
    <t>50946732000016</t>
  </si>
  <si>
    <t>400244</t>
  </si>
  <si>
    <t>ENSIO</t>
  </si>
  <si>
    <t>31050577100272</t>
  </si>
  <si>
    <t>400263</t>
  </si>
  <si>
    <t>STPS</t>
  </si>
  <si>
    <t>42497100000023</t>
  </si>
  <si>
    <t>400288</t>
  </si>
  <si>
    <t>HORIBA ABX SAS</t>
  </si>
  <si>
    <t>400292</t>
  </si>
  <si>
    <t>METROPOLE NICE COTE D AZUR</t>
  </si>
  <si>
    <t>400293</t>
  </si>
  <si>
    <t>France Boissons Ile De France</t>
  </si>
  <si>
    <t>57207906900348</t>
  </si>
  <si>
    <t>400297</t>
  </si>
  <si>
    <t>ALTENSYS</t>
  </si>
  <si>
    <t>90018325200015</t>
  </si>
  <si>
    <t>400307</t>
  </si>
  <si>
    <t>BASF HEALTH AND CARE PRODUCTS FRANCE SAS</t>
  </si>
  <si>
    <t>54678006500134</t>
  </si>
  <si>
    <t>400308</t>
  </si>
  <si>
    <t>I M E LES CHENES</t>
  </si>
  <si>
    <t>77555221900245</t>
  </si>
  <si>
    <t>400310</t>
  </si>
  <si>
    <t>XPO LOGISTICS EUROPE</t>
  </si>
  <si>
    <t>81159733500025</t>
  </si>
  <si>
    <t>400312</t>
  </si>
  <si>
    <t>GEODIS RT PRESSE (BEUGNIET - INTRANSPRESS - EUROPRESS - TR) (BM PRESSE)</t>
  </si>
  <si>
    <t>30516320600116</t>
  </si>
  <si>
    <t>400321</t>
  </si>
  <si>
    <t>44460844207831</t>
  </si>
  <si>
    <t>400331</t>
  </si>
  <si>
    <t>XPO Logistics</t>
  </si>
  <si>
    <t>42509096600036</t>
  </si>
  <si>
    <t>400332</t>
  </si>
  <si>
    <t>GNFA</t>
  </si>
  <si>
    <t>39977792900528</t>
  </si>
  <si>
    <t>400338</t>
  </si>
  <si>
    <t>GIE VILLEAM</t>
  </si>
  <si>
    <t>91525707500019</t>
  </si>
  <si>
    <t>400351</t>
  </si>
  <si>
    <t>MACIF</t>
  </si>
  <si>
    <t>78145251110490</t>
  </si>
  <si>
    <t>400357</t>
  </si>
  <si>
    <t>SWISH</t>
  </si>
  <si>
    <t>97764942500013</t>
  </si>
  <si>
    <t>400360</t>
  </si>
  <si>
    <t>CEMOI Chocolatier Etablissement de Tinchebray</t>
  </si>
  <si>
    <t>56420216600067</t>
  </si>
  <si>
    <t>400361</t>
  </si>
  <si>
    <t>ETABLISSEMENTS CANCE (CANCE CONSTRUCTIONS METALLIQUES)</t>
  </si>
  <si>
    <t>09728023400085</t>
  </si>
  <si>
    <t>400364</t>
  </si>
  <si>
    <t>MAJ chez Elis Services</t>
  </si>
  <si>
    <t>77573383501362</t>
  </si>
  <si>
    <t>400366</t>
  </si>
  <si>
    <t>ELIS PREVENTION NUISIBLES</t>
  </si>
  <si>
    <t>389 530 643 00045</t>
  </si>
  <si>
    <t>400369</t>
  </si>
  <si>
    <t>WATTRELOS</t>
  </si>
  <si>
    <t>885 581 033 00184</t>
  </si>
  <si>
    <t>400371</t>
  </si>
  <si>
    <t>LES LAVANDIERES chez Elis Services</t>
  </si>
  <si>
    <t>06220100900057</t>
  </si>
  <si>
    <t>400372</t>
  </si>
  <si>
    <t>MAJ chez Elis services,</t>
  </si>
  <si>
    <t>77573383501016</t>
  </si>
  <si>
    <t>400373</t>
  </si>
  <si>
    <t>LES LAVANDIERES Elis Services</t>
  </si>
  <si>
    <t>06220100900099</t>
  </si>
  <si>
    <t>400374</t>
  </si>
  <si>
    <t>LES LAVANDIERES chez Elis Services,</t>
  </si>
  <si>
    <t>06220100900396</t>
  </si>
  <si>
    <t>400375</t>
  </si>
  <si>
    <t>MAJ chez Elis Services,</t>
  </si>
  <si>
    <t>77573383501149</t>
  </si>
  <si>
    <t>400376</t>
  </si>
  <si>
    <t>MAJ Chez Elis Services,</t>
  </si>
  <si>
    <t>77573383500794</t>
  </si>
  <si>
    <t>400377</t>
  </si>
  <si>
    <t>R.L.S.T chez Elis Services,</t>
  </si>
  <si>
    <t>88558103300093</t>
  </si>
  <si>
    <t>400378</t>
  </si>
  <si>
    <t>77573383500869</t>
  </si>
  <si>
    <t>400088</t>
  </si>
  <si>
    <t>44460844214423</t>
  </si>
  <si>
    <t>400101</t>
  </si>
  <si>
    <t>SANDERS OUEST SA</t>
  </si>
  <si>
    <t>57645067000061</t>
  </si>
  <si>
    <t>400102</t>
  </si>
  <si>
    <t>GMR PYRENNEES</t>
  </si>
  <si>
    <t>400105</t>
  </si>
  <si>
    <t>Ne pas utiliser</t>
  </si>
  <si>
    <t>1</t>
  </si>
  <si>
    <t>400139</t>
  </si>
  <si>
    <t>45720861900140</t>
  </si>
  <si>
    <t>400281</t>
  </si>
  <si>
    <t>DEKRA EXPERTISE</t>
  </si>
  <si>
    <t>50747909500030</t>
  </si>
  <si>
    <t>400286</t>
  </si>
  <si>
    <t>EIFFAGE ENERGIE SYSTEMES</t>
  </si>
  <si>
    <t>57382091700041</t>
  </si>
  <si>
    <t>400124</t>
  </si>
  <si>
    <t>UNITHER LIQUID MANUFACTURING</t>
  </si>
  <si>
    <t>50938070500020</t>
  </si>
  <si>
    <t>400153</t>
  </si>
  <si>
    <t>EVRODIS</t>
  </si>
  <si>
    <t>37818381800012</t>
  </si>
  <si>
    <t>400158</t>
  </si>
  <si>
    <t>LYCEE EMILE MATHIS</t>
  </si>
  <si>
    <t>19670089200017</t>
  </si>
  <si>
    <t>400151</t>
  </si>
  <si>
    <t>APAVE INFRASTRUCTURES ET CONSTRUCTION FRANCE</t>
  </si>
  <si>
    <t>90386907100014</t>
  </si>
  <si>
    <t>400164</t>
  </si>
  <si>
    <t>LISI MEDICAL ORTHOPAEDICS</t>
  </si>
  <si>
    <t>51911623000011</t>
  </si>
  <si>
    <t>400175</t>
  </si>
  <si>
    <t>OFFICE FRANCAIS DE LA BIODIVERSITE</t>
  </si>
  <si>
    <t>13002591900015</t>
  </si>
  <si>
    <t>400180</t>
  </si>
  <si>
    <t>LES HAYES EN SOLOGNE</t>
  </si>
  <si>
    <t>89934889000018</t>
  </si>
  <si>
    <t>400193</t>
  </si>
  <si>
    <t>Ville de Divion</t>
  </si>
  <si>
    <t>21620270500010</t>
  </si>
  <si>
    <t>400194</t>
  </si>
  <si>
    <t>LE PETIT PLUS SERVICES</t>
  </si>
  <si>
    <t>87752584000022</t>
  </si>
  <si>
    <t>400195</t>
  </si>
  <si>
    <t>DKE NICE</t>
  </si>
  <si>
    <t>89238003100476</t>
  </si>
  <si>
    <t>400196</t>
  </si>
  <si>
    <t>44460844206437</t>
  </si>
  <si>
    <t>400211</t>
  </si>
  <si>
    <t>KUEHNE + NAGEL ROAD Tours</t>
  </si>
  <si>
    <t>49319140700615</t>
  </si>
  <si>
    <t>400242</t>
  </si>
  <si>
    <t>INGETEAM SA</t>
  </si>
  <si>
    <t>52208252800020</t>
  </si>
  <si>
    <t>400219</t>
  </si>
  <si>
    <t>06220100900032</t>
  </si>
  <si>
    <t>400285</t>
  </si>
  <si>
    <t>400287</t>
  </si>
  <si>
    <t>ECONOCOM</t>
  </si>
  <si>
    <t>30136482400419</t>
  </si>
  <si>
    <t>400298</t>
  </si>
  <si>
    <t>Obornes</t>
  </si>
  <si>
    <t>817 481 658</t>
  </si>
  <si>
    <t>400329</t>
  </si>
  <si>
    <t>SCI FRANCILIA</t>
  </si>
  <si>
    <t>37825596200060</t>
  </si>
  <si>
    <t>400340</t>
  </si>
  <si>
    <t>49319140700250</t>
  </si>
  <si>
    <t>400342</t>
  </si>
  <si>
    <t>VPK PAPER NORMANDIE</t>
  </si>
  <si>
    <t>79046297200023</t>
  </si>
  <si>
    <t>400344</t>
  </si>
  <si>
    <t>44460844207294</t>
  </si>
  <si>
    <t>400367</t>
  </si>
  <si>
    <t>LES LAVANDIERES CHEZ ELIS SERVICES</t>
  </si>
  <si>
    <t>062 201 009 00057</t>
  </si>
  <si>
    <t>400370</t>
  </si>
  <si>
    <t>BARILLA FRANCE</t>
  </si>
  <si>
    <t>43322535600115</t>
  </si>
  <si>
    <t>400397</t>
  </si>
  <si>
    <t>44460844200372</t>
  </si>
  <si>
    <t>400398</t>
  </si>
  <si>
    <t>400399</t>
  </si>
  <si>
    <t>ALLEZ ENERGIES</t>
  </si>
  <si>
    <t>57220154900118</t>
  </si>
  <si>
    <t>400400</t>
  </si>
  <si>
    <t>SAINT LOUIS SUCRE</t>
  </si>
  <si>
    <t>60205674900321</t>
  </si>
  <si>
    <t>400411</t>
  </si>
  <si>
    <t>77573383501347</t>
  </si>
  <si>
    <t>400412</t>
  </si>
  <si>
    <t>R.L.S.T. chez elis Services</t>
  </si>
  <si>
    <t>88558103300135</t>
  </si>
  <si>
    <t>400416</t>
  </si>
  <si>
    <t>REVEO (SYADEN)</t>
  </si>
  <si>
    <t>20002678900053</t>
  </si>
  <si>
    <t>400420</t>
  </si>
  <si>
    <t>CEMOI TABLISSEMENT PRINCIPAL</t>
  </si>
  <si>
    <t>56420216600018</t>
  </si>
  <si>
    <t>400065</t>
  </si>
  <si>
    <t>BH HOTEL</t>
  </si>
  <si>
    <t>48200147600019</t>
  </si>
  <si>
    <t>400081</t>
  </si>
  <si>
    <t>PEI GUADELOUPE</t>
  </si>
  <si>
    <t>80866674700015</t>
  </si>
  <si>
    <t>400083</t>
  </si>
  <si>
    <t>GNFA CARQUEFOU</t>
  </si>
  <si>
    <t>39977792900437</t>
  </si>
  <si>
    <t>400084</t>
  </si>
  <si>
    <t>SOCIETE NOUVELLE DES COULEURS ZINCIQUES</t>
  </si>
  <si>
    <t>33057588700014</t>
  </si>
  <si>
    <t>400085</t>
  </si>
  <si>
    <t>DEKRA  INDUSTRIAL HOLDING</t>
  </si>
  <si>
    <t>69202669300022</t>
  </si>
  <si>
    <t>400086</t>
  </si>
  <si>
    <t>45820496300029</t>
  </si>
  <si>
    <t>400090</t>
  </si>
  <si>
    <t>Kuehne + Nagel Road</t>
  </si>
  <si>
    <t>49319140700011</t>
  </si>
  <si>
    <t>400091</t>
  </si>
  <si>
    <t>TEREOS</t>
  </si>
  <si>
    <t>53324797900206</t>
  </si>
  <si>
    <t>400108</t>
  </si>
  <si>
    <t>44460844212476</t>
  </si>
  <si>
    <t>400122</t>
  </si>
  <si>
    <t>ALVERNHES VERNHES VERNHES</t>
  </si>
  <si>
    <t>51032824800073</t>
  </si>
  <si>
    <t>400121</t>
  </si>
  <si>
    <t>Groupe Associatif Edenis</t>
  </si>
  <si>
    <t>W313002088</t>
  </si>
  <si>
    <t>400125</t>
  </si>
  <si>
    <t>EDF SOLUTIONS SOLAIRES</t>
  </si>
  <si>
    <t>43316090000455</t>
  </si>
  <si>
    <t>400126</t>
  </si>
  <si>
    <t>Recharger mon auto</t>
  </si>
  <si>
    <t>FR75919313932</t>
  </si>
  <si>
    <t>400161</t>
  </si>
  <si>
    <t>Enedis EV100 - Sud Est - 53 ROMAGNAT</t>
  </si>
  <si>
    <t>44460844215578</t>
  </si>
  <si>
    <t>400181</t>
  </si>
  <si>
    <t>SANOFI PASTEUR NVL</t>
  </si>
  <si>
    <t>45127902000023</t>
  </si>
  <si>
    <t>400214</t>
  </si>
  <si>
    <t>SYNCHROTRON SOLEIL</t>
  </si>
  <si>
    <t>43968490300016</t>
  </si>
  <si>
    <t>400218</t>
  </si>
  <si>
    <t>400227</t>
  </si>
  <si>
    <t>49319140701134</t>
  </si>
  <si>
    <t>400301</t>
  </si>
  <si>
    <t>SIEM C/ OFI INVEST</t>
  </si>
  <si>
    <t>B44033985100048</t>
  </si>
  <si>
    <t>400240</t>
  </si>
  <si>
    <t>400241</t>
  </si>
  <si>
    <t>55208131753868</t>
  </si>
  <si>
    <t>400245</t>
  </si>
  <si>
    <t>MAISON DES SOCIETES</t>
  </si>
  <si>
    <t>77966853200012</t>
  </si>
  <si>
    <t>400250</t>
  </si>
  <si>
    <t>EPICURE</t>
  </si>
  <si>
    <t>44151460100034</t>
  </si>
  <si>
    <t>400251</t>
  </si>
  <si>
    <t>TERRA NOBILIS 2 SAS</t>
  </si>
  <si>
    <t>83982978500014</t>
  </si>
  <si>
    <t>400254</t>
  </si>
  <si>
    <t>RAMOND BUREAU D INGENIERIE</t>
  </si>
  <si>
    <t>44051599700045</t>
  </si>
  <si>
    <t>400258</t>
  </si>
  <si>
    <t>NVIDIA LTD</t>
  </si>
  <si>
    <t>43210835500046</t>
  </si>
  <si>
    <t>400265</t>
  </si>
  <si>
    <t>EDF PEI CORSE</t>
  </si>
  <si>
    <t>48996768700083</t>
  </si>
  <si>
    <t>400302</t>
  </si>
  <si>
    <t>UTILE - GALLARGUES-LE-MONTUEUX</t>
  </si>
  <si>
    <t>83101269500019</t>
  </si>
  <si>
    <t>400314</t>
  </si>
  <si>
    <t>FRANCE BOISSONS LOIRE ET SUD OUEST</t>
  </si>
  <si>
    <t>32296924700350</t>
  </si>
  <si>
    <t>400315</t>
  </si>
  <si>
    <t>FRANCE BOISSON SUD EST</t>
  </si>
  <si>
    <t>31850662300020</t>
  </si>
  <si>
    <t>400316</t>
  </si>
  <si>
    <t>PORTE DE LOIRE INVEST</t>
  </si>
  <si>
    <t>89872538700010</t>
  </si>
  <si>
    <t>400322</t>
  </si>
  <si>
    <t>IGESA PUY SAINT VINCENT</t>
  </si>
  <si>
    <t>18009006000294</t>
  </si>
  <si>
    <t>400330</t>
  </si>
  <si>
    <t>57207906900272</t>
  </si>
  <si>
    <t>400349</t>
  </si>
  <si>
    <t>49319140700649</t>
  </si>
  <si>
    <t>400365</t>
  </si>
  <si>
    <t>49319140700730</t>
  </si>
  <si>
    <t>400389</t>
  </si>
  <si>
    <t>BAKOTE</t>
  </si>
  <si>
    <t>48146729800024</t>
  </si>
  <si>
    <t>400392</t>
  </si>
  <si>
    <t>Commune de Chomerac</t>
  </si>
  <si>
    <t>21070066200013</t>
  </si>
  <si>
    <t>400401</t>
  </si>
  <si>
    <t>77573383501461</t>
  </si>
  <si>
    <t>400406</t>
  </si>
  <si>
    <t>54206547900280</t>
  </si>
  <si>
    <t>400407</t>
  </si>
  <si>
    <t>XPO DISTRIBUTION FRANCE</t>
  </si>
  <si>
    <t>38324216100586</t>
  </si>
  <si>
    <t>400408</t>
  </si>
  <si>
    <t>06220100900388</t>
  </si>
  <si>
    <t>400409</t>
  </si>
  <si>
    <t>77573383500497</t>
  </si>
  <si>
    <t>400410</t>
  </si>
  <si>
    <t>77573383501537</t>
  </si>
  <si>
    <t>400201</t>
  </si>
  <si>
    <t>ENEDIS VIENNE</t>
  </si>
  <si>
    <t>44460844208383</t>
  </si>
  <si>
    <t>400178</t>
  </si>
  <si>
    <t>SCI PENFRET</t>
  </si>
  <si>
    <t>50964643600014</t>
  </si>
  <si>
    <t>400190</t>
  </si>
  <si>
    <t>Enedis EV100 - Sud Est - 49 l'isle d'abeau</t>
  </si>
  <si>
    <t>44460844208334</t>
  </si>
  <si>
    <t>400224</t>
  </si>
  <si>
    <t>Enedis EV100 - Sud Est - 48 Le Touvet</t>
  </si>
  <si>
    <t>44460844210090</t>
  </si>
  <si>
    <t>400239</t>
  </si>
  <si>
    <t>LE DU INDUSTRIE SAS</t>
  </si>
  <si>
    <t>32977811200014</t>
  </si>
  <si>
    <t>400264</t>
  </si>
  <si>
    <t>RTE IMMO LOGISTIQUE LILLE</t>
  </si>
  <si>
    <t>44461925800569</t>
  </si>
  <si>
    <t>400266</t>
  </si>
  <si>
    <t>SCI DES ESTUAIRES - CAP KOAD</t>
  </si>
  <si>
    <t>48871522800018</t>
  </si>
  <si>
    <t>400272</t>
  </si>
  <si>
    <t>ENEDIS DR PCH</t>
  </si>
  <si>
    <t>44460844201792</t>
  </si>
  <si>
    <t>400273</t>
  </si>
  <si>
    <t>Dalkia</t>
  </si>
  <si>
    <t>400274</t>
  </si>
  <si>
    <t>EAU ET FEU</t>
  </si>
  <si>
    <t>77572442000069</t>
  </si>
  <si>
    <t>400275</t>
  </si>
  <si>
    <t>Nobel Plastiques SAS</t>
  </si>
  <si>
    <t>45357080600043</t>
  </si>
  <si>
    <t>400276</t>
  </si>
  <si>
    <t>SUPER U - ERQUY</t>
  </si>
  <si>
    <t>34527198500029</t>
  </si>
  <si>
    <t>400294</t>
  </si>
  <si>
    <t>IZIVIA GF</t>
  </si>
  <si>
    <t>94021557700013</t>
  </si>
  <si>
    <t>400300</t>
  </si>
  <si>
    <t>44460844207161</t>
  </si>
  <si>
    <t>400313</t>
  </si>
  <si>
    <t>FRANCE BOISSONS CENTRE RHONE ALPES</t>
  </si>
  <si>
    <t>31045504300524</t>
  </si>
  <si>
    <t>400320</t>
  </si>
  <si>
    <t>XPO LOGISTICS NORD FRANCE (XPO NORD FR)</t>
  </si>
  <si>
    <t>38063192900128</t>
  </si>
  <si>
    <t>400333</t>
  </si>
  <si>
    <t>VACANCES TOURISME LOISIRS LEO LAGRANGE (V L L)</t>
  </si>
  <si>
    <t>45154289800064</t>
  </si>
  <si>
    <t>400335</t>
  </si>
  <si>
    <t>BECKMAN</t>
  </si>
  <si>
    <t>63204307100323</t>
  </si>
  <si>
    <t>400348</t>
  </si>
  <si>
    <t>RESILIENCE OCCITANIE</t>
  </si>
  <si>
    <t>77558124200366</t>
  </si>
  <si>
    <t>400368</t>
  </si>
  <si>
    <t>PIERRETTE - T.B.A. CHEZ ELIS SERVICES</t>
  </si>
  <si>
    <t>30604226800210</t>
  </si>
  <si>
    <t>400394</t>
  </si>
  <si>
    <t>49319140700755</t>
  </si>
  <si>
    <t>400413</t>
  </si>
  <si>
    <t>DS SMITH PACKAGING DURTAL</t>
  </si>
  <si>
    <t>44463667400012</t>
  </si>
  <si>
    <t>400414</t>
  </si>
  <si>
    <t>POUJOULAT</t>
  </si>
  <si>
    <t>78144652100028</t>
  </si>
  <si>
    <t>400071</t>
  </si>
  <si>
    <t>LISI MEDICAL FASTENERS</t>
  </si>
  <si>
    <t>41027018500011</t>
  </si>
  <si>
    <t>400080</t>
  </si>
  <si>
    <t>55208131721956</t>
  </si>
  <si>
    <t>400189</t>
  </si>
  <si>
    <t>SAS LINDAL FRANCE</t>
  </si>
  <si>
    <t>68201144000026</t>
  </si>
  <si>
    <t>400107</t>
  </si>
  <si>
    <t>31199983300115</t>
  </si>
  <si>
    <t>400127</t>
  </si>
  <si>
    <t>44460844200539</t>
  </si>
  <si>
    <t>400155</t>
  </si>
  <si>
    <t>UDAF du Calvados</t>
  </si>
  <si>
    <t>78071665000038</t>
  </si>
  <si>
    <t>400179</t>
  </si>
  <si>
    <t>400186</t>
  </si>
  <si>
    <t>CHATEAU CHEVAL BLANC</t>
  </si>
  <si>
    <t>400192</t>
  </si>
  <si>
    <t>DESMAZIERES</t>
  </si>
  <si>
    <t>37320051800034</t>
  </si>
  <si>
    <t>400198</t>
  </si>
  <si>
    <t>44460844203467</t>
  </si>
  <si>
    <t>400199</t>
  </si>
  <si>
    <t>KUEHNE + NAGEL ROAD Boves</t>
  </si>
  <si>
    <t>49319140701043</t>
  </si>
  <si>
    <t>400202</t>
  </si>
  <si>
    <t>44460844210546</t>
  </si>
  <si>
    <t>400204</t>
  </si>
  <si>
    <t>KUEHNE + NAGEL ROAD - 25480</t>
  </si>
  <si>
    <t>49319140700987</t>
  </si>
  <si>
    <t>400213</t>
  </si>
  <si>
    <t>54200982400369</t>
  </si>
  <si>
    <t>400216</t>
  </si>
  <si>
    <t>44460844203376</t>
  </si>
  <si>
    <t>400225</t>
  </si>
  <si>
    <t>SAS UNIVAL</t>
  </si>
  <si>
    <t>31667403500076</t>
  </si>
  <si>
    <t>400226</t>
  </si>
  <si>
    <t>KARL STORZ INVEST FRANCE</t>
  </si>
  <si>
    <t>44182900900022</t>
  </si>
  <si>
    <t>400238</t>
  </si>
  <si>
    <t>SCI DES SERVICES DE L'AUTOMOBILE ET DE LA MOBILITE</t>
  </si>
  <si>
    <t>45310617100029</t>
  </si>
  <si>
    <t>400243</t>
  </si>
  <si>
    <t>CAISSE CENTRALE D'ACTIVITES SOCIALES (CCAS)</t>
  </si>
  <si>
    <t>77569474809227</t>
  </si>
  <si>
    <t>400255</t>
  </si>
  <si>
    <t>Enedis puy en velay catherine</t>
  </si>
  <si>
    <t>44460844209894</t>
  </si>
  <si>
    <t>400256</t>
  </si>
  <si>
    <t>55208131765383</t>
  </si>
  <si>
    <t>400267</t>
  </si>
  <si>
    <t>TRAVAIL ET VIE</t>
  </si>
  <si>
    <t>32589466500141</t>
  </si>
  <si>
    <t>400268</t>
  </si>
  <si>
    <t>SCI ROQUES</t>
  </si>
  <si>
    <t>35174572400119</t>
  </si>
  <si>
    <t>400270</t>
  </si>
  <si>
    <t>TEREOS STARCH&amp;SWEETENERS EUROPE</t>
  </si>
  <si>
    <t>40313822500012</t>
  </si>
  <si>
    <t>400271</t>
  </si>
  <si>
    <t>CHAMBRE DE METIERS ET DE L'ARTISANAT DE REGION PROVENCE-ALPES-COTE D'AZUR</t>
  </si>
  <si>
    <t>13002087800240</t>
  </si>
  <si>
    <t>400278</t>
  </si>
  <si>
    <t>400279</t>
  </si>
  <si>
    <t>DILLINGER FRANCE</t>
  </si>
  <si>
    <t>33162009600064</t>
  </si>
  <si>
    <t>400280</t>
  </si>
  <si>
    <t>CEMOI Chocolatier Etablissement de Torrémila</t>
  </si>
  <si>
    <t>56420216600059</t>
  </si>
  <si>
    <t>400282</t>
  </si>
  <si>
    <t>DS SMITH PACKAGING CONSUMER TOURY</t>
  </si>
  <si>
    <t>76650001100024</t>
  </si>
  <si>
    <t>400283</t>
  </si>
  <si>
    <t>GENFIT SA</t>
  </si>
  <si>
    <t>400291</t>
  </si>
  <si>
    <t>COLORCON</t>
  </si>
  <si>
    <t>38462082900018</t>
  </si>
  <si>
    <t>400296</t>
  </si>
  <si>
    <t>Saascharge International GmbH</t>
  </si>
  <si>
    <t>400303</t>
  </si>
  <si>
    <t>Enedis DR NPDC - B2B2C</t>
  </si>
  <si>
    <t>44460844205827</t>
  </si>
  <si>
    <t>400304</t>
  </si>
  <si>
    <t>ENEDIS DR NORMANDIE</t>
  </si>
  <si>
    <t>44460844202899</t>
  </si>
  <si>
    <t>400305</t>
  </si>
  <si>
    <t>400311</t>
  </si>
  <si>
    <t>LIXXBAIL</t>
  </si>
  <si>
    <t>682039078</t>
  </si>
  <si>
    <t>400323</t>
  </si>
  <si>
    <t>RTE IMMO LOGISTIQUE LYON</t>
  </si>
  <si>
    <t>400324</t>
  </si>
  <si>
    <t>RTE IMMO LOGISTIQUE NANCY</t>
  </si>
  <si>
    <t>44461925800908</t>
  </si>
  <si>
    <t>400325</t>
  </si>
  <si>
    <t>RTE IMMO LOGISTIQUE MARSEILLE - NÎMES</t>
  </si>
  <si>
    <t>44461925800932</t>
  </si>
  <si>
    <t>400327</t>
  </si>
  <si>
    <t>RTE IMMO LOGISTIQUE NANTES</t>
  </si>
  <si>
    <t>44461925801484</t>
  </si>
  <si>
    <t>400328</t>
  </si>
  <si>
    <t>RTE IMMO LOGISTIQUE PARIS</t>
  </si>
  <si>
    <t>44461925802482</t>
  </si>
  <si>
    <t>400341</t>
  </si>
  <si>
    <t>Kuehne + Nagel ROAD</t>
  </si>
  <si>
    <t>49319140700524</t>
  </si>
  <si>
    <t>400343</t>
  </si>
  <si>
    <t>49319140700953</t>
  </si>
  <si>
    <t>400350</t>
  </si>
  <si>
    <t>DUC</t>
  </si>
  <si>
    <t>72262116600049</t>
  </si>
  <si>
    <t>400352</t>
  </si>
  <si>
    <t>ASF AUTOROUTES DU SUD DE LA FRANCE</t>
  </si>
  <si>
    <t>57213999603633</t>
  </si>
  <si>
    <t>400354</t>
  </si>
  <si>
    <t>44460844215115</t>
  </si>
  <si>
    <t>400355</t>
  </si>
  <si>
    <t>Jerecharge.com</t>
  </si>
  <si>
    <t>FR52905083895</t>
  </si>
  <si>
    <t>400064</t>
  </si>
  <si>
    <t>55208131712260</t>
  </si>
  <si>
    <t>400089</t>
  </si>
  <si>
    <t>ETABLISSEMENTS IGUAL</t>
  </si>
  <si>
    <t>32323319700033</t>
  </si>
  <si>
    <t>400098</t>
  </si>
  <si>
    <t>44460844207054</t>
  </si>
  <si>
    <t>400099</t>
  </si>
  <si>
    <t>44460844207823</t>
  </si>
  <si>
    <t>400100</t>
  </si>
  <si>
    <t>DEKRA Services France - SGFA</t>
  </si>
  <si>
    <t>81744534900100</t>
  </si>
  <si>
    <t>400183</t>
  </si>
  <si>
    <t>MACIF -MUTAVIE NIORT</t>
  </si>
  <si>
    <t>31565226300072</t>
  </si>
  <si>
    <t>400109</t>
  </si>
  <si>
    <t>ROBO CHARGE</t>
  </si>
  <si>
    <t>NL861238278B01</t>
  </si>
  <si>
    <t>400129</t>
  </si>
  <si>
    <t>44460844200307</t>
  </si>
  <si>
    <t>400137</t>
  </si>
  <si>
    <t>Immobilière Européenne des Mousquetaires</t>
  </si>
  <si>
    <t>33405564700575</t>
  </si>
  <si>
    <t>400144</t>
  </si>
  <si>
    <t>SUPER U</t>
  </si>
  <si>
    <t>38979545100019</t>
  </si>
  <si>
    <t>400145</t>
  </si>
  <si>
    <t>Kuwait Petroleum (Luxembourg) S.A</t>
  </si>
  <si>
    <t>LU 16241579</t>
  </si>
  <si>
    <t>400146</t>
  </si>
  <si>
    <t>EVIO - Electrical Mobility</t>
  </si>
  <si>
    <t>PT515681890</t>
  </si>
  <si>
    <t>400152</t>
  </si>
  <si>
    <t>RESONANCE</t>
  </si>
  <si>
    <t>82400752000011</t>
  </si>
  <si>
    <t>400156</t>
  </si>
  <si>
    <t>44460844213524</t>
  </si>
  <si>
    <t>400157</t>
  </si>
  <si>
    <t>CVDL</t>
  </si>
  <si>
    <t>23450002300028</t>
  </si>
  <si>
    <t>400163</t>
  </si>
  <si>
    <t>Enedis EV100 - Sud Est - 32 Ambérieu en bugey</t>
  </si>
  <si>
    <t>44460844202113</t>
  </si>
  <si>
    <t>400166</t>
  </si>
  <si>
    <t>44460844211619</t>
  </si>
  <si>
    <t>400176</t>
  </si>
  <si>
    <t>ENEXTEN</t>
  </si>
  <si>
    <t>FR51419070180</t>
  </si>
  <si>
    <t>400184</t>
  </si>
  <si>
    <t>SCI DES BOISSES</t>
  </si>
  <si>
    <t>85187447900021</t>
  </si>
  <si>
    <t>400185</t>
  </si>
  <si>
    <t>78145251109518</t>
  </si>
  <si>
    <t>400187</t>
  </si>
  <si>
    <t>44460844203590</t>
  </si>
  <si>
    <t>400191</t>
  </si>
  <si>
    <t>Enedis EV100 - Sud Est - 109 chambéry Arietaz</t>
  </si>
  <si>
    <t>44460844202436</t>
  </si>
  <si>
    <t>400197</t>
  </si>
  <si>
    <t>CCI HAUT DE FRANCE</t>
  </si>
  <si>
    <t>13002271800014</t>
  </si>
  <si>
    <t>400200</t>
  </si>
  <si>
    <t>Enedis</t>
  </si>
  <si>
    <t>44460844203459</t>
  </si>
  <si>
    <t>400205</t>
  </si>
  <si>
    <t>Kuehne+Nagel - Agen</t>
  </si>
  <si>
    <t>49319140701100</t>
  </si>
  <si>
    <t>400220</t>
  </si>
  <si>
    <t>44460844211163</t>
  </si>
  <si>
    <t>400221</t>
  </si>
  <si>
    <t>M.A.J chez Elis Services</t>
  </si>
  <si>
    <t>88558103300184</t>
  </si>
  <si>
    <t>400222</t>
  </si>
  <si>
    <t>37904139500052</t>
  </si>
  <si>
    <t>400223</t>
  </si>
  <si>
    <t>44460844207732</t>
  </si>
  <si>
    <t>400289</t>
  </si>
  <si>
    <t>77555221900062</t>
  </si>
  <si>
    <t>400246</t>
  </si>
  <si>
    <t>EDF R&amp;D</t>
  </si>
  <si>
    <t>55208131791405</t>
  </si>
  <si>
    <t>400247</t>
  </si>
  <si>
    <t>AKTE INVEST</t>
  </si>
  <si>
    <t>50190783600032</t>
  </si>
  <si>
    <t>400248</t>
  </si>
  <si>
    <t>HELISIM</t>
  </si>
  <si>
    <t>42164636500013</t>
  </si>
  <si>
    <t>400290</t>
  </si>
  <si>
    <t>AIRNOV FRANCE</t>
  </si>
  <si>
    <t>81408727600022</t>
  </si>
  <si>
    <t>400299</t>
  </si>
  <si>
    <t>TRANSPORTS THEVENET</t>
  </si>
  <si>
    <t>97612011300049</t>
  </si>
  <si>
    <t>400306</t>
  </si>
  <si>
    <t>ENEDIS DR IDF Ouest</t>
  </si>
  <si>
    <t>44460844213995</t>
  </si>
  <si>
    <t>400334</t>
  </si>
  <si>
    <t>MILLE ET UN REPAS 1001 REPAS</t>
  </si>
  <si>
    <t>41091104400049</t>
  </si>
  <si>
    <t>400336</t>
  </si>
  <si>
    <t>44460844207989</t>
  </si>
  <si>
    <t>400356</t>
  </si>
  <si>
    <t>WELLBORNE</t>
  </si>
  <si>
    <t>893 030 742 R.C.S. Lyon</t>
  </si>
  <si>
    <t>400359</t>
  </si>
  <si>
    <t>400363</t>
  </si>
  <si>
    <t>Commune demange aux eaux</t>
  </si>
  <si>
    <t>20008648600012</t>
  </si>
  <si>
    <t>400379</t>
  </si>
  <si>
    <t>400380</t>
  </si>
  <si>
    <t>400393</t>
  </si>
  <si>
    <t>44460844207849</t>
  </si>
  <si>
    <t>400395</t>
  </si>
  <si>
    <t>Ibis Besançon Centre Ville</t>
  </si>
  <si>
    <t>33752096900029</t>
  </si>
  <si>
    <t>400396</t>
  </si>
  <si>
    <t>MURGIER SAS</t>
  </si>
  <si>
    <t>76520098500073</t>
  </si>
  <si>
    <t>400415</t>
  </si>
  <si>
    <t>AUTOSENSE AG</t>
  </si>
  <si>
    <t>CH02030460193</t>
  </si>
  <si>
    <t>400417</t>
  </si>
  <si>
    <t>Luminus Izivia EVCS</t>
  </si>
  <si>
    <t>BE0471811661</t>
  </si>
  <si>
    <t>400078</t>
  </si>
  <si>
    <t>(ne pas utiliser) CAMPING LEZ-EAUX</t>
  </si>
  <si>
    <t>400082</t>
  </si>
  <si>
    <t>IZIVIA ADVANCED</t>
  </si>
  <si>
    <t>98475098400010</t>
  </si>
  <si>
    <t>400106</t>
  </si>
  <si>
    <t>CAMPING LES CLARINES</t>
  </si>
  <si>
    <t>47807662300022</t>
  </si>
  <si>
    <t>400116</t>
  </si>
  <si>
    <t>89877755200016</t>
  </si>
  <si>
    <t>400119</t>
  </si>
  <si>
    <t>FRANCE BOISSONS LOIRE SUD OUEST</t>
  </si>
  <si>
    <t>32296924700376</t>
  </si>
  <si>
    <t>400147</t>
  </si>
  <si>
    <t>Zunder France</t>
  </si>
  <si>
    <t>FR32918951849</t>
  </si>
  <si>
    <t>400128</t>
  </si>
  <si>
    <t>REMBOURSEMENT CLIENTS MONETIQUE</t>
  </si>
  <si>
    <t>MONETIQUE</t>
  </si>
  <si>
    <t>400148</t>
  </si>
  <si>
    <t>2GE</t>
  </si>
  <si>
    <t>98277157800019</t>
  </si>
  <si>
    <t>400149</t>
  </si>
  <si>
    <t>RTE - Réseau de transport d'électricité Immo. Logistique Lille</t>
  </si>
  <si>
    <t>400150</t>
  </si>
  <si>
    <t>APAVE EXPLOITATION FRANCE</t>
  </si>
  <si>
    <t>90386961800012</t>
  </si>
  <si>
    <t>400154</t>
  </si>
  <si>
    <t>SANOFI WINTHROP INDUSTRIE</t>
  </si>
  <si>
    <t>77566225700150</t>
  </si>
  <si>
    <t>400160</t>
  </si>
  <si>
    <t>SCI SHAKE HDF</t>
  </si>
  <si>
    <t>84417990300027</t>
  </si>
  <si>
    <t>400162</t>
  </si>
  <si>
    <t>44460844214993</t>
  </si>
  <si>
    <t>400165</t>
  </si>
  <si>
    <t>ENEDIS SEYSSINET PARISET</t>
  </si>
  <si>
    <t>44460844210066</t>
  </si>
  <si>
    <t>400168</t>
  </si>
  <si>
    <t>Enedis EV100 - Sud Est - 36 Bourg en bresse</t>
  </si>
  <si>
    <t>44460844204333</t>
  </si>
  <si>
    <t>400171</t>
  </si>
  <si>
    <t>30716693400033</t>
  </si>
  <si>
    <t>400172</t>
  </si>
  <si>
    <t>RACING RUGBY - PLESSIS ROBINSON</t>
  </si>
  <si>
    <t>40882563600033</t>
  </si>
  <si>
    <t>400173</t>
  </si>
  <si>
    <t>38076513100061</t>
  </si>
  <si>
    <t>400174</t>
  </si>
  <si>
    <t>400177</t>
  </si>
  <si>
    <t>TOYOTA MOTOR MANUFACTURING FRANCE</t>
  </si>
  <si>
    <t>42055905600031</t>
  </si>
  <si>
    <t>400203</t>
  </si>
  <si>
    <t>LESIEUR GENERALE CONDIMENTAIRE</t>
  </si>
  <si>
    <t>43750765000038</t>
  </si>
  <si>
    <t>400206</t>
  </si>
  <si>
    <t>SPV temporaire en attente d’affectation</t>
  </si>
  <si>
    <t>44987733100016</t>
  </si>
  <si>
    <t>400208</t>
  </si>
  <si>
    <t>Tap Electric</t>
  </si>
  <si>
    <t>NL861879764B01</t>
  </si>
  <si>
    <t>400217</t>
  </si>
  <si>
    <t>SCI LE LANNOU</t>
  </si>
  <si>
    <t>52897730900012</t>
  </si>
  <si>
    <t>400228</t>
  </si>
  <si>
    <t>Q-PARK FRANCE SERVICES</t>
  </si>
  <si>
    <t>83442409500018</t>
  </si>
  <si>
    <t>400235</t>
  </si>
  <si>
    <t>44460844210736</t>
  </si>
  <si>
    <t>400236</t>
  </si>
  <si>
    <t>ENEDIS DR ALPES</t>
  </si>
  <si>
    <t>44460844202444</t>
  </si>
  <si>
    <t>400237</t>
  </si>
  <si>
    <t>L'ATELIER DU FROMAGE</t>
  </si>
  <si>
    <t>80860850900028</t>
  </si>
  <si>
    <t>400249</t>
  </si>
  <si>
    <t>ALPHA DIRECT</t>
  </si>
  <si>
    <t>51367497800020</t>
  </si>
  <si>
    <t>400252</t>
  </si>
  <si>
    <t>HYPER PRIMEURS</t>
  </si>
  <si>
    <t>43262333800022</t>
  </si>
  <si>
    <t>400253</t>
  </si>
  <si>
    <t>LEONVOL</t>
  </si>
  <si>
    <t>FR19794155945</t>
  </si>
  <si>
    <t>400269</t>
  </si>
  <si>
    <t>Blanc Aero Indutries</t>
  </si>
  <si>
    <t>39500185200098</t>
  </si>
  <si>
    <t>400277</t>
  </si>
  <si>
    <t>Transdev Occitanie Ouest</t>
  </si>
  <si>
    <t>30135143300067</t>
  </si>
  <si>
    <t>400295</t>
  </si>
  <si>
    <t>SCI 15 RUE DES CUIRASSIERS CHEZ COVIVIO</t>
  </si>
  <si>
    <t>43892471400035</t>
  </si>
  <si>
    <t>400317</t>
  </si>
  <si>
    <t>DEKRA FONCIER</t>
  </si>
  <si>
    <t>39815632300048</t>
  </si>
  <si>
    <t>400347</t>
  </si>
  <si>
    <t>05750553900429</t>
  </si>
  <si>
    <t>400353</t>
  </si>
  <si>
    <t>49319140700029</t>
  </si>
  <si>
    <t>400362</t>
  </si>
  <si>
    <t>SCI 3S LES ALLEES DU PARC</t>
  </si>
  <si>
    <t>79012645200024</t>
  </si>
  <si>
    <t>400384</t>
  </si>
  <si>
    <t>COMMUNAUTE DE COMMUNES DU VEXIN THELLE</t>
  </si>
  <si>
    <t>24600070700090</t>
  </si>
  <si>
    <t>400386</t>
  </si>
  <si>
    <t>400387</t>
  </si>
  <si>
    <t>94019879900014</t>
  </si>
  <si>
    <t>400388</t>
  </si>
  <si>
    <t>GRAINE</t>
  </si>
  <si>
    <t>42292852300014</t>
  </si>
  <si>
    <t>400390</t>
  </si>
  <si>
    <t>400402</t>
  </si>
  <si>
    <t>77573383501297</t>
  </si>
  <si>
    <t>400403</t>
  </si>
  <si>
    <t>77573383501065</t>
  </si>
  <si>
    <t>400404</t>
  </si>
  <si>
    <t>MAJ chez elis Services</t>
  </si>
  <si>
    <t>77573383501073</t>
  </si>
  <si>
    <t>400405</t>
  </si>
  <si>
    <t>77573383500950</t>
  </si>
  <si>
    <t>SIREN</t>
  </si>
  <si>
    <t>CHE-362.8</t>
  </si>
  <si>
    <t/>
  </si>
  <si>
    <t>200073344</t>
  </si>
  <si>
    <t>954506077</t>
  </si>
  <si>
    <t>216704478</t>
  </si>
  <si>
    <t>200046175</t>
  </si>
  <si>
    <t>200045938</t>
  </si>
  <si>
    <t>450889225</t>
  </si>
  <si>
    <t>219400595</t>
  </si>
  <si>
    <t>481986446</t>
  </si>
  <si>
    <t>775664873</t>
  </si>
  <si>
    <t>216700674</t>
  </si>
  <si>
    <t>240600585</t>
  </si>
  <si>
    <t>798025276</t>
  </si>
  <si>
    <t>420291387</t>
  </si>
  <si>
    <t>216703538</t>
  </si>
  <si>
    <t>825234313</t>
  </si>
  <si>
    <t>490675774</t>
  </si>
  <si>
    <t>347604621</t>
  </si>
  <si>
    <t>216900431</t>
  </si>
  <si>
    <t>592052302</t>
  </si>
  <si>
    <t>311127278</t>
  </si>
  <si>
    <t>311460596</t>
  </si>
  <si>
    <t>712042456</t>
  </si>
  <si>
    <t>533373619</t>
  </si>
  <si>
    <t>488404823</t>
  </si>
  <si>
    <t>950450452</t>
  </si>
  <si>
    <t>784538944</t>
  </si>
  <si>
    <t>782354096</t>
  </si>
  <si>
    <t>498396324</t>
  </si>
  <si>
    <t>330066374</t>
  </si>
  <si>
    <t>804406429</t>
  </si>
  <si>
    <t>524027455</t>
  </si>
  <si>
    <t>097280234</t>
  </si>
  <si>
    <t>200070324</t>
  </si>
  <si>
    <t>215403957</t>
  </si>
  <si>
    <t>822910790</t>
  </si>
  <si>
    <t>351705298</t>
  </si>
  <si>
    <t>775709702</t>
  </si>
  <si>
    <t>384386934</t>
  </si>
  <si>
    <t>830131629</t>
  </si>
  <si>
    <t>407997162</t>
  </si>
  <si>
    <t>414619866</t>
  </si>
  <si>
    <t>837539402</t>
  </si>
  <si>
    <t>419070180</t>
  </si>
  <si>
    <t>829889591</t>
  </si>
  <si>
    <t>433127537</t>
  </si>
  <si>
    <t>544800857</t>
  </si>
  <si>
    <t>379041395</t>
  </si>
  <si>
    <t>538133166</t>
  </si>
  <si>
    <t>538760125</t>
  </si>
  <si>
    <t>395208796</t>
  </si>
  <si>
    <t>518969944</t>
  </si>
  <si>
    <t>389818907</t>
  </si>
  <si>
    <t>246900724</t>
  </si>
  <si>
    <t>827866245</t>
  </si>
  <si>
    <t>335146312</t>
  </si>
  <si>
    <t>305918732</t>
  </si>
  <si>
    <t>805340239</t>
  </si>
  <si>
    <t>804495638</t>
  </si>
  <si>
    <t>314843244</t>
  </si>
  <si>
    <t>439381468</t>
  </si>
  <si>
    <t>388334526</t>
  </si>
  <si>
    <t>216700468</t>
  </si>
  <si>
    <t>339361701</t>
  </si>
  <si>
    <t>378744460</t>
  </si>
  <si>
    <t>452611122</t>
  </si>
  <si>
    <t>318226974</t>
  </si>
  <si>
    <t>568500409</t>
  </si>
  <si>
    <t>483281887</t>
  </si>
  <si>
    <t>881288757</t>
  </si>
  <si>
    <t>777166679</t>
  </si>
  <si>
    <t>453929465</t>
  </si>
  <si>
    <t>378040497</t>
  </si>
  <si>
    <t>512585514</t>
  </si>
  <si>
    <t>391063617</t>
  </si>
  <si>
    <t>421232836</t>
  </si>
  <si>
    <t>110002011</t>
  </si>
  <si>
    <t>315667410</t>
  </si>
  <si>
    <t>301861886</t>
  </si>
  <si>
    <t>790184279</t>
  </si>
  <si>
    <t>497933937</t>
  </si>
  <si>
    <t>499838878</t>
  </si>
  <si>
    <t>213003510</t>
  </si>
  <si>
    <t>412790198</t>
  </si>
  <si>
    <t>408570356</t>
  </si>
  <si>
    <t>570800524</t>
  </si>
  <si>
    <t>381186063</t>
  </si>
  <si>
    <t>524460789</t>
  </si>
  <si>
    <t>451399729</t>
  </si>
  <si>
    <t>307322214</t>
  </si>
  <si>
    <t>791915036</t>
  </si>
  <si>
    <t>440315943</t>
  </si>
  <si>
    <t>411207012</t>
  </si>
  <si>
    <t>429057342</t>
  </si>
  <si>
    <t>552062663</t>
  </si>
  <si>
    <t>879321487</t>
  </si>
  <si>
    <t>503370249</t>
  </si>
  <si>
    <t>814066494</t>
  </si>
  <si>
    <t>213300098</t>
  </si>
  <si>
    <t>380765131</t>
  </si>
  <si>
    <t>411132376</t>
  </si>
  <si>
    <t>262100183</t>
  </si>
  <si>
    <t>310520622</t>
  </si>
  <si>
    <t>429916596</t>
  </si>
  <si>
    <t>344091277</t>
  </si>
  <si>
    <t>403174691</t>
  </si>
  <si>
    <t>391248176</t>
  </si>
  <si>
    <t>392988895</t>
  </si>
  <si>
    <t>487884173</t>
  </si>
  <si>
    <t>382958460</t>
  </si>
  <si>
    <t>552016628</t>
  </si>
  <si>
    <t>433704889</t>
  </si>
  <si>
    <t>200039915</t>
  </si>
  <si>
    <t>200039857</t>
  </si>
  <si>
    <t>389643859</t>
  </si>
  <si>
    <t>305800997</t>
  </si>
  <si>
    <t>552081317</t>
  </si>
  <si>
    <t>444608442</t>
  </si>
  <si>
    <t>500494984</t>
  </si>
  <si>
    <t>818611220</t>
  </si>
  <si>
    <t>880266218</t>
  </si>
  <si>
    <t>066201120</t>
  </si>
  <si>
    <t>351745724</t>
  </si>
  <si>
    <t>320229644</t>
  </si>
  <si>
    <t>487734246</t>
  </si>
  <si>
    <t>844799288</t>
  </si>
  <si>
    <t>808227052</t>
  </si>
  <si>
    <t>339343808</t>
  </si>
  <si>
    <t>509352951</t>
  </si>
  <si>
    <t>632012100</t>
  </si>
  <si>
    <t>522546548</t>
  </si>
  <si>
    <t>245400676</t>
  </si>
  <si>
    <t>217500016</t>
  </si>
  <si>
    <t>542050315</t>
  </si>
  <si>
    <t>252901145</t>
  </si>
  <si>
    <t>489099903</t>
  </si>
  <si>
    <t>200050425</t>
  </si>
  <si>
    <t>433887759</t>
  </si>
  <si>
    <t>200056232</t>
  </si>
  <si>
    <t>391378239</t>
  </si>
  <si>
    <t>200030195</t>
  </si>
  <si>
    <t>442814950</t>
  </si>
  <si>
    <t>216703488</t>
  </si>
  <si>
    <t>642028609</t>
  </si>
  <si>
    <t>780130175</t>
  </si>
  <si>
    <t>444694962</t>
  </si>
  <si>
    <t>552141533</t>
  </si>
  <si>
    <t>429584568</t>
  </si>
  <si>
    <t>499665818</t>
  </si>
  <si>
    <t>409564085</t>
  </si>
  <si>
    <t>404499212</t>
  </si>
  <si>
    <t>810151738</t>
  </si>
  <si>
    <t>337795801</t>
  </si>
  <si>
    <t>431835602</t>
  </si>
  <si>
    <t>531652980</t>
  </si>
  <si>
    <t>327467700</t>
  </si>
  <si>
    <t>798191805</t>
  </si>
  <si>
    <t>349204636</t>
  </si>
  <si>
    <t>311732275</t>
  </si>
  <si>
    <t>713002269</t>
  </si>
  <si>
    <t>326966777</t>
  </si>
  <si>
    <t>319528402</t>
  </si>
  <si>
    <t>315043190</t>
  </si>
  <si>
    <t>662025196</t>
  </si>
  <si>
    <t>342043429</t>
  </si>
  <si>
    <t>381515733</t>
  </si>
  <si>
    <t>572058329</t>
  </si>
  <si>
    <t>721720290</t>
  </si>
  <si>
    <t>349760918</t>
  </si>
  <si>
    <t>318697208</t>
  </si>
  <si>
    <t>344817572</t>
  </si>
  <si>
    <t>315589952</t>
  </si>
  <si>
    <t>378012868</t>
  </si>
  <si>
    <t>495040222</t>
  </si>
  <si>
    <t>833581903</t>
  </si>
  <si>
    <t>378310254</t>
  </si>
  <si>
    <t>327765350</t>
  </si>
  <si>
    <t>338068190</t>
  </si>
  <si>
    <t>378756431</t>
  </si>
  <si>
    <t>592028468</t>
  </si>
  <si>
    <t>793532755</t>
  </si>
  <si>
    <t>508806080</t>
  </si>
  <si>
    <t>352256424</t>
  </si>
  <si>
    <t>424341907</t>
  </si>
  <si>
    <t>439793811</t>
  </si>
  <si>
    <t>812089977</t>
  </si>
  <si>
    <t>353550932</t>
  </si>
  <si>
    <t>790208920</t>
  </si>
  <si>
    <t>389675018</t>
  </si>
  <si>
    <t>911879518</t>
  </si>
  <si>
    <t>176902302</t>
  </si>
  <si>
    <t>065803637</t>
  </si>
  <si>
    <t>349101568</t>
  </si>
  <si>
    <t>210700225</t>
  </si>
  <si>
    <t>405720194</t>
  </si>
  <si>
    <t>410218010</t>
  </si>
  <si>
    <t>403761588</t>
  </si>
  <si>
    <t>430069245</t>
  </si>
  <si>
    <t>340605807</t>
  </si>
  <si>
    <t>448970251</t>
  </si>
  <si>
    <t>407893775</t>
  </si>
  <si>
    <t>404978371</t>
  </si>
  <si>
    <t>383995859</t>
  </si>
  <si>
    <t>345293534</t>
  </si>
  <si>
    <t>320498181</t>
  </si>
  <si>
    <t>397524448</t>
  </si>
  <si>
    <t>414937003</t>
  </si>
  <si>
    <t>382464709</t>
  </si>
  <si>
    <t>314490624</t>
  </si>
  <si>
    <t>306523523</t>
  </si>
  <si>
    <t>352107999</t>
  </si>
  <si>
    <t>246700926</t>
  </si>
  <si>
    <t>690802053</t>
  </si>
  <si>
    <t>348723834</t>
  </si>
  <si>
    <t>775637648</t>
  </si>
  <si>
    <t>492442306</t>
  </si>
  <si>
    <t>434317293</t>
  </si>
  <si>
    <t>987220019</t>
  </si>
  <si>
    <t>777903816</t>
  </si>
  <si>
    <t>842032468</t>
  </si>
  <si>
    <t>390112886</t>
  </si>
  <si>
    <t>424670156</t>
  </si>
  <si>
    <t>196917744</t>
  </si>
  <si>
    <t>453759078</t>
  </si>
  <si>
    <t>572053734</t>
  </si>
  <si>
    <t>310162417</t>
  </si>
  <si>
    <t>410317267</t>
  </si>
  <si>
    <t>312744832</t>
  </si>
  <si>
    <t>830858684</t>
  </si>
  <si>
    <t>445208507</t>
  </si>
  <si>
    <t>315030635</t>
  </si>
  <si>
    <t>317685238</t>
  </si>
  <si>
    <t>440731776</t>
  </si>
  <si>
    <t>381069483</t>
  </si>
  <si>
    <t>383806783</t>
  </si>
  <si>
    <t>417897345</t>
  </si>
  <si>
    <t>841291883</t>
  </si>
  <si>
    <t>801205857</t>
  </si>
  <si>
    <t>530194000</t>
  </si>
  <si>
    <t>899886956</t>
  </si>
  <si>
    <t>546450453</t>
  </si>
  <si>
    <t>391952801</t>
  </si>
  <si>
    <t>323998690</t>
  </si>
  <si>
    <t>519954986</t>
  </si>
  <si>
    <t>682030267</t>
  </si>
  <si>
    <t>562077503</t>
  </si>
  <si>
    <t>200053742</t>
  </si>
  <si>
    <t>498147156</t>
  </si>
  <si>
    <t>352980601</t>
  </si>
  <si>
    <t>216705442</t>
  </si>
  <si>
    <t>216704585</t>
  </si>
  <si>
    <t>324240605</t>
  </si>
  <si>
    <t>433809860</t>
  </si>
  <si>
    <t>225400019</t>
  </si>
  <si>
    <t>200051134</t>
  </si>
  <si>
    <t>245400510</t>
  </si>
  <si>
    <t>219200359</t>
  </si>
  <si>
    <t>778134601</t>
  </si>
  <si>
    <t>844324632</t>
  </si>
  <si>
    <t>200050433</t>
  </si>
  <si>
    <t>810842294</t>
  </si>
  <si>
    <t>833908593</t>
  </si>
  <si>
    <t>950599662</t>
  </si>
  <si>
    <t>246300701</t>
  </si>
  <si>
    <t>130022718</t>
  </si>
  <si>
    <t>251600060</t>
  </si>
  <si>
    <t>251702197</t>
  </si>
  <si>
    <t>200078947</t>
  </si>
  <si>
    <t>252401476</t>
  </si>
  <si>
    <t>253303473</t>
  </si>
  <si>
    <t>254001399</t>
  </si>
  <si>
    <t>254701824</t>
  </si>
  <si>
    <t>256402041</t>
  </si>
  <si>
    <t>258708585</t>
  </si>
  <si>
    <t>215402579</t>
  </si>
  <si>
    <t>245400171</t>
  </si>
  <si>
    <t>537527145</t>
  </si>
  <si>
    <t>433839172</t>
  </si>
  <si>
    <t>414982942</t>
  </si>
  <si>
    <t>477564066</t>
  </si>
  <si>
    <t>790710750</t>
  </si>
  <si>
    <t>882736077</t>
  </si>
  <si>
    <t>330283847</t>
  </si>
  <si>
    <t>444963391</t>
  </si>
  <si>
    <t>384986386</t>
  </si>
  <si>
    <t>485154397</t>
  </si>
  <si>
    <t>402262414</t>
  </si>
  <si>
    <t>494385420</t>
  </si>
  <si>
    <t>495036808</t>
  </si>
  <si>
    <t>803906916</t>
  </si>
  <si>
    <t>514683838</t>
  </si>
  <si>
    <t>537767287</t>
  </si>
  <si>
    <t>401556576</t>
  </si>
  <si>
    <t>328759303</t>
  </si>
  <si>
    <t>622009959</t>
  </si>
  <si>
    <t>878513068</t>
  </si>
  <si>
    <t>838766624</t>
  </si>
  <si>
    <t>353152150</t>
  </si>
  <si>
    <t>401205042</t>
  </si>
  <si>
    <t>926620212</t>
  </si>
  <si>
    <t>839291119</t>
  </si>
  <si>
    <t>381346196</t>
  </si>
  <si>
    <t>808241707</t>
  </si>
  <si>
    <t>888959459</t>
  </si>
  <si>
    <t>388956070</t>
  </si>
  <si>
    <t>749844395</t>
  </si>
  <si>
    <t>344750963</t>
  </si>
  <si>
    <t>341796506</t>
  </si>
  <si>
    <t>822316329</t>
  </si>
  <si>
    <t>480947019</t>
  </si>
  <si>
    <t>400947800</t>
  </si>
  <si>
    <t>429459076</t>
  </si>
  <si>
    <t>316359967</t>
  </si>
  <si>
    <t>834720336</t>
  </si>
  <si>
    <t>415050772</t>
  </si>
  <si>
    <t>391681616</t>
  </si>
  <si>
    <t>433473337</t>
  </si>
  <si>
    <t>403184690</t>
  </si>
  <si>
    <t>403055320</t>
  </si>
  <si>
    <t>388657025</t>
  </si>
  <si>
    <t>390443661</t>
  </si>
  <si>
    <t>448517540</t>
  </si>
  <si>
    <t>481281269</t>
  </si>
  <si>
    <t>337849624</t>
  </si>
  <si>
    <t>488212945</t>
  </si>
  <si>
    <t>332107499</t>
  </si>
  <si>
    <t>438843740</t>
  </si>
  <si>
    <t>493373898</t>
  </si>
  <si>
    <t>414770479</t>
  </si>
  <si>
    <t>518068168</t>
  </si>
  <si>
    <t>403293970</t>
  </si>
  <si>
    <t>879149029</t>
  </si>
  <si>
    <t>790570220</t>
  </si>
  <si>
    <t>401213376</t>
  </si>
  <si>
    <t>429913932</t>
  </si>
  <si>
    <t>900120189</t>
  </si>
  <si>
    <t>390412906</t>
  </si>
  <si>
    <t>515620417</t>
  </si>
  <si>
    <t>378637862</t>
  </si>
  <si>
    <t>843965864</t>
  </si>
  <si>
    <t>945950269</t>
  </si>
  <si>
    <t>813602042</t>
  </si>
  <si>
    <t>830085098</t>
  </si>
  <si>
    <t>448609776</t>
  </si>
  <si>
    <t>820150720</t>
  </si>
  <si>
    <t>997858600</t>
  </si>
  <si>
    <t>411798655</t>
  </si>
  <si>
    <t>400447892</t>
  </si>
  <si>
    <t>417797818</t>
  </si>
  <si>
    <t>452183973</t>
  </si>
  <si>
    <t>957203140</t>
  </si>
  <si>
    <t>401090519</t>
  </si>
  <si>
    <t>810641134</t>
  </si>
  <si>
    <t>301365326</t>
  </si>
  <si>
    <t>341260263</t>
  </si>
  <si>
    <t>200046977</t>
  </si>
  <si>
    <t>912251162</t>
  </si>
  <si>
    <t>319150231</t>
  </si>
  <si>
    <t>797488723</t>
  </si>
  <si>
    <t>439678780</t>
  </si>
  <si>
    <t>301768859</t>
  </si>
  <si>
    <t>341522332</t>
  </si>
  <si>
    <t>341050987</t>
  </si>
  <si>
    <t>393332606</t>
  </si>
  <si>
    <t>799130026</t>
  </si>
  <si>
    <t>373200260</t>
  </si>
  <si>
    <t>307180786</t>
  </si>
  <si>
    <t>323648451</t>
  </si>
  <si>
    <t>712046093</t>
  </si>
  <si>
    <t>316085828</t>
  </si>
  <si>
    <t>302555222</t>
  </si>
  <si>
    <t>305544488</t>
  </si>
  <si>
    <t>453231565</t>
  </si>
  <si>
    <t>216204131</t>
  </si>
  <si>
    <t>846450302</t>
  </si>
  <si>
    <t>493254908</t>
  </si>
  <si>
    <t>383735420</t>
  </si>
  <si>
    <t>350956223</t>
  </si>
  <si>
    <t>325741601</t>
  </si>
  <si>
    <t>545920076</t>
  </si>
  <si>
    <t>480264324</t>
  </si>
  <si>
    <t>621620921</t>
  </si>
  <si>
    <t>479204703</t>
  </si>
  <si>
    <t>442721429</t>
  </si>
  <si>
    <t>838961977</t>
  </si>
  <si>
    <t>821236148</t>
  </si>
  <si>
    <t>337858039</t>
  </si>
  <si>
    <t>410299788</t>
  </si>
  <si>
    <t>751176538</t>
  </si>
  <si>
    <t>533670709</t>
  </si>
  <si>
    <t>467800496</t>
  </si>
  <si>
    <t>341531531</t>
  </si>
  <si>
    <t>809675549</t>
  </si>
  <si>
    <t>665009700</t>
  </si>
  <si>
    <t>652720863</t>
  </si>
  <si>
    <t>394443261</t>
  </si>
  <si>
    <t>383952470</t>
  </si>
  <si>
    <t>504588740</t>
  </si>
  <si>
    <t>338959729</t>
  </si>
  <si>
    <t>495314619</t>
  </si>
  <si>
    <t>317007342</t>
  </si>
  <si>
    <t>487706046</t>
  </si>
  <si>
    <t>323622175</t>
  </si>
  <si>
    <t>417350311</t>
  </si>
  <si>
    <t>302476403</t>
  </si>
  <si>
    <t>781015870</t>
  </si>
  <si>
    <t>878054295</t>
  </si>
  <si>
    <t>330558388</t>
  </si>
  <si>
    <t>383693702</t>
  </si>
  <si>
    <t>776758302</t>
  </si>
  <si>
    <t>510300569</t>
  </si>
  <si>
    <t>395099443</t>
  </si>
  <si>
    <t>480280304</t>
  </si>
  <si>
    <t>352638449</t>
  </si>
  <si>
    <t>776086670</t>
  </si>
  <si>
    <t>785447467</t>
  </si>
  <si>
    <t>489243881</t>
  </si>
  <si>
    <t>351858394</t>
  </si>
  <si>
    <t>511316291</t>
  </si>
  <si>
    <t>617220363</t>
  </si>
  <si>
    <t>424365336</t>
  </si>
  <si>
    <t>435368501</t>
  </si>
  <si>
    <t>216202507</t>
  </si>
  <si>
    <t>821206000</t>
  </si>
  <si>
    <t>395301856</t>
  </si>
  <si>
    <t>784393340</t>
  </si>
  <si>
    <t>340936202</t>
  </si>
  <si>
    <t>802144238</t>
  </si>
  <si>
    <t>491878880</t>
  </si>
  <si>
    <t>538809971</t>
  </si>
  <si>
    <t>853731636</t>
  </si>
  <si>
    <t>392026886</t>
  </si>
  <si>
    <t>382402634</t>
  </si>
  <si>
    <t>338647480</t>
  </si>
  <si>
    <t>529256539</t>
  </si>
  <si>
    <t>431784461</t>
  </si>
  <si>
    <t>451276984</t>
  </si>
  <si>
    <t>391958980</t>
  </si>
  <si>
    <t>493918346</t>
  </si>
  <si>
    <t>389496308</t>
  </si>
  <si>
    <t>322790478</t>
  </si>
  <si>
    <t>528971823</t>
  </si>
  <si>
    <t>432301844</t>
  </si>
  <si>
    <t>301570446</t>
  </si>
  <si>
    <t>441397809</t>
  </si>
  <si>
    <t>681980041</t>
  </si>
  <si>
    <t>436780217</t>
  </si>
  <si>
    <t>380192807</t>
  </si>
  <si>
    <t>383681996</t>
  </si>
  <si>
    <t>445720295</t>
  </si>
  <si>
    <t>781452511</t>
  </si>
  <si>
    <t>492853098</t>
  </si>
  <si>
    <t>351867692</t>
  </si>
  <si>
    <t>305823296</t>
  </si>
  <si>
    <t>561820481</t>
  </si>
  <si>
    <t>520333048</t>
  </si>
  <si>
    <t>608013960</t>
  </si>
  <si>
    <t>408150480</t>
  </si>
  <si>
    <t>735550188</t>
  </si>
  <si>
    <t>430369827</t>
  </si>
  <si>
    <t>397485830</t>
  </si>
  <si>
    <t>422695460</t>
  </si>
  <si>
    <t>900781147</t>
  </si>
  <si>
    <t>643780380</t>
  </si>
  <si>
    <t>383578432</t>
  </si>
  <si>
    <t>839251626</t>
  </si>
  <si>
    <t>493425136</t>
  </si>
  <si>
    <t>799995386</t>
  </si>
  <si>
    <t>401610209</t>
  </si>
  <si>
    <t>780141271</t>
  </si>
  <si>
    <t>511706327</t>
  </si>
  <si>
    <t>419552278</t>
  </si>
  <si>
    <t>214003287</t>
  </si>
  <si>
    <t>872500913</t>
  </si>
  <si>
    <t>410069066</t>
  </si>
  <si>
    <t>440110088</t>
  </si>
  <si>
    <t>552141541</t>
  </si>
  <si>
    <t>414897306</t>
  </si>
  <si>
    <t>382616415</t>
  </si>
  <si>
    <t>341969541</t>
  </si>
  <si>
    <t>500886908</t>
  </si>
  <si>
    <t>490128303</t>
  </si>
  <si>
    <t>327731790</t>
  </si>
  <si>
    <t>353944093</t>
  </si>
  <si>
    <t>747251064</t>
  </si>
  <si>
    <t>817808181</t>
  </si>
  <si>
    <t>403731466</t>
  </si>
  <si>
    <t>318724655</t>
  </si>
  <si>
    <t>892461906</t>
  </si>
  <si>
    <t>857500144</t>
  </si>
  <si>
    <t>445200488</t>
  </si>
  <si>
    <t>472200716</t>
  </si>
  <si>
    <t>200011732</t>
  </si>
  <si>
    <t>378100416</t>
  </si>
  <si>
    <t>316644079</t>
  </si>
  <si>
    <t>789673910</t>
  </si>
  <si>
    <t>776944142</t>
  </si>
  <si>
    <t>794203232</t>
  </si>
  <si>
    <t>652039611</t>
  </si>
  <si>
    <t>068500206</t>
  </si>
  <si>
    <t>215902792</t>
  </si>
  <si>
    <t>501365852</t>
  </si>
  <si>
    <t>325147320</t>
  </si>
  <si>
    <t>216902916</t>
  </si>
  <si>
    <t>410339477</t>
  </si>
  <si>
    <t>344814645</t>
  </si>
  <si>
    <t>348858093</t>
  </si>
  <si>
    <t>792039695</t>
  </si>
  <si>
    <t>340489194</t>
  </si>
  <si>
    <t>326521002</t>
  </si>
  <si>
    <t>402390819</t>
  </si>
  <si>
    <t>384674545</t>
  </si>
  <si>
    <t>451270615</t>
  </si>
  <si>
    <t>341149649</t>
  </si>
  <si>
    <t>399372713</t>
  </si>
  <si>
    <t>348460841</t>
  </si>
  <si>
    <t>452346273</t>
  </si>
  <si>
    <t>304602956</t>
  </si>
  <si>
    <t>426250023</t>
  </si>
  <si>
    <t>395150402</t>
  </si>
  <si>
    <t>857801542</t>
  </si>
  <si>
    <t>810146563</t>
  </si>
  <si>
    <t>211501879</t>
  </si>
  <si>
    <t>428702385</t>
  </si>
  <si>
    <t>332746825</t>
  </si>
  <si>
    <t>326876901</t>
  </si>
  <si>
    <t>797992625</t>
  </si>
  <si>
    <t>389996125</t>
  </si>
  <si>
    <t>800528309</t>
  </si>
  <si>
    <t>377080312</t>
  </si>
  <si>
    <t>542083704</t>
  </si>
  <si>
    <t>449146679</t>
  </si>
  <si>
    <t>392421442</t>
  </si>
  <si>
    <t>782947402</t>
  </si>
  <si>
    <t>200062248</t>
  </si>
  <si>
    <t>491485231</t>
  </si>
  <si>
    <t>824211890</t>
  </si>
  <si>
    <t>350544896</t>
  </si>
  <si>
    <t>775556384</t>
  </si>
  <si>
    <t>383000692</t>
  </si>
  <si>
    <t>309918464</t>
  </si>
  <si>
    <t>786195859</t>
  </si>
  <si>
    <t>382329035</t>
  </si>
  <si>
    <t>385107180</t>
  </si>
  <si>
    <t>525215745</t>
  </si>
  <si>
    <t>845206317</t>
  </si>
  <si>
    <t>319755393</t>
  </si>
  <si>
    <t>777023722</t>
  </si>
  <si>
    <t>551620198</t>
  </si>
  <si>
    <t>347719171</t>
  </si>
  <si>
    <t>302020177</t>
  </si>
  <si>
    <t>478281850</t>
  </si>
  <si>
    <t>450408133</t>
  </si>
  <si>
    <t>334719267</t>
  </si>
  <si>
    <t>542009824</t>
  </si>
  <si>
    <t>817804883</t>
  </si>
  <si>
    <t>349604322</t>
  </si>
  <si>
    <t>379063662</t>
  </si>
  <si>
    <t>340325190</t>
  </si>
  <si>
    <t>521320408</t>
  </si>
  <si>
    <t>844254979</t>
  </si>
  <si>
    <t>349711325</t>
  </si>
  <si>
    <t>912043676</t>
  </si>
  <si>
    <t>812981926</t>
  </si>
  <si>
    <t>332235647</t>
  </si>
  <si>
    <t>307321125</t>
  </si>
  <si>
    <t>410766646</t>
  </si>
  <si>
    <t>318811809</t>
  </si>
  <si>
    <t>801502857</t>
  </si>
  <si>
    <t>451580906</t>
  </si>
  <si>
    <t>776069460</t>
  </si>
  <si>
    <t>452714082</t>
  </si>
  <si>
    <t>391208287</t>
  </si>
  <si>
    <t>210100939</t>
  </si>
  <si>
    <t>315765651</t>
  </si>
  <si>
    <t>379833775</t>
  </si>
  <si>
    <t>317306116</t>
  </si>
  <si>
    <t>398636647</t>
  </si>
  <si>
    <t>420428120</t>
  </si>
  <si>
    <t>432518546</t>
  </si>
  <si>
    <t>311274914</t>
  </si>
  <si>
    <t>318870060</t>
  </si>
  <si>
    <t>490657376</t>
  </si>
  <si>
    <t>245400601</t>
  </si>
  <si>
    <t>851922260</t>
  </si>
  <si>
    <t>218715407</t>
  </si>
  <si>
    <t>582142816</t>
  </si>
  <si>
    <t>384136719</t>
  </si>
  <si>
    <t>880175666</t>
  </si>
  <si>
    <t>210102836</t>
  </si>
  <si>
    <t>794417709</t>
  </si>
  <si>
    <t>354081028</t>
  </si>
  <si>
    <t>521903575</t>
  </si>
  <si>
    <t>444983449</t>
  </si>
  <si>
    <t>339494833</t>
  </si>
  <si>
    <t>390700177</t>
  </si>
  <si>
    <t>398726018</t>
  </si>
  <si>
    <t>485920227</t>
  </si>
  <si>
    <t>342667193</t>
  </si>
  <si>
    <t>417804077</t>
  </si>
  <si>
    <t>395001852</t>
  </si>
  <si>
    <t>331566430</t>
  </si>
  <si>
    <t>892380031</t>
  </si>
  <si>
    <t>318761012</t>
  </si>
  <si>
    <t>434967477</t>
  </si>
  <si>
    <t>562091546</t>
  </si>
  <si>
    <t>781985759</t>
  </si>
  <si>
    <t>325528222</t>
  </si>
  <si>
    <t>491087565</t>
  </si>
  <si>
    <t>380271213</t>
  </si>
  <si>
    <t>350251211</t>
  </si>
  <si>
    <t>951547801</t>
  </si>
  <si>
    <t>533247979</t>
  </si>
  <si>
    <t>309467884</t>
  </si>
  <si>
    <t>911124477</t>
  </si>
  <si>
    <t>389749045</t>
  </si>
  <si>
    <t>388362832</t>
  </si>
  <si>
    <t>414894857</t>
  </si>
  <si>
    <t>392439154</t>
  </si>
  <si>
    <t>951478437</t>
  </si>
  <si>
    <t>797542255</t>
  </si>
  <si>
    <t>197506850</t>
  </si>
  <si>
    <t>347697260</t>
  </si>
  <si>
    <t>399973825</t>
  </si>
  <si>
    <t>947350294</t>
  </si>
  <si>
    <t>795255652</t>
  </si>
  <si>
    <t>405101932</t>
  </si>
  <si>
    <t>329777452</t>
  </si>
  <si>
    <t>534890025</t>
  </si>
  <si>
    <t>781843602</t>
  </si>
  <si>
    <t>318919065</t>
  </si>
  <si>
    <t>539188169</t>
  </si>
  <si>
    <t>897541116</t>
  </si>
  <si>
    <t>819339524</t>
  </si>
  <si>
    <t>428706204</t>
  </si>
  <si>
    <t>343403531</t>
  </si>
  <si>
    <t>077050011</t>
  </si>
  <si>
    <t>403891997</t>
  </si>
  <si>
    <t>408750404</t>
  </si>
  <si>
    <t>419013297</t>
  </si>
  <si>
    <t>326397551</t>
  </si>
  <si>
    <t>481981553</t>
  </si>
  <si>
    <t>327236733</t>
  </si>
  <si>
    <t>380715110</t>
  </si>
  <si>
    <t>412880445</t>
  </si>
  <si>
    <t>352208805</t>
  </si>
  <si>
    <t>883238826</t>
  </si>
  <si>
    <t>443951199</t>
  </si>
  <si>
    <t>412773368</t>
  </si>
  <si>
    <t>334795051</t>
  </si>
  <si>
    <t>410192850</t>
  </si>
  <si>
    <t>539220798</t>
  </si>
  <si>
    <t>972802340</t>
  </si>
  <si>
    <t>381182864</t>
  </si>
  <si>
    <t>882889751</t>
  </si>
  <si>
    <t>384461398</t>
  </si>
  <si>
    <t>898018916</t>
  </si>
  <si>
    <t>480323229</t>
  </si>
  <si>
    <t>660802844</t>
  </si>
  <si>
    <t>424653343</t>
  </si>
  <si>
    <t>331364729</t>
  </si>
  <si>
    <t>849403266</t>
  </si>
  <si>
    <t>200035319</t>
  </si>
  <si>
    <t>339275505</t>
  </si>
  <si>
    <t>449888940</t>
  </si>
  <si>
    <t>800988339</t>
  </si>
  <si>
    <t>351597398</t>
  </si>
  <si>
    <t>438691545</t>
  </si>
  <si>
    <t>431403021</t>
  </si>
  <si>
    <t>800378994</t>
  </si>
  <si>
    <t>394392138</t>
  </si>
  <si>
    <t>380622522</t>
  </si>
  <si>
    <t>350656807</t>
  </si>
  <si>
    <t>403894512</t>
  </si>
  <si>
    <t>489263293</t>
  </si>
  <si>
    <t>484040183</t>
  </si>
  <si>
    <t>352611677</t>
  </si>
  <si>
    <t>339850604</t>
  </si>
  <si>
    <t>824423438</t>
  </si>
  <si>
    <t>331047712</t>
  </si>
  <si>
    <t>399020973</t>
  </si>
  <si>
    <t>351758263</t>
  </si>
  <si>
    <t>443350616</t>
  </si>
  <si>
    <t>351842471</t>
  </si>
  <si>
    <t>398113357</t>
  </si>
  <si>
    <t>888755311</t>
  </si>
  <si>
    <t>388280711</t>
  </si>
  <si>
    <t>330943127</t>
  </si>
  <si>
    <t>792366585</t>
  </si>
  <si>
    <t>320153612</t>
  </si>
  <si>
    <t>442825394</t>
  </si>
  <si>
    <t>406680314</t>
  </si>
  <si>
    <t>504483868</t>
  </si>
  <si>
    <t>383491750</t>
  </si>
  <si>
    <t>409417193</t>
  </si>
  <si>
    <t>382820033</t>
  </si>
  <si>
    <t>612041327</t>
  </si>
  <si>
    <t>402244370</t>
  </si>
  <si>
    <t>343762308</t>
  </si>
  <si>
    <t>959505728</t>
  </si>
  <si>
    <t>779859297</t>
  </si>
  <si>
    <t>324925106</t>
  </si>
  <si>
    <t>384564423</t>
  </si>
  <si>
    <t>775737646</t>
  </si>
  <si>
    <t>775581242</t>
  </si>
  <si>
    <t>421159153</t>
  </si>
  <si>
    <t xml:space="preserve"> 49325490</t>
  </si>
  <si>
    <t>479701153</t>
  </si>
  <si>
    <t>485291728</t>
  </si>
  <si>
    <t>313221376</t>
  </si>
  <si>
    <t>035480052</t>
  </si>
  <si>
    <t>438712309</t>
  </si>
  <si>
    <t>444413058</t>
  </si>
  <si>
    <t>500047238</t>
  </si>
  <si>
    <t>843173345</t>
  </si>
  <si>
    <t>891984197</t>
  </si>
  <si>
    <t>682720743</t>
  </si>
  <si>
    <t>579800038</t>
  </si>
  <si>
    <t>330581083</t>
  </si>
  <si>
    <t>912804242</t>
  </si>
  <si>
    <t>318994126</t>
  </si>
  <si>
    <t>491196341</t>
  </si>
  <si>
    <t>533198834</t>
  </si>
  <si>
    <t>379622160</t>
  </si>
  <si>
    <t>592014476</t>
  </si>
  <si>
    <t>632011458</t>
  </si>
  <si>
    <t>410698096</t>
  </si>
  <si>
    <t>782812903</t>
  </si>
  <si>
    <t>378006027</t>
  </si>
  <si>
    <t>534690581</t>
  </si>
  <si>
    <t>186400032</t>
  </si>
  <si>
    <t>212202253</t>
  </si>
  <si>
    <t>414265165</t>
  </si>
  <si>
    <t xml:space="preserve"> 42171646</t>
  </si>
  <si>
    <t>511867327</t>
  </si>
  <si>
    <t>783595028</t>
  </si>
  <si>
    <t>265906503</t>
  </si>
  <si>
    <t>786016030</t>
  </si>
  <si>
    <t>440303550</t>
  </si>
  <si>
    <t>308091081</t>
  </si>
  <si>
    <t>777746678</t>
  </si>
  <si>
    <t>794256487</t>
  </si>
  <si>
    <t>323037713</t>
  </si>
  <si>
    <t>215903246</t>
  </si>
  <si>
    <t>481212561</t>
  </si>
  <si>
    <t>442362000</t>
  </si>
  <si>
    <t>728202730</t>
  </si>
  <si>
    <t>888695913</t>
  </si>
  <si>
    <t>642036941</t>
  </si>
  <si>
    <t>368500708</t>
  </si>
  <si>
    <t>405325069</t>
  </si>
  <si>
    <t>840052914</t>
  </si>
  <si>
    <t>492843230</t>
  </si>
  <si>
    <t>822045415</t>
  </si>
  <si>
    <t>347994196</t>
  </si>
  <si>
    <t>423864651</t>
  </si>
  <si>
    <t>672014081</t>
  </si>
  <si>
    <t>451545651</t>
  </si>
  <si>
    <t>344543046</t>
  </si>
  <si>
    <t>775612211</t>
  </si>
  <si>
    <t>418647335</t>
  </si>
  <si>
    <t>642005177</t>
  </si>
  <si>
    <t>901177972</t>
  </si>
  <si>
    <t>419683818</t>
  </si>
  <si>
    <t>214401093</t>
  </si>
  <si>
    <t>577050271</t>
  </si>
  <si>
    <t>956502215</t>
  </si>
  <si>
    <t>870800489</t>
  </si>
  <si>
    <t>318605862</t>
  </si>
  <si>
    <t>880489786</t>
  </si>
  <si>
    <t>381830850</t>
  </si>
  <si>
    <t>421716465</t>
  </si>
  <si>
    <t>908440324</t>
  </si>
  <si>
    <t>456500537</t>
  </si>
  <si>
    <t>542097522</t>
  </si>
  <si>
    <t>390072551</t>
  </si>
  <si>
    <t>452650500</t>
  </si>
  <si>
    <t>328031042</t>
  </si>
  <si>
    <t>584800122</t>
  </si>
  <si>
    <t>834982845</t>
  </si>
  <si>
    <t>400030870</t>
  </si>
  <si>
    <t>391127875</t>
  </si>
  <si>
    <t>328959358</t>
  </si>
  <si>
    <t>325962728</t>
  </si>
  <si>
    <t>329925010</t>
  </si>
  <si>
    <t>331152991</t>
  </si>
  <si>
    <t>433948031</t>
  </si>
  <si>
    <t>517741302</t>
  </si>
  <si>
    <t>590500567</t>
  </si>
  <si>
    <t>423589134</t>
  </si>
  <si>
    <t>790567176</t>
  </si>
  <si>
    <t>549800373</t>
  </si>
  <si>
    <t>401071741</t>
  </si>
  <si>
    <t>520172297</t>
  </si>
  <si>
    <t>317612133</t>
  </si>
  <si>
    <t>901918284</t>
  </si>
  <si>
    <t>510084825</t>
  </si>
  <si>
    <t>760200477</t>
  </si>
  <si>
    <t>869800508</t>
  </si>
  <si>
    <t>394908297</t>
  </si>
  <si>
    <t>493291223</t>
  </si>
  <si>
    <t>920266608</t>
  </si>
  <si>
    <t>407535368</t>
  </si>
  <si>
    <t>834983439</t>
  </si>
  <si>
    <t>795315563</t>
  </si>
  <si>
    <t>400185534</t>
  </si>
  <si>
    <t>440365740</t>
  </si>
  <si>
    <t>504398918</t>
  </si>
  <si>
    <t>305730608</t>
  </si>
  <si>
    <t>877532473</t>
  </si>
  <si>
    <t>305731069</t>
  </si>
  <si>
    <t>409197696</t>
  </si>
  <si>
    <t>334665684</t>
  </si>
  <si>
    <t>309124519</t>
  </si>
  <si>
    <t>498001494</t>
  </si>
  <si>
    <t>351099874</t>
  </si>
  <si>
    <t>417922689</t>
  </si>
  <si>
    <t>908086218</t>
  </si>
  <si>
    <t>445177835</t>
  </si>
  <si>
    <t>479096539</t>
  </si>
  <si>
    <t>843411117</t>
  </si>
  <si>
    <t>438584948</t>
  </si>
  <si>
    <t>394204176</t>
  </si>
  <si>
    <t>433725116</t>
  </si>
  <si>
    <t>531262905</t>
  </si>
  <si>
    <t>302305172</t>
  </si>
  <si>
    <t>FR4137967</t>
  </si>
  <si>
    <t>380303107</t>
  </si>
  <si>
    <t>524889433</t>
  </si>
  <si>
    <t>444768550</t>
  </si>
  <si>
    <t>908034796</t>
  </si>
  <si>
    <t>834422180</t>
  </si>
  <si>
    <t>443222682</t>
  </si>
  <si>
    <t>KVK725250</t>
  </si>
  <si>
    <t>344386701</t>
  </si>
  <si>
    <t>984800631</t>
  </si>
  <si>
    <t>378610703</t>
  </si>
  <si>
    <t>200053726</t>
  </si>
  <si>
    <t>542016951</t>
  </si>
  <si>
    <t>558501912</t>
  </si>
  <si>
    <t>381873256</t>
  </si>
  <si>
    <t>444619258</t>
  </si>
  <si>
    <t>348623562</t>
  </si>
  <si>
    <t>582106985</t>
  </si>
  <si>
    <t>438307381</t>
  </si>
  <si>
    <t>444608574</t>
  </si>
  <si>
    <t>394049449</t>
  </si>
  <si>
    <t>425117645</t>
  </si>
  <si>
    <t>342388766</t>
  </si>
  <si>
    <t>444627731</t>
  </si>
  <si>
    <t>927618066</t>
  </si>
  <si>
    <t>180 090 0</t>
  </si>
  <si>
    <t>215903329</t>
  </si>
  <si>
    <t>434784674</t>
  </si>
  <si>
    <t>417604261</t>
  </si>
  <si>
    <t>480891407</t>
  </si>
  <si>
    <t>195508916</t>
  </si>
  <si>
    <t>775733835</t>
  </si>
  <si>
    <t>398739565</t>
  </si>
  <si>
    <t>343 756 9</t>
  </si>
  <si>
    <t>897 541 1</t>
  </si>
  <si>
    <t xml:space="preserve">"309 824 </t>
  </si>
  <si>
    <t>344 817 5</t>
  </si>
  <si>
    <t>833 996 1</t>
  </si>
  <si>
    <t>892 298 2</t>
  </si>
  <si>
    <t>0413.554.</t>
  </si>
  <si>
    <t>378 012 8</t>
  </si>
  <si>
    <t>315 589 9</t>
  </si>
  <si>
    <t>329 570 1</t>
  </si>
  <si>
    <t>378 756 4</t>
  </si>
  <si>
    <t>833 581 9</t>
  </si>
  <si>
    <t>327 765 3</t>
  </si>
  <si>
    <t>592 028 4</t>
  </si>
  <si>
    <t>344 024 8</t>
  </si>
  <si>
    <t>394 443 2</t>
  </si>
  <si>
    <t>410 299 7</t>
  </si>
  <si>
    <t>252309646</t>
  </si>
  <si>
    <t>979282514</t>
  </si>
  <si>
    <t>323480061</t>
  </si>
  <si>
    <t>403585458</t>
  </si>
  <si>
    <t>775997141</t>
  </si>
  <si>
    <t>333050284</t>
  </si>
  <si>
    <t>719807406</t>
  </si>
  <si>
    <t>319665196</t>
  </si>
  <si>
    <t>784227688</t>
  </si>
  <si>
    <t>775722572</t>
  </si>
  <si>
    <t>324333921</t>
  </si>
  <si>
    <t>420856221</t>
  </si>
  <si>
    <t>582144051</t>
  </si>
  <si>
    <t>531156115</t>
  </si>
  <si>
    <t>897849923</t>
  </si>
  <si>
    <t>808158745</t>
  </si>
  <si>
    <t>828572818</t>
  </si>
  <si>
    <t>508766995</t>
  </si>
  <si>
    <t>408059533</t>
  </si>
  <si>
    <t>388938052</t>
  </si>
  <si>
    <t>344056338</t>
  </si>
  <si>
    <t>347715765</t>
  </si>
  <si>
    <t>535273387</t>
  </si>
  <si>
    <t>378093421</t>
  </si>
  <si>
    <t>391007457</t>
  </si>
  <si>
    <t>499316016</t>
  </si>
  <si>
    <t>497673145</t>
  </si>
  <si>
    <t>320152333</t>
  </si>
  <si>
    <t>605520584</t>
  </si>
  <si>
    <t>200035012</t>
  </si>
  <si>
    <t>310370754</t>
  </si>
  <si>
    <t>481581890</t>
  </si>
  <si>
    <t>897603379</t>
  </si>
  <si>
    <t>305206237</t>
  </si>
  <si>
    <t>301367561</t>
  </si>
  <si>
    <t>381479518</t>
  </si>
  <si>
    <t>835124280</t>
  </si>
  <si>
    <t>349844357</t>
  </si>
  <si>
    <t>487741969</t>
  </si>
  <si>
    <t>709806079</t>
  </si>
  <si>
    <t>380129866</t>
  </si>
  <si>
    <t>884070913</t>
  </si>
  <si>
    <t>200053759</t>
  </si>
  <si>
    <t>934595463</t>
  </si>
  <si>
    <t>449286376</t>
  </si>
  <si>
    <t>404350639</t>
  </si>
  <si>
    <t>954506127</t>
  </si>
  <si>
    <t>798066940</t>
  </si>
  <si>
    <t>503328338</t>
  </si>
  <si>
    <t>525362646</t>
  </si>
  <si>
    <t>513474882</t>
  </si>
  <si>
    <t>513474916</t>
  </si>
  <si>
    <t>513474908</t>
  </si>
  <si>
    <t>382613057</t>
  </si>
  <si>
    <t xml:space="preserve"> 45650053</t>
  </si>
  <si>
    <t>776218794</t>
  </si>
  <si>
    <t>529849390</t>
  </si>
  <si>
    <t>562082909</t>
  </si>
  <si>
    <t>482605771</t>
  </si>
  <si>
    <t>900137175</t>
  </si>
  <si>
    <t>305109779</t>
  </si>
  <si>
    <t>333892610</t>
  </si>
  <si>
    <t>501592307</t>
  </si>
  <si>
    <t>692012180</t>
  </si>
  <si>
    <t>483369682</t>
  </si>
  <si>
    <t>449889625</t>
  </si>
  <si>
    <t xml:space="preserve"> 69201218</t>
  </si>
  <si>
    <t>421106709</t>
  </si>
  <si>
    <t>322791393</t>
  </si>
  <si>
    <t>882158751</t>
  </si>
  <si>
    <t>421994658</t>
  </si>
  <si>
    <t>780358206</t>
  </si>
  <si>
    <t>852990415</t>
  </si>
  <si>
    <t>304200371</t>
  </si>
  <si>
    <t>000000000</t>
  </si>
  <si>
    <t>325221729</t>
  </si>
  <si>
    <t>311999833</t>
  </si>
  <si>
    <t>332199462</t>
  </si>
  <si>
    <t>414001305</t>
  </si>
  <si>
    <t>305205411</t>
  </si>
  <si>
    <t>775563356</t>
  </si>
  <si>
    <t>438289662</t>
  </si>
  <si>
    <t>439289265</t>
  </si>
  <si>
    <t>420175903</t>
  </si>
  <si>
    <t>775552219</t>
  </si>
  <si>
    <t>829997600</t>
  </si>
  <si>
    <t>439054453</t>
  </si>
  <si>
    <t>879414167</t>
  </si>
  <si>
    <t>348877044</t>
  </si>
  <si>
    <t>493191407</t>
  </si>
  <si>
    <t>780948451</t>
  </si>
  <si>
    <t>414870295</t>
  </si>
  <si>
    <t xml:space="preserve"> 83896197</t>
  </si>
  <si>
    <t>955802061</t>
  </si>
  <si>
    <t>498609791</t>
  </si>
  <si>
    <t>821239670</t>
  </si>
  <si>
    <t>542065479</t>
  </si>
  <si>
    <t>652054198</t>
  </si>
  <si>
    <t>329035422</t>
  </si>
  <si>
    <t>FR6589487</t>
  </si>
  <si>
    <t>388021156</t>
  </si>
  <si>
    <t>180090060</t>
  </si>
  <si>
    <t>438924367</t>
  </si>
  <si>
    <t>489455360</t>
  </si>
  <si>
    <t>303275473</t>
  </si>
  <si>
    <t>313383994</t>
  </si>
  <si>
    <t>440133353</t>
  </si>
  <si>
    <t>509467320</t>
  </si>
  <si>
    <t>310505771</t>
  </si>
  <si>
    <t>424971000</t>
  </si>
  <si>
    <t>572079069</t>
  </si>
  <si>
    <t>900183252</t>
  </si>
  <si>
    <t>546780065</t>
  </si>
  <si>
    <t>811597335</t>
  </si>
  <si>
    <t>305163206</t>
  </si>
  <si>
    <t>425090966</t>
  </si>
  <si>
    <t>399777929</t>
  </si>
  <si>
    <t>915257075</t>
  </si>
  <si>
    <t>977649425</t>
  </si>
  <si>
    <t>564202166</t>
  </si>
  <si>
    <t>389 530 6</t>
  </si>
  <si>
    <t>885 581 0</t>
  </si>
  <si>
    <t>062201009</t>
  </si>
  <si>
    <t>885581033</t>
  </si>
  <si>
    <t>576450670</t>
  </si>
  <si>
    <t>457208619</t>
  </si>
  <si>
    <t>507479095</t>
  </si>
  <si>
    <t>573820917</t>
  </si>
  <si>
    <t>509380705</t>
  </si>
  <si>
    <t>378183818</t>
  </si>
  <si>
    <t>196700892</t>
  </si>
  <si>
    <t>903869071</t>
  </si>
  <si>
    <t>519116230</t>
  </si>
  <si>
    <t>130025919</t>
  </si>
  <si>
    <t>899348890</t>
  </si>
  <si>
    <t>216202705</t>
  </si>
  <si>
    <t>877525840</t>
  </si>
  <si>
    <t>522082528</t>
  </si>
  <si>
    <t>301364824</t>
  </si>
  <si>
    <t>817 481 6</t>
  </si>
  <si>
    <t>378255962</t>
  </si>
  <si>
    <t>790462972</t>
  </si>
  <si>
    <t>062 201 0</t>
  </si>
  <si>
    <t>433225356</t>
  </si>
  <si>
    <t>572201549</t>
  </si>
  <si>
    <t>602056749</t>
  </si>
  <si>
    <t>200026789</t>
  </si>
  <si>
    <t>482001476</t>
  </si>
  <si>
    <t>808666747</t>
  </si>
  <si>
    <t>330575887</t>
  </si>
  <si>
    <t>692026693</t>
  </si>
  <si>
    <t>458204963</t>
  </si>
  <si>
    <t>510328248</t>
  </si>
  <si>
    <t>W31300208</t>
  </si>
  <si>
    <t>433160900</t>
  </si>
  <si>
    <t>FR7591931</t>
  </si>
  <si>
    <t>451279020</t>
  </si>
  <si>
    <t>439684903</t>
  </si>
  <si>
    <t>B44033985</t>
  </si>
  <si>
    <t>779668532</t>
  </si>
  <si>
    <t>441514601</t>
  </si>
  <si>
    <t>839829785</t>
  </si>
  <si>
    <t>440515997</t>
  </si>
  <si>
    <t>432108355</t>
  </si>
  <si>
    <t>489967687</t>
  </si>
  <si>
    <t>831012695</t>
  </si>
  <si>
    <t>322969247</t>
  </si>
  <si>
    <t>318506623</t>
  </si>
  <si>
    <t>898725387</t>
  </si>
  <si>
    <t>481467298</t>
  </si>
  <si>
    <t>210700662</t>
  </si>
  <si>
    <t>383242161</t>
  </si>
  <si>
    <t>509646436</t>
  </si>
  <si>
    <t>329778112</t>
  </si>
  <si>
    <t>488715228</t>
  </si>
  <si>
    <t>775724420</t>
  </si>
  <si>
    <t>453570806</t>
  </si>
  <si>
    <t>345271985</t>
  </si>
  <si>
    <t>940215577</t>
  </si>
  <si>
    <t>310455043</t>
  </si>
  <si>
    <t>380631929</t>
  </si>
  <si>
    <t>451542898</t>
  </si>
  <si>
    <t>632043071</t>
  </si>
  <si>
    <t>306042268</t>
  </si>
  <si>
    <t>444636674</t>
  </si>
  <si>
    <t>781446521</t>
  </si>
  <si>
    <t>410270185</t>
  </si>
  <si>
    <t>682011440</t>
  </si>
  <si>
    <t>780716650</t>
  </si>
  <si>
    <t>373200518</t>
  </si>
  <si>
    <t>316674035</t>
  </si>
  <si>
    <t>441829009</t>
  </si>
  <si>
    <t>453106171</t>
  </si>
  <si>
    <t>775694748</t>
  </si>
  <si>
    <t>325894665</t>
  </si>
  <si>
    <t>403138225</t>
  </si>
  <si>
    <t>130020878</t>
  </si>
  <si>
    <t>331620096</t>
  </si>
  <si>
    <t>766500011</t>
  </si>
  <si>
    <t>384620829</t>
  </si>
  <si>
    <t>722621166</t>
  </si>
  <si>
    <t>572139996</t>
  </si>
  <si>
    <t>FR5290508</t>
  </si>
  <si>
    <t>323233197</t>
  </si>
  <si>
    <t>817445349</t>
  </si>
  <si>
    <t>315652263</t>
  </si>
  <si>
    <t>NL8612382</t>
  </si>
  <si>
    <t>334055647</t>
  </si>
  <si>
    <t>389795451</t>
  </si>
  <si>
    <t>LU 162415</t>
  </si>
  <si>
    <t>PT5156818</t>
  </si>
  <si>
    <t>824007520</t>
  </si>
  <si>
    <t>234500023</t>
  </si>
  <si>
    <t>FR5141907</t>
  </si>
  <si>
    <t>851874479</t>
  </si>
  <si>
    <t>501907836</t>
  </si>
  <si>
    <t>421646365</t>
  </si>
  <si>
    <t>814087276</t>
  </si>
  <si>
    <t>976120113</t>
  </si>
  <si>
    <t>410911044</t>
  </si>
  <si>
    <t>893 030 7</t>
  </si>
  <si>
    <t>200086486</t>
  </si>
  <si>
    <t>337520969</t>
  </si>
  <si>
    <t>765200985</t>
  </si>
  <si>
    <t>CH0203046</t>
  </si>
  <si>
    <t>BE0471811</t>
  </si>
  <si>
    <t>984750984</t>
  </si>
  <si>
    <t>478076623</t>
  </si>
  <si>
    <t>898777552</t>
  </si>
  <si>
    <t>FR3291895</t>
  </si>
  <si>
    <t>982771578</t>
  </si>
  <si>
    <t>903869618</t>
  </si>
  <si>
    <t>775662257</t>
  </si>
  <si>
    <t>844179903</t>
  </si>
  <si>
    <t>307166934</t>
  </si>
  <si>
    <t>408825636</t>
  </si>
  <si>
    <t>420559056</t>
  </si>
  <si>
    <t>437507650</t>
  </si>
  <si>
    <t>449877331</t>
  </si>
  <si>
    <t>NL8618797</t>
  </si>
  <si>
    <t>528977309</t>
  </si>
  <si>
    <t>834424095</t>
  </si>
  <si>
    <t>808608509</t>
  </si>
  <si>
    <t>513674978</t>
  </si>
  <si>
    <t>432623338</t>
  </si>
  <si>
    <t>FR1979415</t>
  </si>
  <si>
    <t>301351433</t>
  </si>
  <si>
    <t>438924714</t>
  </si>
  <si>
    <t>398156323</t>
  </si>
  <si>
    <t>057505539</t>
  </si>
  <si>
    <t>790126452</t>
  </si>
  <si>
    <t>246000707</t>
  </si>
  <si>
    <t>940198799</t>
  </si>
  <si>
    <t>422928523</t>
  </si>
  <si>
    <t>TVA</t>
  </si>
  <si>
    <t>FR49200073344</t>
  </si>
  <si>
    <t>FR61954506077</t>
  </si>
  <si>
    <t>FR46216704478</t>
  </si>
  <si>
    <t>FR22200046175</t>
  </si>
  <si>
    <t>FR87200045938</t>
  </si>
  <si>
    <t>FR68450889225</t>
  </si>
  <si>
    <t>FR52219400595</t>
  </si>
  <si>
    <t>FR41481986446</t>
  </si>
  <si>
    <t>FR36775664873</t>
  </si>
  <si>
    <t>FR80216700674</t>
  </si>
  <si>
    <t>FR32240600585</t>
  </si>
  <si>
    <t>FR22798025276</t>
  </si>
  <si>
    <t>FR79420291387</t>
  </si>
  <si>
    <t>FR39216703538</t>
  </si>
  <si>
    <t>FR81825234313</t>
  </si>
  <si>
    <t>FR51490675774</t>
  </si>
  <si>
    <t>FR49347604621</t>
  </si>
  <si>
    <t>FR85216900431</t>
  </si>
  <si>
    <t>FR06592052302</t>
  </si>
  <si>
    <t>FR25311127278</t>
  </si>
  <si>
    <t>FR06311460596</t>
  </si>
  <si>
    <t>FR73712042456</t>
  </si>
  <si>
    <t>FR42533373619</t>
  </si>
  <si>
    <t>FR90488404823</t>
  </si>
  <si>
    <t>FR90950450452</t>
  </si>
  <si>
    <t>FR17784538944</t>
  </si>
  <si>
    <t>FR54782354096</t>
  </si>
  <si>
    <t>FR41498396324</t>
  </si>
  <si>
    <t>FR48330066374</t>
  </si>
  <si>
    <t>FR46804406429</t>
  </si>
  <si>
    <t>FR79524027455</t>
  </si>
  <si>
    <t>FR15097280234</t>
  </si>
  <si>
    <t>FR10200070324</t>
  </si>
  <si>
    <t>FR17215403957</t>
  </si>
  <si>
    <t>FR29822910790</t>
  </si>
  <si>
    <t>FR55351705298</t>
  </si>
  <si>
    <t>FR81775709702</t>
  </si>
  <si>
    <t>FR79384386934</t>
  </si>
  <si>
    <t>FR21830131629</t>
  </si>
  <si>
    <t>FR05407997162</t>
  </si>
  <si>
    <t>FR92414619866</t>
  </si>
  <si>
    <t>FR58837539402</t>
  </si>
  <si>
    <t>FR49829889591</t>
  </si>
  <si>
    <t>FR14433127537</t>
  </si>
  <si>
    <t>FR16544800857</t>
  </si>
  <si>
    <t>FR84379041395</t>
  </si>
  <si>
    <t>FR89538133166</t>
  </si>
  <si>
    <t>FR39538760125</t>
  </si>
  <si>
    <t>FR56395208796</t>
  </si>
  <si>
    <t>FR92518969944</t>
  </si>
  <si>
    <t>FR95389818907</t>
  </si>
  <si>
    <t>FR96246900724</t>
  </si>
  <si>
    <t>FR77827866245</t>
  </si>
  <si>
    <t>FR95335146312</t>
  </si>
  <si>
    <t>FR20305918732</t>
  </si>
  <si>
    <t>FR19805340239</t>
  </si>
  <si>
    <t>FR50804495638</t>
  </si>
  <si>
    <t>FR04314843244</t>
  </si>
  <si>
    <t>FR67439381468</t>
  </si>
  <si>
    <t>FR28388334526</t>
  </si>
  <si>
    <t>FR44216700468</t>
  </si>
  <si>
    <t>FR81339361701</t>
  </si>
  <si>
    <t>FR30378744460</t>
  </si>
  <si>
    <t>FR24452611122</t>
  </si>
  <si>
    <t>FR47318226974</t>
  </si>
  <si>
    <t>FR00568500409</t>
  </si>
  <si>
    <t>FR59483281887</t>
  </si>
  <si>
    <t>FR42881288757</t>
  </si>
  <si>
    <t>FR95777166679</t>
  </si>
  <si>
    <t>FR72453929465</t>
  </si>
  <si>
    <t>FR25378040497</t>
  </si>
  <si>
    <t>FR34512585514</t>
  </si>
  <si>
    <t>FR16391063617</t>
  </si>
  <si>
    <t>FR77421232836</t>
  </si>
  <si>
    <t>FR17110002011</t>
  </si>
  <si>
    <t>FR69315667410</t>
  </si>
  <si>
    <t>FR72301861886</t>
  </si>
  <si>
    <t>FR16790184279</t>
  </si>
  <si>
    <t>FR77497933937</t>
  </si>
  <si>
    <t>FR48499838878</t>
  </si>
  <si>
    <t>FR53213003510</t>
  </si>
  <si>
    <t>FR27412790198</t>
  </si>
  <si>
    <t>FR68408570356</t>
  </si>
  <si>
    <t>FR56570800524</t>
  </si>
  <si>
    <t>FR78381186063</t>
  </si>
  <si>
    <t>FR87524460789</t>
  </si>
  <si>
    <t>FR47451399729</t>
  </si>
  <si>
    <t>FR84307322214</t>
  </si>
  <si>
    <t>FR71791915036</t>
  </si>
  <si>
    <t>FR95440315943</t>
  </si>
  <si>
    <t>FR74411207012</t>
  </si>
  <si>
    <t>FR80429057342</t>
  </si>
  <si>
    <t>FR10552062663</t>
  </si>
  <si>
    <t>FR03879321487</t>
  </si>
  <si>
    <t>FR15503370249</t>
  </si>
  <si>
    <t>FR36814066494</t>
  </si>
  <si>
    <t>FR36213300098</t>
  </si>
  <si>
    <t>FR28380765131</t>
  </si>
  <si>
    <t>FR42411132376</t>
  </si>
  <si>
    <t>FR34262100183</t>
  </si>
  <si>
    <t>FR68310520622</t>
  </si>
  <si>
    <t>FR67429916596</t>
  </si>
  <si>
    <t>FR37344091277</t>
  </si>
  <si>
    <t>FR45403174691</t>
  </si>
  <si>
    <t>FR17391248176</t>
  </si>
  <si>
    <t>FR82392988895</t>
  </si>
  <si>
    <t>FR34487884173</t>
  </si>
  <si>
    <t>FR20382958460</t>
  </si>
  <si>
    <t>FR33552016628</t>
  </si>
  <si>
    <t>FR38433704889</t>
  </si>
  <si>
    <t>FR60200039915</t>
  </si>
  <si>
    <t>FR80200039857</t>
  </si>
  <si>
    <t>FR12389643859</t>
  </si>
  <si>
    <t>FR89305800997</t>
  </si>
  <si>
    <t>FR03552081317</t>
  </si>
  <si>
    <t>FR66444608442</t>
  </si>
  <si>
    <t>FR42500494984</t>
  </si>
  <si>
    <t>FR88818611220</t>
  </si>
  <si>
    <t>FR50880266218</t>
  </si>
  <si>
    <t>FR43066201120</t>
  </si>
  <si>
    <t>FR83351745724</t>
  </si>
  <si>
    <t>FR71320229644</t>
  </si>
  <si>
    <t>FR42487734246</t>
  </si>
  <si>
    <t>FR15844799288</t>
  </si>
  <si>
    <t>FR07808227052</t>
  </si>
  <si>
    <t>FR43339343808</t>
  </si>
  <si>
    <t>FR17509352951</t>
  </si>
  <si>
    <t>FR10632012100</t>
  </si>
  <si>
    <t>FR55522546548</t>
  </si>
  <si>
    <t>FR73245400676</t>
  </si>
  <si>
    <t>FR72217500016</t>
  </si>
  <si>
    <t>FR83542050315</t>
  </si>
  <si>
    <t>FR02252901145</t>
  </si>
  <si>
    <t>FR24489099903</t>
  </si>
  <si>
    <t>FR65200050425</t>
  </si>
  <si>
    <t>FR16433887759</t>
  </si>
  <si>
    <t>FR26200056232</t>
  </si>
  <si>
    <t>FR72391378239</t>
  </si>
  <si>
    <t>FR00200030195</t>
  </si>
  <si>
    <t>FR83442814950</t>
  </si>
  <si>
    <t>FR83216703488</t>
  </si>
  <si>
    <t>FR04642028609</t>
  </si>
  <si>
    <t>FR48780130175</t>
  </si>
  <si>
    <t>FR54444694962</t>
  </si>
  <si>
    <t>FR37552141533</t>
  </si>
  <si>
    <t>FR76429584568</t>
  </si>
  <si>
    <t>FR12499665818</t>
  </si>
  <si>
    <t>FR57409564085</t>
  </si>
  <si>
    <t>FR03404499212</t>
  </si>
  <si>
    <t>FR43810151738</t>
  </si>
  <si>
    <t>FR91337795801</t>
  </si>
  <si>
    <t>FR38431835602</t>
  </si>
  <si>
    <t>FR77531652980</t>
  </si>
  <si>
    <t>FR13327467700</t>
  </si>
  <si>
    <t>FR59798191805</t>
  </si>
  <si>
    <t>FR49349204636</t>
  </si>
  <si>
    <t>FR49311732275</t>
  </si>
  <si>
    <t>FR67713002269</t>
  </si>
  <si>
    <t>FR65326966777</t>
  </si>
  <si>
    <t>FR81319528402</t>
  </si>
  <si>
    <t>FR91315043190</t>
  </si>
  <si>
    <t>FR18662025196</t>
  </si>
  <si>
    <t>FR85342043429</t>
  </si>
  <si>
    <t>FR76381515733</t>
  </si>
  <si>
    <t>FR74572058329</t>
  </si>
  <si>
    <t>FR20721720290</t>
  </si>
  <si>
    <t>FR10349760918</t>
  </si>
  <si>
    <t>FR78318697208</t>
  </si>
  <si>
    <t>FR11344817572</t>
  </si>
  <si>
    <t>FR10315589952</t>
  </si>
  <si>
    <t>FR73378012868</t>
  </si>
  <si>
    <t>FR44495040222</t>
  </si>
  <si>
    <t>FR70833581903</t>
  </si>
  <si>
    <t>FR25378310254</t>
  </si>
  <si>
    <t>FR78327765350</t>
  </si>
  <si>
    <t>FR33338068190</t>
  </si>
  <si>
    <t>FR120</t>
  </si>
  <si>
    <t>FR53378756431</t>
  </si>
  <si>
    <t>FR90592028468</t>
  </si>
  <si>
    <t>FR27793532755</t>
  </si>
  <si>
    <t>FR62508806080</t>
  </si>
  <si>
    <t>FR68352256424</t>
  </si>
  <si>
    <t>FR61424341907</t>
  </si>
  <si>
    <t>FR55439793811</t>
  </si>
  <si>
    <t>FR95812089977</t>
  </si>
  <si>
    <t>FR03353550932</t>
  </si>
  <si>
    <t>FR25790208920</t>
  </si>
  <si>
    <t>FR78389675018</t>
  </si>
  <si>
    <t>FR43911879518</t>
  </si>
  <si>
    <t>FR33176902302</t>
  </si>
  <si>
    <t>FR15065803637</t>
  </si>
  <si>
    <t>FR81349101568</t>
  </si>
  <si>
    <t>FR90210700225</t>
  </si>
  <si>
    <t>FR35405720194</t>
  </si>
  <si>
    <t>FR07410218010</t>
  </si>
  <si>
    <t>FR89403761588</t>
  </si>
  <si>
    <t>FR77430069245</t>
  </si>
  <si>
    <t>FR33340605807</t>
  </si>
  <si>
    <t>FR96448970251</t>
  </si>
  <si>
    <t>FR50407893775</t>
  </si>
  <si>
    <t>FR37404978371</t>
  </si>
  <si>
    <t>FR69383995859</t>
  </si>
  <si>
    <t>FR57345293534</t>
  </si>
  <si>
    <t>FR00320498181</t>
  </si>
  <si>
    <t>FR66397524448</t>
  </si>
  <si>
    <t>FR30414937003</t>
  </si>
  <si>
    <t>FR54382464709</t>
  </si>
  <si>
    <t>FR26314490624</t>
  </si>
  <si>
    <t>FR08306523523</t>
  </si>
  <si>
    <t>FR23352107999</t>
  </si>
  <si>
    <t>FR65246700926</t>
  </si>
  <si>
    <t>FR07690802053</t>
  </si>
  <si>
    <t>FR33348723834</t>
  </si>
  <si>
    <t>FR35775637648</t>
  </si>
  <si>
    <t>FR52492442306</t>
  </si>
  <si>
    <t>FR70434317293</t>
  </si>
  <si>
    <t>FR03987220019</t>
  </si>
  <si>
    <t>FR03777903816</t>
  </si>
  <si>
    <t>FR39842032468</t>
  </si>
  <si>
    <t>FR11390112886</t>
  </si>
  <si>
    <t>FR64424670156</t>
  </si>
  <si>
    <t>FR61196917744</t>
  </si>
  <si>
    <t>FR04453759078</t>
  </si>
  <si>
    <t>FR63572053734</t>
  </si>
  <si>
    <t>FR19310162417</t>
  </si>
  <si>
    <t>FR85410317267</t>
  </si>
  <si>
    <t>FR68312744832</t>
  </si>
  <si>
    <t>FR44830858684</t>
  </si>
  <si>
    <t>FR38445208507</t>
  </si>
  <si>
    <t>FR62315030635</t>
  </si>
  <si>
    <t>FR74317685238</t>
  </si>
  <si>
    <t>FR77440731776</t>
  </si>
  <si>
    <t>FR23381069483</t>
  </si>
  <si>
    <t>FR00383806783</t>
  </si>
  <si>
    <t>FR27417897345</t>
  </si>
  <si>
    <t>FR69841291883</t>
  </si>
  <si>
    <t>FR69801205857</t>
  </si>
  <si>
    <t>FR68530194000</t>
  </si>
  <si>
    <t>FR45899886956</t>
  </si>
  <si>
    <t>FR58546450453</t>
  </si>
  <si>
    <t>FR68391952801</t>
  </si>
  <si>
    <t>FR16323998690</t>
  </si>
  <si>
    <t>FR16519954986</t>
  </si>
  <si>
    <t>FR70682030267</t>
  </si>
  <si>
    <t>FR41562077503</t>
  </si>
  <si>
    <t>FR25200053742</t>
  </si>
  <si>
    <t>FR19498147156</t>
  </si>
  <si>
    <t>FR90352980601</t>
  </si>
  <si>
    <t>FR28216705442</t>
  </si>
  <si>
    <t>FR76216704585</t>
  </si>
  <si>
    <t>FR07324240605</t>
  </si>
  <si>
    <t>FR89433809860</t>
  </si>
  <si>
    <t>FR71225400019</t>
  </si>
  <si>
    <t>FR58200051134</t>
  </si>
  <si>
    <t>FR60245400510</t>
  </si>
  <si>
    <t>FR65219200359</t>
  </si>
  <si>
    <t>FR69778134601</t>
  </si>
  <si>
    <t>FR07844324632</t>
  </si>
  <si>
    <t>FR89200050433</t>
  </si>
  <si>
    <t>FR82810842294</t>
  </si>
  <si>
    <t>FR52833908593</t>
  </si>
  <si>
    <t>FR65950599662</t>
  </si>
  <si>
    <t>FR56246300701</t>
  </si>
  <si>
    <t>FR29130022718</t>
  </si>
  <si>
    <t>FR27251600060</t>
  </si>
  <si>
    <t>FR15251702197</t>
  </si>
  <si>
    <t>FR77200078947</t>
  </si>
  <si>
    <t>FR33252401476</t>
  </si>
  <si>
    <t>FR15253303473</t>
  </si>
  <si>
    <t>FR48254001399</t>
  </si>
  <si>
    <t>FR12254701824</t>
  </si>
  <si>
    <t>FR15256402041</t>
  </si>
  <si>
    <t>FR55258708585</t>
  </si>
  <si>
    <t>FR54215402579</t>
  </si>
  <si>
    <t>FR13245400171</t>
  </si>
  <si>
    <t>FR00537527145</t>
  </si>
  <si>
    <t>FR46433839172</t>
  </si>
  <si>
    <t>FR10414982942</t>
  </si>
  <si>
    <t>FR76477564066</t>
  </si>
  <si>
    <t>FR75790710750</t>
  </si>
  <si>
    <t>FR88882736077</t>
  </si>
  <si>
    <t>FR45330283847</t>
  </si>
  <si>
    <t>FR47444963391</t>
  </si>
  <si>
    <t>FR55384986386</t>
  </si>
  <si>
    <t>FR28485154397</t>
  </si>
  <si>
    <t>FR69402262414</t>
  </si>
  <si>
    <t>FR82494385420</t>
  </si>
  <si>
    <t>FR84495036808</t>
  </si>
  <si>
    <t>FR60803906916</t>
  </si>
  <si>
    <t>FR94514683838</t>
  </si>
  <si>
    <t>FR07537767287</t>
  </si>
  <si>
    <t>FR65401556576</t>
  </si>
  <si>
    <t>FR60328759303</t>
  </si>
  <si>
    <t>FR52622009959</t>
  </si>
  <si>
    <t>FR37878513068</t>
  </si>
  <si>
    <t>FR89838766624</t>
  </si>
  <si>
    <t>FR55353152150</t>
  </si>
  <si>
    <t>FR47401205042</t>
  </si>
  <si>
    <t>FR19926620212</t>
  </si>
  <si>
    <t>FR40839291119</t>
  </si>
  <si>
    <t>FR36381346196</t>
  </si>
  <si>
    <t>FR31808241707</t>
  </si>
  <si>
    <t>FR62888959459</t>
  </si>
  <si>
    <t>FR29388956070</t>
  </si>
  <si>
    <t>FR86749844395</t>
  </si>
  <si>
    <t>FR04344750963</t>
  </si>
  <si>
    <t>FR08341796506</t>
  </si>
  <si>
    <t>FR88822316329</t>
  </si>
  <si>
    <t>FR19480947019</t>
  </si>
  <si>
    <t>FR53400947800</t>
  </si>
  <si>
    <t>FR57429459076</t>
  </si>
  <si>
    <t>FR00316359967</t>
  </si>
  <si>
    <t>FR96834720336</t>
  </si>
  <si>
    <t>FR91415050772</t>
  </si>
  <si>
    <t>FR52391681616</t>
  </si>
  <si>
    <t>FR96433473337</t>
  </si>
  <si>
    <t>FR69403184690</t>
  </si>
  <si>
    <t>FR56403055320</t>
  </si>
  <si>
    <t>FR47388657025</t>
  </si>
  <si>
    <t>FR26390443661</t>
  </si>
  <si>
    <t>FR60448517540</t>
  </si>
  <si>
    <t>FR80481281269</t>
  </si>
  <si>
    <t>FR55337849624</t>
  </si>
  <si>
    <t>FR54488212945</t>
  </si>
  <si>
    <t>FR07332107499</t>
  </si>
  <si>
    <t>FR90438843740</t>
  </si>
  <si>
    <t>FR64493373898</t>
  </si>
  <si>
    <t>FR08414770479</t>
  </si>
  <si>
    <t>FR94518068168</t>
  </si>
  <si>
    <t>FR49403293970</t>
  </si>
  <si>
    <t>FR27879149029</t>
  </si>
  <si>
    <t>FR47790570220</t>
  </si>
  <si>
    <t>FR23401213376</t>
  </si>
  <si>
    <t>FR29429913932</t>
  </si>
  <si>
    <t>FR83900120189</t>
  </si>
  <si>
    <t>FR08390412906</t>
  </si>
  <si>
    <t>FR32515620417</t>
  </si>
  <si>
    <t>FR45378637862</t>
  </si>
  <si>
    <t>FR15843965864</t>
  </si>
  <si>
    <t>FR01945950269</t>
  </si>
  <si>
    <t>FR85813602042</t>
  </si>
  <si>
    <t>FR11830085098</t>
  </si>
  <si>
    <t>FR27448609776</t>
  </si>
  <si>
    <t>FR30820150720</t>
  </si>
  <si>
    <t>FR30997858600</t>
  </si>
  <si>
    <t>FR00411798655</t>
  </si>
  <si>
    <t>FR46400447892</t>
  </si>
  <si>
    <t>FR12417797818</t>
  </si>
  <si>
    <t>FR44452183973</t>
  </si>
  <si>
    <t>FR92957203140</t>
  </si>
  <si>
    <t>FR52401090519</t>
  </si>
  <si>
    <t>FR39810641134</t>
  </si>
  <si>
    <t>FR21301365326</t>
  </si>
  <si>
    <t>FR24341260263</t>
  </si>
  <si>
    <t>FR03200046977</t>
  </si>
  <si>
    <t>FR57912251162</t>
  </si>
  <si>
    <t>FR80319150231</t>
  </si>
  <si>
    <t>FR78797488723</t>
  </si>
  <si>
    <t>FR88439678780</t>
  </si>
  <si>
    <t>FR60301768859</t>
  </si>
  <si>
    <t>FR46341522332</t>
  </si>
  <si>
    <t>FR77341050987</t>
  </si>
  <si>
    <t>FR08393332606</t>
  </si>
  <si>
    <t>FR73799130026</t>
  </si>
  <si>
    <t>FR20373200260</t>
  </si>
  <si>
    <t>FR78307180786</t>
  </si>
  <si>
    <t>FR03323648451</t>
  </si>
  <si>
    <t>FR23712046093</t>
  </si>
  <si>
    <t>FR46316085828</t>
  </si>
  <si>
    <t>FR12302555222</t>
  </si>
  <si>
    <t>FR63305544488</t>
  </si>
  <si>
    <t>FR20453231565</t>
  </si>
  <si>
    <t>FR80216204131</t>
  </si>
  <si>
    <t>FR43846450302</t>
  </si>
  <si>
    <t>FR54493254908</t>
  </si>
  <si>
    <t>FR87383735420</t>
  </si>
  <si>
    <t>FR29350956223</t>
  </si>
  <si>
    <t>FR61325741601</t>
  </si>
  <si>
    <t>FR18545920076</t>
  </si>
  <si>
    <t>FR89480264324</t>
  </si>
  <si>
    <t>FR42621620921</t>
  </si>
  <si>
    <t>FR13479204703</t>
  </si>
  <si>
    <t>FR44442721429</t>
  </si>
  <si>
    <t>FR74838961977</t>
  </si>
  <si>
    <t>FR24821236148</t>
  </si>
  <si>
    <t>FR80337858039</t>
  </si>
  <si>
    <t>FR28410299788</t>
  </si>
  <si>
    <t>FR18751176538</t>
  </si>
  <si>
    <t>FR76533670709</t>
  </si>
  <si>
    <t>FR68467800496</t>
  </si>
  <si>
    <t>FR95341531531</t>
  </si>
  <si>
    <t>FR92809675549</t>
  </si>
  <si>
    <t>FR42665009700</t>
  </si>
  <si>
    <t>FR30652720863</t>
  </si>
  <si>
    <t>FR23394443261</t>
  </si>
  <si>
    <t>FR76383952470</t>
  </si>
  <si>
    <t>FR43504588740</t>
  </si>
  <si>
    <t>FR69338959729</t>
  </si>
  <si>
    <t>FR93495314619</t>
  </si>
  <si>
    <t>FR88317007342</t>
  </si>
  <si>
    <t>FR26487706046</t>
  </si>
  <si>
    <t>FR36323622175</t>
  </si>
  <si>
    <t>FR68417350311</t>
  </si>
  <si>
    <t>FR41302476403</t>
  </si>
  <si>
    <t>FR12781015870</t>
  </si>
  <si>
    <t>FR51878054295</t>
  </si>
  <si>
    <t>FR41330558388</t>
  </si>
  <si>
    <t>FR63383693702</t>
  </si>
  <si>
    <t>FR74776758302</t>
  </si>
  <si>
    <t>FR92510300569</t>
  </si>
  <si>
    <t>FR51395099443</t>
  </si>
  <si>
    <t>FR14480280304</t>
  </si>
  <si>
    <t>FR88352638449</t>
  </si>
  <si>
    <t>FR62776086670</t>
  </si>
  <si>
    <t>FR80785447467</t>
  </si>
  <si>
    <t>FR17489243881</t>
  </si>
  <si>
    <t>FR48351858394</t>
  </si>
  <si>
    <t>FR03511316291</t>
  </si>
  <si>
    <t>FR68617220363</t>
  </si>
  <si>
    <t>FR23424365336</t>
  </si>
  <si>
    <t>FR30435368501</t>
  </si>
  <si>
    <t>FR58216202507</t>
  </si>
  <si>
    <t>FR81821206000</t>
  </si>
  <si>
    <t>FR70395301856</t>
  </si>
  <si>
    <t>FR93784393340</t>
  </si>
  <si>
    <t>FR72340936202</t>
  </si>
  <si>
    <t>FR78802144238</t>
  </si>
  <si>
    <t>FR96491878880</t>
  </si>
  <si>
    <t>FR03538809971</t>
  </si>
  <si>
    <t>FR33853731636</t>
  </si>
  <si>
    <t>FR96392026886</t>
  </si>
  <si>
    <t>FR69382402634</t>
  </si>
  <si>
    <t>FR51338647480</t>
  </si>
  <si>
    <t>FR06529256539</t>
  </si>
  <si>
    <t>FR69431784461</t>
  </si>
  <si>
    <t>FR24451276984</t>
  </si>
  <si>
    <t>FR78391958980</t>
  </si>
  <si>
    <t>FR25493918346</t>
  </si>
  <si>
    <t>FR67389496308</t>
  </si>
  <si>
    <t>FR76322790478</t>
  </si>
  <si>
    <t>FR40528971823</t>
  </si>
  <si>
    <t>FR24432301844</t>
  </si>
  <si>
    <t>FR13301570446</t>
  </si>
  <si>
    <t>FR73441397809</t>
  </si>
  <si>
    <t>FR33681980041</t>
  </si>
  <si>
    <t>FR61436780217</t>
  </si>
  <si>
    <t>FR53380192807</t>
  </si>
  <si>
    <t>FR59383681996</t>
  </si>
  <si>
    <t>FR86445720295</t>
  </si>
  <si>
    <t>FR47781452511</t>
  </si>
  <si>
    <t>FR43492853098</t>
  </si>
  <si>
    <t>FR06351867692</t>
  </si>
  <si>
    <t>FR56305823296</t>
  </si>
  <si>
    <t>FR28561820481</t>
  </si>
  <si>
    <t>FR78520333048</t>
  </si>
  <si>
    <t>FR57608013960</t>
  </si>
  <si>
    <t>FR82408150480</t>
  </si>
  <si>
    <t>FR01735550188</t>
  </si>
  <si>
    <t>FR14430369827</t>
  </si>
  <si>
    <t>FR30397485830</t>
  </si>
  <si>
    <t>FR57422695460</t>
  </si>
  <si>
    <t>FR83900781147</t>
  </si>
  <si>
    <t>FR51643780380</t>
  </si>
  <si>
    <t>FR58383578432</t>
  </si>
  <si>
    <t>FR95839251626</t>
  </si>
  <si>
    <t>FR33493425136</t>
  </si>
  <si>
    <t>FR45799995386</t>
  </si>
  <si>
    <t>FR41401610209</t>
  </si>
  <si>
    <t>FR65780141271</t>
  </si>
  <si>
    <t>FR00511706327</t>
  </si>
  <si>
    <t>FR75419552278</t>
  </si>
  <si>
    <t>FR47214003287</t>
  </si>
  <si>
    <t>FR43872500913</t>
  </si>
  <si>
    <t>FR54410069066</t>
  </si>
  <si>
    <t>FR32440110088</t>
  </si>
  <si>
    <t>FR61552141541</t>
  </si>
  <si>
    <t>FR55414897306</t>
  </si>
  <si>
    <t>FR48382616415</t>
  </si>
  <si>
    <t>FR66341969541</t>
  </si>
  <si>
    <t>FR77500886908</t>
  </si>
  <si>
    <t>FR42490128303</t>
  </si>
  <si>
    <t>FR84327731790</t>
  </si>
  <si>
    <t>FR63353944093</t>
  </si>
  <si>
    <t>FR75747251064</t>
  </si>
  <si>
    <t>FR63817808181</t>
  </si>
  <si>
    <t>FR30403731466</t>
  </si>
  <si>
    <t>FR66318724655</t>
  </si>
  <si>
    <t>FR72892461906</t>
  </si>
  <si>
    <t>FR13857500144</t>
  </si>
  <si>
    <t>FR37445200488</t>
  </si>
  <si>
    <t>FR95472200716</t>
  </si>
  <si>
    <t>FR95200011732</t>
  </si>
  <si>
    <t>FR41378100416</t>
  </si>
  <si>
    <t>FR94316644079</t>
  </si>
  <si>
    <t>FR54789673910</t>
  </si>
  <si>
    <t>FR38776944142</t>
  </si>
  <si>
    <t>FR66794203232</t>
  </si>
  <si>
    <t>FR64652039611</t>
  </si>
  <si>
    <t>FR19068500206</t>
  </si>
  <si>
    <t>FR06215902792</t>
  </si>
  <si>
    <t>FR48501365852</t>
  </si>
  <si>
    <t>FR78325147320</t>
  </si>
  <si>
    <t>FR71216902916</t>
  </si>
  <si>
    <t>FR76410339477</t>
  </si>
  <si>
    <t>FR57344814645</t>
  </si>
  <si>
    <t>FR66348858093</t>
  </si>
  <si>
    <t>FR16792039695</t>
  </si>
  <si>
    <t>FR73340489194</t>
  </si>
  <si>
    <t>FR79326521002</t>
  </si>
  <si>
    <t>FR00402390819</t>
  </si>
  <si>
    <t>FR00384674545</t>
  </si>
  <si>
    <t>FR26451270615</t>
  </si>
  <si>
    <t>FR19341149649</t>
  </si>
  <si>
    <t>FR50399372713</t>
  </si>
  <si>
    <t>FR52348460841</t>
  </si>
  <si>
    <t>FR04452346273</t>
  </si>
  <si>
    <t>FR10304602956</t>
  </si>
  <si>
    <t>FR51426250023</t>
  </si>
  <si>
    <t>FR56395150402</t>
  </si>
  <si>
    <t>FR70857801542</t>
  </si>
  <si>
    <t>FR38810146563</t>
  </si>
  <si>
    <t>FR34211501879</t>
  </si>
  <si>
    <t>FR75428702385</t>
  </si>
  <si>
    <t>FR04332746825</t>
  </si>
  <si>
    <t>FR00326876901</t>
  </si>
  <si>
    <t>FR39797992625</t>
  </si>
  <si>
    <t>FR92389996125</t>
  </si>
  <si>
    <t>FR60800528309</t>
  </si>
  <si>
    <t>FR79377080312</t>
  </si>
  <si>
    <t>FR49542083704</t>
  </si>
  <si>
    <t>FR51449146679</t>
  </si>
  <si>
    <t>FR73392421442</t>
  </si>
  <si>
    <t>FR22782947402</t>
  </si>
  <si>
    <t>FR32200062248</t>
  </si>
  <si>
    <t>FR27491485231</t>
  </si>
  <si>
    <t>FR49824211890</t>
  </si>
  <si>
    <t>FR82350544896</t>
  </si>
  <si>
    <t>FR04775556384</t>
  </si>
  <si>
    <t>FR34383000692</t>
  </si>
  <si>
    <t>FR25309918464</t>
  </si>
  <si>
    <t>FR94786195859</t>
  </si>
  <si>
    <t>FR44382329035</t>
  </si>
  <si>
    <t>FR45385107180</t>
  </si>
  <si>
    <t>FR05525215745</t>
  </si>
  <si>
    <t>FR66845206317</t>
  </si>
  <si>
    <t>FR17319755393</t>
  </si>
  <si>
    <t>FR61777023722</t>
  </si>
  <si>
    <t>FR60551620198</t>
  </si>
  <si>
    <t>FR28347719171</t>
  </si>
  <si>
    <t>FR33302020177</t>
  </si>
  <si>
    <t>FR28478281850</t>
  </si>
  <si>
    <t>FR55450408133</t>
  </si>
  <si>
    <t>FR39334719267</t>
  </si>
  <si>
    <t>FR54542009824</t>
  </si>
  <si>
    <t>FR63817804883</t>
  </si>
  <si>
    <t>FR90349604322</t>
  </si>
  <si>
    <t>FR52379063662</t>
  </si>
  <si>
    <t>FR45340325190</t>
  </si>
  <si>
    <t>FR69521320408</t>
  </si>
  <si>
    <t>FR83844254979</t>
  </si>
  <si>
    <t>FR29349711325</t>
  </si>
  <si>
    <t>FR48912043676</t>
  </si>
  <si>
    <t>FR03812981926</t>
  </si>
  <si>
    <t>FR40332235647</t>
  </si>
  <si>
    <t>FR18307321125</t>
  </si>
  <si>
    <t>FR19410766646</t>
  </si>
  <si>
    <t>FR16318811809</t>
  </si>
  <si>
    <t>FR27801502857</t>
  </si>
  <si>
    <t>FR87451580906</t>
  </si>
  <si>
    <t>FR36776069460</t>
  </si>
  <si>
    <t>FR56452714082</t>
  </si>
  <si>
    <t>FR48391208287</t>
  </si>
  <si>
    <t>FR30210100939</t>
  </si>
  <si>
    <t>FR09315765651</t>
  </si>
  <si>
    <t>FR45379833775</t>
  </si>
  <si>
    <t>FR33317306116</t>
  </si>
  <si>
    <t>FR57398636647</t>
  </si>
  <si>
    <t>FR65420428120</t>
  </si>
  <si>
    <t>FR36432518546</t>
  </si>
  <si>
    <t>FR31311274914</t>
  </si>
  <si>
    <t>FR72318870060</t>
  </si>
  <si>
    <t>FR50490657376</t>
  </si>
  <si>
    <t>FR42245400601</t>
  </si>
  <si>
    <t>FR25851922260</t>
  </si>
  <si>
    <t>FR15218715407</t>
  </si>
  <si>
    <t>FR11582142816</t>
  </si>
  <si>
    <t>FR20384136719</t>
  </si>
  <si>
    <t>FR91880175666</t>
  </si>
  <si>
    <t>FR95210102836</t>
  </si>
  <si>
    <t>FR96794417709</t>
  </si>
  <si>
    <t>FR73354081028</t>
  </si>
  <si>
    <t>FR78521903575</t>
  </si>
  <si>
    <t>FR81444983449</t>
  </si>
  <si>
    <t>FR31339494833</t>
  </si>
  <si>
    <t>FR73390700177</t>
  </si>
  <si>
    <t>FR62398726018</t>
  </si>
  <si>
    <t>FR73485920227</t>
  </si>
  <si>
    <t>FR53342667193</t>
  </si>
  <si>
    <t>FR68417804077</t>
  </si>
  <si>
    <t>FR24395001852</t>
  </si>
  <si>
    <t>FR95331566430</t>
  </si>
  <si>
    <t>FR51892380031</t>
  </si>
  <si>
    <t>FR12318761012</t>
  </si>
  <si>
    <t>FR49434967477</t>
  </si>
  <si>
    <t>FR72562091546</t>
  </si>
  <si>
    <t>FR67781985759</t>
  </si>
  <si>
    <t>FR27325528222</t>
  </si>
  <si>
    <t>FR32491087565</t>
  </si>
  <si>
    <t>FR46380271213</t>
  </si>
  <si>
    <t>FR78350251211</t>
  </si>
  <si>
    <t>FR54951547801</t>
  </si>
  <si>
    <t>FR64533247979</t>
  </si>
  <si>
    <t>FR77309467884</t>
  </si>
  <si>
    <t>FR64911124477</t>
  </si>
  <si>
    <t>FR29389749045</t>
  </si>
  <si>
    <t>FR71388362832</t>
  </si>
  <si>
    <t>FR80414894857</t>
  </si>
  <si>
    <t>FR53392439154</t>
  </si>
  <si>
    <t>FR27951478437</t>
  </si>
  <si>
    <t>FR42797542255</t>
  </si>
  <si>
    <t>FR39197506850</t>
  </si>
  <si>
    <t>FR61347697260</t>
  </si>
  <si>
    <t>FR59399973825</t>
  </si>
  <si>
    <t>FR73947350294</t>
  </si>
  <si>
    <t>FR73795255652</t>
  </si>
  <si>
    <t>FR83405101932</t>
  </si>
  <si>
    <t>FR74329777452</t>
  </si>
  <si>
    <t>FR57534890025</t>
  </si>
  <si>
    <t>FR08781843602</t>
  </si>
  <si>
    <t>FR35318919065</t>
  </si>
  <si>
    <t>FR85539188169</t>
  </si>
  <si>
    <t>FR69897541116</t>
  </si>
  <si>
    <t>FR75819339524</t>
  </si>
  <si>
    <t>FR86428706204</t>
  </si>
  <si>
    <t>FR86343403531</t>
  </si>
  <si>
    <t>FR15077050011</t>
  </si>
  <si>
    <t>FR18403891997</t>
  </si>
  <si>
    <t>FR19408750404</t>
  </si>
  <si>
    <t>FR25419013297</t>
  </si>
  <si>
    <t>FR72326397551</t>
  </si>
  <si>
    <t>FR09481981553</t>
  </si>
  <si>
    <t>FR80327236733</t>
  </si>
  <si>
    <t>FR24380715110</t>
  </si>
  <si>
    <t>FR41412880445</t>
  </si>
  <si>
    <t>FR92352208805</t>
  </si>
  <si>
    <t>FR82883238826</t>
  </si>
  <si>
    <t>FR56443951199</t>
  </si>
  <si>
    <t>FR74412773368</t>
  </si>
  <si>
    <t>FR23334795051</t>
  </si>
  <si>
    <t>FR90410192850</t>
  </si>
  <si>
    <t>FR02539220798</t>
  </si>
  <si>
    <t>FR42972802340</t>
  </si>
  <si>
    <t>FR84381182864</t>
  </si>
  <si>
    <t>FR69882889751</t>
  </si>
  <si>
    <t>FR80384461398</t>
  </si>
  <si>
    <t>FR03898018916</t>
  </si>
  <si>
    <t>FR70480323229</t>
  </si>
  <si>
    <t>FR47660802844</t>
  </si>
  <si>
    <t>FR65424653343</t>
  </si>
  <si>
    <t>FR78331364729</t>
  </si>
  <si>
    <t>FR22849403266</t>
  </si>
  <si>
    <t>FR46200035319</t>
  </si>
  <si>
    <t>FR95339275505</t>
  </si>
  <si>
    <t>FR05449888940</t>
  </si>
  <si>
    <t>FR34800988339</t>
  </si>
  <si>
    <t>FR44351597398</t>
  </si>
  <si>
    <t>FR84438691545</t>
  </si>
  <si>
    <t>FR58431403021</t>
  </si>
  <si>
    <t>FR61800378994</t>
  </si>
  <si>
    <t>FR11394392138</t>
  </si>
  <si>
    <t>FR68380622522</t>
  </si>
  <si>
    <t>FR01350656807</t>
  </si>
  <si>
    <t>FR94403894512</t>
  </si>
  <si>
    <t>FR53489263293</t>
  </si>
  <si>
    <t>FR06484040183</t>
  </si>
  <si>
    <t>FR88352611677</t>
  </si>
  <si>
    <t>FR53339850604</t>
  </si>
  <si>
    <t>FR22824423438</t>
  </si>
  <si>
    <t>FR15331047712</t>
  </si>
  <si>
    <t>FR93399020973</t>
  </si>
  <si>
    <t>FR64351758263</t>
  </si>
  <si>
    <t>FR82443350616</t>
  </si>
  <si>
    <t>FR03351842471</t>
  </si>
  <si>
    <t>FR35398113357</t>
  </si>
  <si>
    <t>FR76888755311</t>
  </si>
  <si>
    <t>FR88388280711</t>
  </si>
  <si>
    <t>FR55330943127</t>
  </si>
  <si>
    <t>FR16792366585</t>
  </si>
  <si>
    <t>FR22320153612</t>
  </si>
  <si>
    <t>FR84442825394</t>
  </si>
  <si>
    <t>FR77406680314</t>
  </si>
  <si>
    <t>FR95504483868</t>
  </si>
  <si>
    <t>FR69383491750</t>
  </si>
  <si>
    <t>FR52409417193</t>
  </si>
  <si>
    <t>FR93382820033</t>
  </si>
  <si>
    <t>FR32612041327</t>
  </si>
  <si>
    <t>FR63402244370</t>
  </si>
  <si>
    <t>FR08343762308</t>
  </si>
  <si>
    <t>FR01959505728</t>
  </si>
  <si>
    <t>FR80779859297</t>
  </si>
  <si>
    <t>FR20324925106</t>
  </si>
  <si>
    <t>FR16384564423</t>
  </si>
  <si>
    <t>FR08775737646</t>
  </si>
  <si>
    <t>FR82775581242</t>
  </si>
  <si>
    <t>FR91421159153</t>
  </si>
  <si>
    <t>FR72 49325490</t>
  </si>
  <si>
    <t>FR25479701153</t>
  </si>
  <si>
    <t>FR62485291728</t>
  </si>
  <si>
    <t>FR17313221376</t>
  </si>
  <si>
    <t>FR31035480052</t>
  </si>
  <si>
    <t>FR05438712309</t>
  </si>
  <si>
    <t>FR85444413058</t>
  </si>
  <si>
    <t>FR60500047238</t>
  </si>
  <si>
    <t>FR25843173345</t>
  </si>
  <si>
    <t>FR23891984197</t>
  </si>
  <si>
    <t>FR63682720743</t>
  </si>
  <si>
    <t>FR06579800038</t>
  </si>
  <si>
    <t>FR32330581083</t>
  </si>
  <si>
    <t>FR15912804242</t>
  </si>
  <si>
    <t>FR81318994126</t>
  </si>
  <si>
    <t>FR52491196341</t>
  </si>
  <si>
    <t>FR69533198834</t>
  </si>
  <si>
    <t>FR65379622160</t>
  </si>
  <si>
    <t>FR18592014476</t>
  </si>
  <si>
    <t>FR24632011458</t>
  </si>
  <si>
    <t>FR09410698096</t>
  </si>
  <si>
    <t>FR45782812903</t>
  </si>
  <si>
    <t>FR17378006027</t>
  </si>
  <si>
    <t>FR21534690581</t>
  </si>
  <si>
    <t>FR55186400032</t>
  </si>
  <si>
    <t>FR39212202253</t>
  </si>
  <si>
    <t>FR79414265165</t>
  </si>
  <si>
    <t>FR81 42171646</t>
  </si>
  <si>
    <t>FR37511867327</t>
  </si>
  <si>
    <t>FR87783595028</t>
  </si>
  <si>
    <t>FR57265906503</t>
  </si>
  <si>
    <t>FR24786016030</t>
  </si>
  <si>
    <t>FR67440303550</t>
  </si>
  <si>
    <t>FR25308091081</t>
  </si>
  <si>
    <t>FR09777746678</t>
  </si>
  <si>
    <t>FR72794256487</t>
  </si>
  <si>
    <t>FR22323037713</t>
  </si>
  <si>
    <t>FR10215903246</t>
  </si>
  <si>
    <t>FR81481212561</t>
  </si>
  <si>
    <t>FR09442362000</t>
  </si>
  <si>
    <t>FR04728202730</t>
  </si>
  <si>
    <t>FR71888695913</t>
  </si>
  <si>
    <t>FR71642036941</t>
  </si>
  <si>
    <t>FR23368500708</t>
  </si>
  <si>
    <t>FR00405325069</t>
  </si>
  <si>
    <t>FR08840052914</t>
  </si>
  <si>
    <t>FR24492843230</t>
  </si>
  <si>
    <t>FR12822045415</t>
  </si>
  <si>
    <t>FR21347994196</t>
  </si>
  <si>
    <t>FR13423864651</t>
  </si>
  <si>
    <t>FR75672014081</t>
  </si>
  <si>
    <t>FR52451545651</t>
  </si>
  <si>
    <t>FR60344543046</t>
  </si>
  <si>
    <t>FR63775612211</t>
  </si>
  <si>
    <t>FR82418647335</t>
  </si>
  <si>
    <t>FR33642005177</t>
  </si>
  <si>
    <t>FR77901177972</t>
  </si>
  <si>
    <t>FR02419683818</t>
  </si>
  <si>
    <t>FR74214401093</t>
  </si>
  <si>
    <t>FR70577050271</t>
  </si>
  <si>
    <t>FR83956502215</t>
  </si>
  <si>
    <t>FR01870800489</t>
  </si>
  <si>
    <t>FR65318605862</t>
  </si>
  <si>
    <t>FR96880489786</t>
  </si>
  <si>
    <t>FR65381830850</t>
  </si>
  <si>
    <t>FR38421716465</t>
  </si>
  <si>
    <t>FR60908440324</t>
  </si>
  <si>
    <t>FR42456500537</t>
  </si>
  <si>
    <t>FR84542097522</t>
  </si>
  <si>
    <t>FR62390072551</t>
  </si>
  <si>
    <t>FR12452650500</t>
  </si>
  <si>
    <t>FR08328031042</t>
  </si>
  <si>
    <t>FR81584800122</t>
  </si>
  <si>
    <t>FR80834982845</t>
  </si>
  <si>
    <t>FR86400030870</t>
  </si>
  <si>
    <t>FR51391127875</t>
  </si>
  <si>
    <t>FR86328959358</t>
  </si>
  <si>
    <t>FR59325962728</t>
  </si>
  <si>
    <t>FR40329925010</t>
  </si>
  <si>
    <t>FR20331152991</t>
  </si>
  <si>
    <t>FR24433948031</t>
  </si>
  <si>
    <t>FR69517741302</t>
  </si>
  <si>
    <t>FR25590500567</t>
  </si>
  <si>
    <t>FR96423589134</t>
  </si>
  <si>
    <t>FR33790567176</t>
  </si>
  <si>
    <t>FR36549800373</t>
  </si>
  <si>
    <t>FR75401071741</t>
  </si>
  <si>
    <t>FR12520172297</t>
  </si>
  <si>
    <t>FR76317612133</t>
  </si>
  <si>
    <t>FR04901918284</t>
  </si>
  <si>
    <t>FR44510084825</t>
  </si>
  <si>
    <t>FR08760200477</t>
  </si>
  <si>
    <t>FR74869800508</t>
  </si>
  <si>
    <t>FR77394908297</t>
  </si>
  <si>
    <t>FR68493291223</t>
  </si>
  <si>
    <t>FR95920266608</t>
  </si>
  <si>
    <t>FR74407535368</t>
  </si>
  <si>
    <t>FR19834983439</t>
  </si>
  <si>
    <t>FR65795315563</t>
  </si>
  <si>
    <t>FR30400185534</t>
  </si>
  <si>
    <t>FR09440365740</t>
  </si>
  <si>
    <t>FR64504398918</t>
  </si>
  <si>
    <t>FR91305730608</t>
  </si>
  <si>
    <t>FR68877532473</t>
  </si>
  <si>
    <t>FR19305731069</t>
  </si>
  <si>
    <t>FR94409197696</t>
  </si>
  <si>
    <t>FR19334665684</t>
  </si>
  <si>
    <t>FR25309124519</t>
  </si>
  <si>
    <t>FR18498001494</t>
  </si>
  <si>
    <t>FR11351099874</t>
  </si>
  <si>
    <t>FR11417922689</t>
  </si>
  <si>
    <t>FR86908086218</t>
  </si>
  <si>
    <t>FR75445177835</t>
  </si>
  <si>
    <t>FR83479096539</t>
  </si>
  <si>
    <t>FR03843411117</t>
  </si>
  <si>
    <t>FR05438584948</t>
  </si>
  <si>
    <t>FR83394204176</t>
  </si>
  <si>
    <t>FR94433725116</t>
  </si>
  <si>
    <t>FR60531262905</t>
  </si>
  <si>
    <t>FR60302305172</t>
  </si>
  <si>
    <t>FR86380303107</t>
  </si>
  <si>
    <t>FR90524889433</t>
  </si>
  <si>
    <t>FR46444768550</t>
  </si>
  <si>
    <t>FR50908034796</t>
  </si>
  <si>
    <t>FR65834422180</t>
  </si>
  <si>
    <t>FR12443222682</t>
  </si>
  <si>
    <t>FR20344386701</t>
  </si>
  <si>
    <t>FR58984800631</t>
  </si>
  <si>
    <t>FR48378610703</t>
  </si>
  <si>
    <t>FR74200053726</t>
  </si>
  <si>
    <t>FR95542016951</t>
  </si>
  <si>
    <t>FR13558501912</t>
  </si>
  <si>
    <t>FR19381873256</t>
  </si>
  <si>
    <t>FR19444619258</t>
  </si>
  <si>
    <t>FR14348623562</t>
  </si>
  <si>
    <t>FR91582106985</t>
  </si>
  <si>
    <t>FR49438307381</t>
  </si>
  <si>
    <t>FR74444608574</t>
  </si>
  <si>
    <t>FR47394049449</t>
  </si>
  <si>
    <t>FR51425117645</t>
  </si>
  <si>
    <t>FR39342388766</t>
  </si>
  <si>
    <t>FR24444627731</t>
  </si>
  <si>
    <t>FR64927618066</t>
  </si>
  <si>
    <t>FR65215903329</t>
  </si>
  <si>
    <t>FR78434784674</t>
  </si>
  <si>
    <t>FR80417604261</t>
  </si>
  <si>
    <t>FR23480891407</t>
  </si>
  <si>
    <t>FR61195508916</t>
  </si>
  <si>
    <t>FR21775733835</t>
  </si>
  <si>
    <t>FR60398739565</t>
  </si>
  <si>
    <t>FR23252309646</t>
  </si>
  <si>
    <t>FR18979282514</t>
  </si>
  <si>
    <t>FR09323480061</t>
  </si>
  <si>
    <t>FR58403585458</t>
  </si>
  <si>
    <t>FR68775997141</t>
  </si>
  <si>
    <t>FR36333050284</t>
  </si>
  <si>
    <t>FR82719807406</t>
  </si>
  <si>
    <t>FR56319665196</t>
  </si>
  <si>
    <t>FR68784227688</t>
  </si>
  <si>
    <t>FR85775722572</t>
  </si>
  <si>
    <t>FR13324333921</t>
  </si>
  <si>
    <t>FR88420856221</t>
  </si>
  <si>
    <t>FR30582144051</t>
  </si>
  <si>
    <t>FR81531156115</t>
  </si>
  <si>
    <t>FR43897849923</t>
  </si>
  <si>
    <t>FR47808158745</t>
  </si>
  <si>
    <t>FR55828572818</t>
  </si>
  <si>
    <t>FR80508766995</t>
  </si>
  <si>
    <t>FR05408059533</t>
  </si>
  <si>
    <t>FR04388938052</t>
  </si>
  <si>
    <t>FR77344056338</t>
  </si>
  <si>
    <t>FR92347715765</t>
  </si>
  <si>
    <t>FR14535273387</t>
  </si>
  <si>
    <t>FR08378093421</t>
  </si>
  <si>
    <t>FR25391007457</t>
  </si>
  <si>
    <t>FR49499316016</t>
  </si>
  <si>
    <t>FR06497673145</t>
  </si>
  <si>
    <t>FR65320152333</t>
  </si>
  <si>
    <t>FR84605520584</t>
  </si>
  <si>
    <t>FR95200035012</t>
  </si>
  <si>
    <t>FR59310370754</t>
  </si>
  <si>
    <t>FR37481581890</t>
  </si>
  <si>
    <t>FR36897603379</t>
  </si>
  <si>
    <t>FR27305206237</t>
  </si>
  <si>
    <t>FR33301367561</t>
  </si>
  <si>
    <t>FR71381479518</t>
  </si>
  <si>
    <t>FR10835124280</t>
  </si>
  <si>
    <t>FR67349844357</t>
  </si>
  <si>
    <t>FR28487741969</t>
  </si>
  <si>
    <t>FR44709806079</t>
  </si>
  <si>
    <t>FR89380129866</t>
  </si>
  <si>
    <t>FR48884070913</t>
  </si>
  <si>
    <t>FR76200053759</t>
  </si>
  <si>
    <t>FR43934595463</t>
  </si>
  <si>
    <t>FR05449286376</t>
  </si>
  <si>
    <t>FR96404350639</t>
  </si>
  <si>
    <t>FR17954506127</t>
  </si>
  <si>
    <t>FR78798066940</t>
  </si>
  <si>
    <t>FR91503328338</t>
  </si>
  <si>
    <t>FR37525362646</t>
  </si>
  <si>
    <t>FR56513474882</t>
  </si>
  <si>
    <t>FR61513474916</t>
  </si>
  <si>
    <t>FR37513474908</t>
  </si>
  <si>
    <t>FR62382613057</t>
  </si>
  <si>
    <t>FR42 45650053</t>
  </si>
  <si>
    <t>FR92776218794</t>
  </si>
  <si>
    <t>FR64529849390</t>
  </si>
  <si>
    <t>FR60562082909</t>
  </si>
  <si>
    <t>FR78482605771</t>
  </si>
  <si>
    <t>FR19900137175</t>
  </si>
  <si>
    <t>FR04305109779</t>
  </si>
  <si>
    <t>FR67333892610</t>
  </si>
  <si>
    <t>FR25501592307</t>
  </si>
  <si>
    <t>FR66692012180</t>
  </si>
  <si>
    <t>FR89483369682</t>
  </si>
  <si>
    <t>FR23449889625</t>
  </si>
  <si>
    <t>FR95 69201218</t>
  </si>
  <si>
    <t>FR93421106709</t>
  </si>
  <si>
    <t>FR08322791393</t>
  </si>
  <si>
    <t>FR45882158751</t>
  </si>
  <si>
    <t>FR29421994658</t>
  </si>
  <si>
    <t>FR00780358206</t>
  </si>
  <si>
    <t>FR95852990415</t>
  </si>
  <si>
    <t>FR02304200371</t>
  </si>
  <si>
    <t>FR12000000000</t>
  </si>
  <si>
    <t>FR11325221729</t>
  </si>
  <si>
    <t>FR48311999833</t>
  </si>
  <si>
    <t>FR28332199462</t>
  </si>
  <si>
    <t>FR19414001305</t>
  </si>
  <si>
    <t>FR71305205411</t>
  </si>
  <si>
    <t>FR65775563356</t>
  </si>
  <si>
    <t>FR48438289662</t>
  </si>
  <si>
    <t>FR05439289265</t>
  </si>
  <si>
    <t>FR14420175903</t>
  </si>
  <si>
    <t>FR22775552219</t>
  </si>
  <si>
    <t>FR96829997600</t>
  </si>
  <si>
    <t>FR80439054453</t>
  </si>
  <si>
    <t>FR41879414167</t>
  </si>
  <si>
    <t>FR77348877044</t>
  </si>
  <si>
    <t>FR59493191407</t>
  </si>
  <si>
    <t>FR00780948451</t>
  </si>
  <si>
    <t>FR17414870295</t>
  </si>
  <si>
    <t>FR84 83896197</t>
  </si>
  <si>
    <t>FR59955802061</t>
  </si>
  <si>
    <t>FR48498609791</t>
  </si>
  <si>
    <t>FR17821239670</t>
  </si>
  <si>
    <t>FR82542065479</t>
  </si>
  <si>
    <t>FR78652054198</t>
  </si>
  <si>
    <t>FR37329035422</t>
  </si>
  <si>
    <t>FR42388021156</t>
  </si>
  <si>
    <t>FR77180090060</t>
  </si>
  <si>
    <t>FR53438924367</t>
  </si>
  <si>
    <t>FR74489455360</t>
  </si>
  <si>
    <t>FR90303275473</t>
  </si>
  <si>
    <t>FR58313383994</t>
  </si>
  <si>
    <t>FR84440133353</t>
  </si>
  <si>
    <t>FR35509467320</t>
  </si>
  <si>
    <t>FR38310505771</t>
  </si>
  <si>
    <t>FR11424971000</t>
  </si>
  <si>
    <t>FR20572079069</t>
  </si>
  <si>
    <t>FR25900183252</t>
  </si>
  <si>
    <t>FR76546780065</t>
  </si>
  <si>
    <t>FR61811597335</t>
  </si>
  <si>
    <t>FR41305163206</t>
  </si>
  <si>
    <t>FR39425090966</t>
  </si>
  <si>
    <t>FR94399777929</t>
  </si>
  <si>
    <t>FR94915257075</t>
  </si>
  <si>
    <t>FR27977649425</t>
  </si>
  <si>
    <t>FR63564202166</t>
  </si>
  <si>
    <t>FR65062201009</t>
  </si>
  <si>
    <t>FR23885581033</t>
  </si>
  <si>
    <t>FR35576450670</t>
  </si>
  <si>
    <t>FR151</t>
  </si>
  <si>
    <t>FR85457208619</t>
  </si>
  <si>
    <t>FR84507479095</t>
  </si>
  <si>
    <t>FR77573820917</t>
  </si>
  <si>
    <t>FR53509380705</t>
  </si>
  <si>
    <t>FR84378183818</t>
  </si>
  <si>
    <t>FR84196700892</t>
  </si>
  <si>
    <t>FR64903869071</t>
  </si>
  <si>
    <t>FR25519116230</t>
  </si>
  <si>
    <t>FR29130025919</t>
  </si>
  <si>
    <t>FR24899348890</t>
  </si>
  <si>
    <t>FR70216202705</t>
  </si>
  <si>
    <t>FR54877525840</t>
  </si>
  <si>
    <t>FR42522082528</t>
  </si>
  <si>
    <t>FR67301364824</t>
  </si>
  <si>
    <t>FR12378255962</t>
  </si>
  <si>
    <t>FR52790462972</t>
  </si>
  <si>
    <t>FR46433225356</t>
  </si>
  <si>
    <t>FR24572201549</t>
  </si>
  <si>
    <t>FR92602056749</t>
  </si>
  <si>
    <t>FR64200026789</t>
  </si>
  <si>
    <t>FR26482001476</t>
  </si>
  <si>
    <t>FR86808666747</t>
  </si>
  <si>
    <t>FR61330575887</t>
  </si>
  <si>
    <t>FR52692026693</t>
  </si>
  <si>
    <t>FR62458204963</t>
  </si>
  <si>
    <t>FR00510328248</t>
  </si>
  <si>
    <t>FR96433160900</t>
  </si>
  <si>
    <t>FR21451279020</t>
  </si>
  <si>
    <t>FR27439684903</t>
  </si>
  <si>
    <t>FR85779668532</t>
  </si>
  <si>
    <t>FR85441514601</t>
  </si>
  <si>
    <t>FR18839829785</t>
  </si>
  <si>
    <t>FR21440515997</t>
  </si>
  <si>
    <t>FR05432108355</t>
  </si>
  <si>
    <t>FR90489967687</t>
  </si>
  <si>
    <t>FR66831012695</t>
  </si>
  <si>
    <t>FR70322969247</t>
  </si>
  <si>
    <t>FR41318506623</t>
  </si>
  <si>
    <t>FR63898725387</t>
  </si>
  <si>
    <t>FR29481467298</t>
  </si>
  <si>
    <t>FR43210700662</t>
  </si>
  <si>
    <t>FR45383242161</t>
  </si>
  <si>
    <t>FR03509646436</t>
  </si>
  <si>
    <t>FR17329778112</t>
  </si>
  <si>
    <t>FR08488715228</t>
  </si>
  <si>
    <t>FR03775724420</t>
  </si>
  <si>
    <t>FR19453570806</t>
  </si>
  <si>
    <t>FR12345271985</t>
  </si>
  <si>
    <t>FR39940215577</t>
  </si>
  <si>
    <t>FR47310455043</t>
  </si>
  <si>
    <t>FR62380631929</t>
  </si>
  <si>
    <t>FR38451542898</t>
  </si>
  <si>
    <t>FR94632043071</t>
  </si>
  <si>
    <t>FR88306042268</t>
  </si>
  <si>
    <t>FR81444636674</t>
  </si>
  <si>
    <t>FR22781446521</t>
  </si>
  <si>
    <t>FR71410270185</t>
  </si>
  <si>
    <t>FR43682011440</t>
  </si>
  <si>
    <t>FR87780716650</t>
  </si>
  <si>
    <t>FR18373200518</t>
  </si>
  <si>
    <t>FR43316674035</t>
  </si>
  <si>
    <t>FR81441829009</t>
  </si>
  <si>
    <t>FR04453106171</t>
  </si>
  <si>
    <t>FR33775694748</t>
  </si>
  <si>
    <t>FR55325894665</t>
  </si>
  <si>
    <t>FR63403138225</t>
  </si>
  <si>
    <t>FR38130020878</t>
  </si>
  <si>
    <t>FR73331620096</t>
  </si>
  <si>
    <t>FR03766500011</t>
  </si>
  <si>
    <t>FR66384620829</t>
  </si>
  <si>
    <t>FR22682039078</t>
  </si>
  <si>
    <t>FR34722621166</t>
  </si>
  <si>
    <t>FR53572139996</t>
  </si>
  <si>
    <t>FR12323233197</t>
  </si>
  <si>
    <t>FR04817445349</t>
  </si>
  <si>
    <t>FR24315652263</t>
  </si>
  <si>
    <t>FR07334055647</t>
  </si>
  <si>
    <t>FR52389795451</t>
  </si>
  <si>
    <t>FR76824007520</t>
  </si>
  <si>
    <t>FR15234500023</t>
  </si>
  <si>
    <t>FR48851874479</t>
  </si>
  <si>
    <t>FR86501907836</t>
  </si>
  <si>
    <t>FR34421646365</t>
  </si>
  <si>
    <t>FR11814087276</t>
  </si>
  <si>
    <t>FR94976120113</t>
  </si>
  <si>
    <t>FR11410911044</t>
  </si>
  <si>
    <t>FR93200086486</t>
  </si>
  <si>
    <t>FR95337520969</t>
  </si>
  <si>
    <t>FR94765200985</t>
  </si>
  <si>
    <t>FR12984750984</t>
  </si>
  <si>
    <t>FR06478076623</t>
  </si>
  <si>
    <t>FR00898777552</t>
  </si>
  <si>
    <t>FR37982771578</t>
  </si>
  <si>
    <t>FR56903869618</t>
  </si>
  <si>
    <t>FR45775662257</t>
  </si>
  <si>
    <t>FR89844179903</t>
  </si>
  <si>
    <t>FR38307166934</t>
  </si>
  <si>
    <t>FR93408825636</t>
  </si>
  <si>
    <t>FR23420559056</t>
  </si>
  <si>
    <t>FR54437507650</t>
  </si>
  <si>
    <t>FR01449877331</t>
  </si>
  <si>
    <t>FR08528977309</t>
  </si>
  <si>
    <t>FR87834424095</t>
  </si>
  <si>
    <t>FR69808608509</t>
  </si>
  <si>
    <t>FR11513674978</t>
  </si>
  <si>
    <t>FR35432623338</t>
  </si>
  <si>
    <t>FR52301351433</t>
  </si>
  <si>
    <t>FR27438924714</t>
  </si>
  <si>
    <t>FR20398156323</t>
  </si>
  <si>
    <t>FR92057505539</t>
  </si>
  <si>
    <t>FR68790126452</t>
  </si>
  <si>
    <t>FR40246000707</t>
  </si>
  <si>
    <t>FR48940198799</t>
  </si>
  <si>
    <t>FR70422928523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</si>
</sst>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64"/>
  <sheetViews>
    <sheetView tabSelected="1" topLeftCell="B175" workbookViewId="0">
      <selection activeCell="E1" sqref="E1:E1048576"/>
    </sheetView>
  </sheetViews>
  <sheetFormatPr baseColWidth="10" defaultColWidth="8.7265625" defaultRowHeight="14.5" x14ac:dyDescent="0.35"/>
  <cols>
    <col min="2" max="2" width="45.26953125" customWidth="1"/>
    <col min="3" max="4" width="23.08984375" customWidth="1"/>
    <col min="5" max="5" width="13.90625" bestFit="1" customWidth="1"/>
    <col min="8" max="8" width="11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5385</v>
      </c>
      <c r="E1" t="s">
        <v>6517</v>
      </c>
      <c r="F1" t="s">
        <v>3</v>
      </c>
      <c r="G1" t="s">
        <v>4</v>
      </c>
      <c r="H1" t="s">
        <v>5</v>
      </c>
    </row>
    <row r="2" spans="1:8" x14ac:dyDescent="0.35">
      <c r="A2" s="2" t="s">
        <v>6</v>
      </c>
      <c r="B2" s="2" t="s">
        <v>7</v>
      </c>
      <c r="C2" s="2" t="s">
        <v>8</v>
      </c>
      <c r="D2" t="s">
        <v>5386</v>
      </c>
      <c r="E2" t="e">
        <v>#VALUE!</v>
      </c>
      <c r="F2" t="s">
        <v>9</v>
      </c>
      <c r="G2" t="s">
        <v>0</v>
      </c>
      <c r="H2" s="1">
        <f>DATE(2023,6,20)</f>
        <v>45097</v>
      </c>
    </row>
    <row r="3" spans="1:8" x14ac:dyDescent="0.35">
      <c r="A3" s="2" t="s">
        <v>10</v>
      </c>
      <c r="B3" s="2" t="s">
        <v>11</v>
      </c>
      <c r="D3" t="s">
        <v>5387</v>
      </c>
      <c r="E3" t="e">
        <v>#VALUE!</v>
      </c>
      <c r="F3" t="s">
        <v>12</v>
      </c>
      <c r="G3" t="s">
        <v>0</v>
      </c>
      <c r="H3" s="1">
        <f>DATE(2022,11,3)</f>
        <v>44868</v>
      </c>
    </row>
    <row r="4" spans="1:8" x14ac:dyDescent="0.35">
      <c r="A4" s="2" t="s">
        <v>13</v>
      </c>
      <c r="B4" s="2" t="s">
        <v>14</v>
      </c>
      <c r="C4" s="2" t="s">
        <v>15</v>
      </c>
      <c r="D4" t="s">
        <v>5388</v>
      </c>
      <c r="E4" t="s">
        <v>6518</v>
      </c>
      <c r="F4" t="s">
        <v>12</v>
      </c>
      <c r="G4" t="s">
        <v>0</v>
      </c>
      <c r="H4" s="1">
        <f>DATE(2019,12,14)</f>
        <v>43813</v>
      </c>
    </row>
    <row r="5" spans="1:8" x14ac:dyDescent="0.35">
      <c r="A5" s="2" t="s">
        <v>16</v>
      </c>
      <c r="B5" s="2" t="s">
        <v>17</v>
      </c>
      <c r="D5" t="s">
        <v>5387</v>
      </c>
      <c r="E5" t="e">
        <v>#VALUE!</v>
      </c>
      <c r="F5" t="s">
        <v>12</v>
      </c>
      <c r="G5" t="s">
        <v>0</v>
      </c>
      <c r="H5" s="1">
        <f>DATE(2023,6,20)</f>
        <v>45097</v>
      </c>
    </row>
    <row r="6" spans="1:8" x14ac:dyDescent="0.35">
      <c r="A6" s="2" t="s">
        <v>18</v>
      </c>
      <c r="B6" s="2" t="s">
        <v>19</v>
      </c>
      <c r="D6" t="s">
        <v>5387</v>
      </c>
      <c r="E6" t="e">
        <v>#VALUE!</v>
      </c>
      <c r="F6" t="s">
        <v>12</v>
      </c>
      <c r="G6" t="s">
        <v>0</v>
      </c>
      <c r="H6" s="1">
        <f>DATE(2021,11,25)</f>
        <v>44525</v>
      </c>
    </row>
    <row r="7" spans="1:8" x14ac:dyDescent="0.35">
      <c r="A7" s="2" t="s">
        <v>20</v>
      </c>
      <c r="B7" s="2" t="s">
        <v>21</v>
      </c>
      <c r="C7" s="2" t="s">
        <v>22</v>
      </c>
      <c r="D7" t="s">
        <v>5389</v>
      </c>
      <c r="E7" t="s">
        <v>6519</v>
      </c>
      <c r="F7" t="s">
        <v>12</v>
      </c>
      <c r="G7" t="s">
        <v>0</v>
      </c>
      <c r="H7" s="1">
        <f>DATE(2022,10,20)</f>
        <v>44854</v>
      </c>
    </row>
    <row r="8" spans="1:8" x14ac:dyDescent="0.35">
      <c r="A8" s="2" t="s">
        <v>23</v>
      </c>
      <c r="B8" s="2" t="s">
        <v>24</v>
      </c>
      <c r="D8" t="s">
        <v>5387</v>
      </c>
      <c r="E8" t="e">
        <v>#VALUE!</v>
      </c>
      <c r="F8" t="s">
        <v>25</v>
      </c>
      <c r="G8" t="s">
        <v>0</v>
      </c>
      <c r="H8" s="1">
        <f>DATE(2020,4,27)</f>
        <v>43948</v>
      </c>
    </row>
    <row r="9" spans="1:8" x14ac:dyDescent="0.35">
      <c r="A9" s="2" t="s">
        <v>26</v>
      </c>
      <c r="B9" s="2" t="s">
        <v>27</v>
      </c>
      <c r="D9" t="s">
        <v>5387</v>
      </c>
      <c r="E9" t="e">
        <v>#VALUE!</v>
      </c>
      <c r="F9" t="s">
        <v>12</v>
      </c>
      <c r="G9" t="s">
        <v>0</v>
      </c>
      <c r="H9" s="1">
        <f>DATE(2023,6,20)</f>
        <v>45097</v>
      </c>
    </row>
    <row r="10" spans="1:8" x14ac:dyDescent="0.35">
      <c r="A10" s="2" t="s">
        <v>28</v>
      </c>
      <c r="B10" s="2" t="s">
        <v>29</v>
      </c>
      <c r="D10" t="s">
        <v>5387</v>
      </c>
      <c r="E10" t="e">
        <v>#VALUE!</v>
      </c>
      <c r="F10" t="s">
        <v>12</v>
      </c>
      <c r="G10" t="s">
        <v>0</v>
      </c>
      <c r="H10" s="1">
        <f>DATE(2021,11,30)</f>
        <v>44530</v>
      </c>
    </row>
    <row r="11" spans="1:8" x14ac:dyDescent="0.35">
      <c r="A11" s="2" t="s">
        <v>30</v>
      </c>
      <c r="B11" s="2" t="s">
        <v>31</v>
      </c>
      <c r="C11" s="2" t="s">
        <v>32</v>
      </c>
      <c r="D11" t="s">
        <v>5390</v>
      </c>
      <c r="E11" t="s">
        <v>6520</v>
      </c>
      <c r="F11" t="s">
        <v>12</v>
      </c>
      <c r="G11" t="s">
        <v>0</v>
      </c>
      <c r="H11" s="1">
        <f>DATE(2023,6,20)</f>
        <v>45097</v>
      </c>
    </row>
    <row r="12" spans="1:8" x14ac:dyDescent="0.35">
      <c r="A12" s="2" t="s">
        <v>33</v>
      </c>
      <c r="B12" s="2" t="s">
        <v>34</v>
      </c>
      <c r="C12" s="2" t="s">
        <v>35</v>
      </c>
      <c r="D12" t="s">
        <v>5391</v>
      </c>
      <c r="E12" t="s">
        <v>6521</v>
      </c>
      <c r="F12" t="s">
        <v>12</v>
      </c>
      <c r="G12" t="s">
        <v>0</v>
      </c>
      <c r="H12" s="1">
        <f>DATE(2023,6,8)</f>
        <v>45085</v>
      </c>
    </row>
    <row r="13" spans="1:8" x14ac:dyDescent="0.35">
      <c r="A13" s="2" t="s">
        <v>36</v>
      </c>
      <c r="B13" s="2" t="s">
        <v>37</v>
      </c>
      <c r="D13" t="s">
        <v>5387</v>
      </c>
      <c r="E13" t="e">
        <v>#VALUE!</v>
      </c>
      <c r="F13" t="s">
        <v>12</v>
      </c>
      <c r="G13" t="s">
        <v>0</v>
      </c>
      <c r="H13" s="1">
        <f>DATE(2020,10,12)</f>
        <v>44116</v>
      </c>
    </row>
    <row r="14" spans="1:8" x14ac:dyDescent="0.35">
      <c r="A14" s="2" t="s">
        <v>38</v>
      </c>
      <c r="B14" s="2" t="s">
        <v>39</v>
      </c>
      <c r="C14" s="2" t="s">
        <v>40</v>
      </c>
      <c r="D14" t="s">
        <v>5392</v>
      </c>
      <c r="E14" t="s">
        <v>6522</v>
      </c>
      <c r="F14" t="s">
        <v>12</v>
      </c>
      <c r="G14" t="s">
        <v>0</v>
      </c>
      <c r="H14" s="1">
        <f>DATE(2019,11,29)</f>
        <v>43798</v>
      </c>
    </row>
    <row r="15" spans="1:8" x14ac:dyDescent="0.35">
      <c r="A15" s="2" t="s">
        <v>41</v>
      </c>
      <c r="B15" s="2" t="s">
        <v>42</v>
      </c>
      <c r="D15" t="s">
        <v>5387</v>
      </c>
      <c r="E15" t="e">
        <v>#VALUE!</v>
      </c>
      <c r="F15" t="s">
        <v>12</v>
      </c>
      <c r="G15" t="s">
        <v>0</v>
      </c>
      <c r="H15" s="1">
        <f t="shared" ref="H15:H20" si="0">DATE(2023,6,20)</f>
        <v>45097</v>
      </c>
    </row>
    <row r="16" spans="1:8" x14ac:dyDescent="0.35">
      <c r="A16" s="2" t="s">
        <v>43</v>
      </c>
      <c r="B16" s="2" t="s">
        <v>44</v>
      </c>
      <c r="D16" t="s">
        <v>5387</v>
      </c>
      <c r="E16" t="e">
        <v>#VALUE!</v>
      </c>
      <c r="F16" t="s">
        <v>12</v>
      </c>
      <c r="G16" t="s">
        <v>0</v>
      </c>
      <c r="H16" s="1">
        <f t="shared" si="0"/>
        <v>45097</v>
      </c>
    </row>
    <row r="17" spans="1:8" x14ac:dyDescent="0.35">
      <c r="A17" s="2" t="s">
        <v>45</v>
      </c>
      <c r="B17" s="2" t="s">
        <v>46</v>
      </c>
      <c r="C17" s="2" t="s">
        <v>47</v>
      </c>
      <c r="D17" t="s">
        <v>5393</v>
      </c>
      <c r="E17" t="s">
        <v>6523</v>
      </c>
      <c r="F17" t="s">
        <v>12</v>
      </c>
      <c r="G17" t="s">
        <v>0</v>
      </c>
      <c r="H17" s="1">
        <f t="shared" si="0"/>
        <v>45097</v>
      </c>
    </row>
    <row r="18" spans="1:8" x14ac:dyDescent="0.35">
      <c r="A18" s="2" t="s">
        <v>48</v>
      </c>
      <c r="B18" s="2" t="s">
        <v>49</v>
      </c>
      <c r="D18" t="s">
        <v>5387</v>
      </c>
      <c r="E18" t="e">
        <v>#VALUE!</v>
      </c>
      <c r="F18" t="s">
        <v>50</v>
      </c>
      <c r="G18" t="s">
        <v>0</v>
      </c>
      <c r="H18" s="1">
        <f t="shared" si="0"/>
        <v>45097</v>
      </c>
    </row>
    <row r="19" spans="1:8" x14ac:dyDescent="0.35">
      <c r="A19" s="2" t="s">
        <v>51</v>
      </c>
      <c r="B19" s="2" t="s">
        <v>52</v>
      </c>
      <c r="D19" t="s">
        <v>5387</v>
      </c>
      <c r="E19" t="e">
        <v>#VALUE!</v>
      </c>
      <c r="F19" t="s">
        <v>50</v>
      </c>
      <c r="G19" t="s">
        <v>0</v>
      </c>
      <c r="H19" s="1">
        <f t="shared" si="0"/>
        <v>45097</v>
      </c>
    </row>
    <row r="20" spans="1:8" x14ac:dyDescent="0.35">
      <c r="A20" s="2" t="s">
        <v>53</v>
      </c>
      <c r="B20" s="2" t="s">
        <v>54</v>
      </c>
      <c r="D20" t="s">
        <v>5387</v>
      </c>
      <c r="E20" t="e">
        <v>#VALUE!</v>
      </c>
      <c r="F20" t="s">
        <v>12</v>
      </c>
      <c r="G20" t="s">
        <v>0</v>
      </c>
      <c r="H20" s="1">
        <f t="shared" si="0"/>
        <v>45097</v>
      </c>
    </row>
    <row r="21" spans="1:8" x14ac:dyDescent="0.35">
      <c r="A21" s="2" t="s">
        <v>55</v>
      </c>
      <c r="B21" s="2" t="s">
        <v>56</v>
      </c>
      <c r="D21" t="s">
        <v>5387</v>
      </c>
      <c r="E21" t="e">
        <v>#VALUE!</v>
      </c>
      <c r="F21" t="s">
        <v>9</v>
      </c>
      <c r="G21" t="s">
        <v>0</v>
      </c>
      <c r="H21" s="1">
        <f>DATE(2020,6,9)</f>
        <v>43991</v>
      </c>
    </row>
    <row r="22" spans="1:8" x14ac:dyDescent="0.35">
      <c r="A22" s="2" t="s">
        <v>57</v>
      </c>
      <c r="B22" s="2" t="s">
        <v>58</v>
      </c>
      <c r="C22" s="2" t="s">
        <v>59</v>
      </c>
      <c r="D22" t="s">
        <v>5394</v>
      </c>
      <c r="E22" t="s">
        <v>6524</v>
      </c>
      <c r="F22" t="s">
        <v>12</v>
      </c>
      <c r="G22" t="s">
        <v>0</v>
      </c>
      <c r="H22" s="1">
        <f>DATE(2023,6,20)</f>
        <v>45097</v>
      </c>
    </row>
    <row r="23" spans="1:8" x14ac:dyDescent="0.35">
      <c r="A23" s="2" t="s">
        <v>60</v>
      </c>
      <c r="B23" s="2" t="s">
        <v>61</v>
      </c>
      <c r="D23" t="s">
        <v>5387</v>
      </c>
      <c r="E23" t="e">
        <v>#VALUE!</v>
      </c>
      <c r="F23" t="s">
        <v>12</v>
      </c>
      <c r="G23" t="s">
        <v>0</v>
      </c>
      <c r="H23" s="1">
        <f>DATE(2020,6,12)</f>
        <v>43994</v>
      </c>
    </row>
    <row r="24" spans="1:8" x14ac:dyDescent="0.35">
      <c r="A24" s="2" t="s">
        <v>62</v>
      </c>
      <c r="B24" s="2" t="s">
        <v>63</v>
      </c>
      <c r="D24" t="s">
        <v>5387</v>
      </c>
      <c r="E24" t="e">
        <v>#VALUE!</v>
      </c>
      <c r="F24" t="s">
        <v>12</v>
      </c>
      <c r="G24" t="s">
        <v>0</v>
      </c>
      <c r="H24" s="1">
        <f>DATE(2023,6,20)</f>
        <v>45097</v>
      </c>
    </row>
    <row r="25" spans="1:8" x14ac:dyDescent="0.35">
      <c r="A25" s="2" t="s">
        <v>64</v>
      </c>
      <c r="B25" s="2" t="s">
        <v>65</v>
      </c>
      <c r="D25" t="s">
        <v>5387</v>
      </c>
      <c r="E25" t="e">
        <v>#VALUE!</v>
      </c>
      <c r="F25" t="s">
        <v>12</v>
      </c>
      <c r="G25" t="s">
        <v>0</v>
      </c>
      <c r="H25" s="1">
        <f>DATE(2023,8,2)</f>
        <v>45140</v>
      </c>
    </row>
    <row r="26" spans="1:8" x14ac:dyDescent="0.35">
      <c r="A26" s="2" t="s">
        <v>66</v>
      </c>
      <c r="B26" s="2" t="s">
        <v>67</v>
      </c>
      <c r="C26" s="2" t="s">
        <v>68</v>
      </c>
      <c r="D26" t="s">
        <v>5395</v>
      </c>
      <c r="E26" t="s">
        <v>6525</v>
      </c>
      <c r="F26" t="s">
        <v>12</v>
      </c>
      <c r="G26" t="s">
        <v>0</v>
      </c>
      <c r="H26" s="1">
        <f>DATE(2022,11,3)</f>
        <v>44868</v>
      </c>
    </row>
    <row r="27" spans="1:8" x14ac:dyDescent="0.35">
      <c r="A27" s="2" t="s">
        <v>69</v>
      </c>
      <c r="B27" s="2" t="s">
        <v>70</v>
      </c>
      <c r="C27" s="2" t="s">
        <v>71</v>
      </c>
      <c r="D27" t="s">
        <v>5396</v>
      </c>
      <c r="E27" t="s">
        <v>6526</v>
      </c>
      <c r="F27" t="s">
        <v>12</v>
      </c>
      <c r="G27" t="s">
        <v>0</v>
      </c>
      <c r="H27" s="1">
        <f>DATE(2022,6,14)</f>
        <v>44726</v>
      </c>
    </row>
    <row r="28" spans="1:8" x14ac:dyDescent="0.35">
      <c r="A28" s="2" t="s">
        <v>72</v>
      </c>
      <c r="B28" s="2" t="s">
        <v>73</v>
      </c>
      <c r="C28" s="2" t="s">
        <v>74</v>
      </c>
      <c r="D28" t="s">
        <v>5397</v>
      </c>
      <c r="E28" t="s">
        <v>6527</v>
      </c>
      <c r="F28" t="s">
        <v>12</v>
      </c>
      <c r="G28" t="s">
        <v>0</v>
      </c>
      <c r="H28" s="1">
        <f>DATE(2020,11,5)</f>
        <v>44140</v>
      </c>
    </row>
    <row r="29" spans="1:8" x14ac:dyDescent="0.35">
      <c r="A29" s="2" t="s">
        <v>75</v>
      </c>
      <c r="B29" s="2" t="s">
        <v>76</v>
      </c>
      <c r="C29" s="2" t="s">
        <v>77</v>
      </c>
      <c r="D29" t="s">
        <v>5398</v>
      </c>
      <c r="E29" t="s">
        <v>6528</v>
      </c>
      <c r="F29" t="s">
        <v>12</v>
      </c>
      <c r="G29" t="s">
        <v>0</v>
      </c>
      <c r="H29" s="1">
        <f>DATE(2023,9,15)</f>
        <v>45184</v>
      </c>
    </row>
    <row r="30" spans="1:8" x14ac:dyDescent="0.35">
      <c r="A30" s="2" t="s">
        <v>78</v>
      </c>
      <c r="B30" s="2" t="s">
        <v>79</v>
      </c>
      <c r="C30" s="2" t="s">
        <v>80</v>
      </c>
      <c r="D30" t="s">
        <v>5399</v>
      </c>
      <c r="E30" t="s">
        <v>6529</v>
      </c>
      <c r="F30" t="s">
        <v>12</v>
      </c>
      <c r="G30" t="s">
        <v>0</v>
      </c>
      <c r="H30" s="1">
        <f>DATE(2022,12,20)</f>
        <v>44915</v>
      </c>
    </row>
    <row r="31" spans="1:8" x14ac:dyDescent="0.35">
      <c r="A31" s="2" t="s">
        <v>81</v>
      </c>
      <c r="B31" s="2" t="s">
        <v>82</v>
      </c>
      <c r="D31" t="s">
        <v>5387</v>
      </c>
      <c r="E31" t="e">
        <v>#VALUE!</v>
      </c>
      <c r="F31" t="s">
        <v>12</v>
      </c>
      <c r="G31" t="s">
        <v>0</v>
      </c>
      <c r="H31" s="1">
        <f>DATE(2022,8,26)</f>
        <v>44799</v>
      </c>
    </row>
    <row r="32" spans="1:8" x14ac:dyDescent="0.35">
      <c r="A32" s="2" t="s">
        <v>83</v>
      </c>
      <c r="B32" s="2" t="s">
        <v>84</v>
      </c>
      <c r="C32" s="2" t="s">
        <v>85</v>
      </c>
      <c r="D32" t="s">
        <v>5400</v>
      </c>
      <c r="E32" t="s">
        <v>6530</v>
      </c>
      <c r="F32" t="s">
        <v>12</v>
      </c>
      <c r="G32" t="s">
        <v>0</v>
      </c>
      <c r="H32" s="1">
        <f>DATE(2021,11,18)</f>
        <v>44518</v>
      </c>
    </row>
    <row r="33" spans="1:8" x14ac:dyDescent="0.35">
      <c r="A33" s="2" t="s">
        <v>86</v>
      </c>
      <c r="B33" s="2" t="s">
        <v>87</v>
      </c>
      <c r="D33" t="s">
        <v>5387</v>
      </c>
      <c r="E33" t="e">
        <v>#VALUE!</v>
      </c>
      <c r="F33" t="s">
        <v>12</v>
      </c>
      <c r="G33" t="s">
        <v>0</v>
      </c>
      <c r="H33" s="1">
        <f>DATE(2022,11,3)</f>
        <v>44868</v>
      </c>
    </row>
    <row r="34" spans="1:8" x14ac:dyDescent="0.35">
      <c r="A34" s="2" t="s">
        <v>88</v>
      </c>
      <c r="B34" s="2" t="s">
        <v>89</v>
      </c>
      <c r="D34" t="s">
        <v>5387</v>
      </c>
      <c r="E34" t="e">
        <v>#VALUE!</v>
      </c>
      <c r="F34" t="s">
        <v>12</v>
      </c>
      <c r="G34" t="s">
        <v>0</v>
      </c>
      <c r="H34" s="1">
        <f>DATE(2022,5,31)</f>
        <v>44712</v>
      </c>
    </row>
    <row r="35" spans="1:8" x14ac:dyDescent="0.35">
      <c r="A35" s="2" t="s">
        <v>90</v>
      </c>
      <c r="B35" s="2" t="s">
        <v>91</v>
      </c>
      <c r="D35" t="s">
        <v>5387</v>
      </c>
      <c r="E35" t="e">
        <v>#VALUE!</v>
      </c>
      <c r="F35" t="s">
        <v>12</v>
      </c>
      <c r="G35" t="s">
        <v>0</v>
      </c>
      <c r="H35" s="1">
        <f>DATE(2020,6,21)</f>
        <v>44003</v>
      </c>
    </row>
    <row r="36" spans="1:8" x14ac:dyDescent="0.35">
      <c r="A36" s="2" t="s">
        <v>92</v>
      </c>
      <c r="B36" s="2" t="s">
        <v>93</v>
      </c>
      <c r="D36" t="s">
        <v>5387</v>
      </c>
      <c r="E36" t="e">
        <v>#VALUE!</v>
      </c>
      <c r="F36" t="s">
        <v>12</v>
      </c>
      <c r="G36" t="s">
        <v>0</v>
      </c>
      <c r="H36" s="1">
        <f>DATE(2023,7,6)</f>
        <v>45113</v>
      </c>
    </row>
    <row r="37" spans="1:8" x14ac:dyDescent="0.35">
      <c r="A37" s="2" t="s">
        <v>94</v>
      </c>
      <c r="B37" s="2" t="s">
        <v>95</v>
      </c>
      <c r="D37" t="s">
        <v>5387</v>
      </c>
      <c r="E37" t="e">
        <v>#VALUE!</v>
      </c>
      <c r="F37" t="s">
        <v>12</v>
      </c>
      <c r="G37" t="s">
        <v>0</v>
      </c>
      <c r="H37" s="1">
        <f>DATE(2019,11,27)</f>
        <v>43796</v>
      </c>
    </row>
    <row r="38" spans="1:8" x14ac:dyDescent="0.35">
      <c r="A38" s="2" t="s">
        <v>96</v>
      </c>
      <c r="B38" s="2" t="s">
        <v>97</v>
      </c>
      <c r="D38" t="s">
        <v>5387</v>
      </c>
      <c r="E38" t="e">
        <v>#VALUE!</v>
      </c>
      <c r="F38" t="s">
        <v>12</v>
      </c>
      <c r="G38" t="s">
        <v>0</v>
      </c>
      <c r="H38" s="1">
        <f>DATE(2023,11,9)</f>
        <v>45239</v>
      </c>
    </row>
    <row r="39" spans="1:8" x14ac:dyDescent="0.35">
      <c r="A39" s="2" t="s">
        <v>98</v>
      </c>
      <c r="B39" s="2" t="s">
        <v>99</v>
      </c>
      <c r="C39" s="2" t="s">
        <v>100</v>
      </c>
      <c r="D39" t="s">
        <v>5401</v>
      </c>
      <c r="E39" t="s">
        <v>6531</v>
      </c>
      <c r="F39" t="s">
        <v>12</v>
      </c>
      <c r="G39" t="s">
        <v>0</v>
      </c>
      <c r="H39" s="1">
        <f>DATE(2022,5,31)</f>
        <v>44712</v>
      </c>
    </row>
    <row r="40" spans="1:8" x14ac:dyDescent="0.35">
      <c r="A40" s="2" t="s">
        <v>101</v>
      </c>
      <c r="B40" s="2" t="s">
        <v>102</v>
      </c>
      <c r="C40" s="2" t="s">
        <v>103</v>
      </c>
      <c r="D40" t="s">
        <v>5402</v>
      </c>
      <c r="E40" t="s">
        <v>6532</v>
      </c>
      <c r="F40" t="s">
        <v>12</v>
      </c>
      <c r="G40" t="s">
        <v>0</v>
      </c>
      <c r="H40" s="1">
        <f>DATE(2021,3,8)</f>
        <v>44263</v>
      </c>
    </row>
    <row r="41" spans="1:8" x14ac:dyDescent="0.35">
      <c r="A41" s="2" t="s">
        <v>104</v>
      </c>
      <c r="B41" s="2" t="s">
        <v>105</v>
      </c>
      <c r="C41" s="2" t="s">
        <v>106</v>
      </c>
      <c r="D41" t="s">
        <v>5403</v>
      </c>
      <c r="E41" t="s">
        <v>6533</v>
      </c>
      <c r="F41" t="s">
        <v>12</v>
      </c>
      <c r="G41" t="s">
        <v>0</v>
      </c>
      <c r="H41" s="1">
        <f>DATE(2020,1,9)</f>
        <v>43839</v>
      </c>
    </row>
    <row r="42" spans="1:8" x14ac:dyDescent="0.35">
      <c r="A42" s="2" t="s">
        <v>107</v>
      </c>
      <c r="B42" s="2" t="s">
        <v>108</v>
      </c>
      <c r="D42" t="s">
        <v>5387</v>
      </c>
      <c r="E42" t="e">
        <v>#VALUE!</v>
      </c>
      <c r="F42" t="s">
        <v>12</v>
      </c>
      <c r="G42" t="s">
        <v>0</v>
      </c>
      <c r="H42" s="1">
        <f>DATE(2021,1,8)</f>
        <v>44204</v>
      </c>
    </row>
    <row r="43" spans="1:8" x14ac:dyDescent="0.35">
      <c r="A43" s="2" t="s">
        <v>109</v>
      </c>
      <c r="B43" s="2" t="s">
        <v>110</v>
      </c>
      <c r="D43" t="s">
        <v>5387</v>
      </c>
      <c r="E43" t="e">
        <v>#VALUE!</v>
      </c>
      <c r="F43" t="s">
        <v>12</v>
      </c>
      <c r="G43" t="s">
        <v>0</v>
      </c>
      <c r="H43" s="1">
        <f>DATE(2022,6,3)</f>
        <v>44715</v>
      </c>
    </row>
    <row r="44" spans="1:8" x14ac:dyDescent="0.35">
      <c r="A44" s="2" t="s">
        <v>111</v>
      </c>
      <c r="B44" s="2" t="s">
        <v>112</v>
      </c>
      <c r="C44" s="2" t="s">
        <v>113</v>
      </c>
      <c r="D44" t="s">
        <v>5404</v>
      </c>
      <c r="E44" t="s">
        <v>6534</v>
      </c>
      <c r="F44" t="s">
        <v>12</v>
      </c>
      <c r="G44" t="s">
        <v>0</v>
      </c>
      <c r="H44" s="1">
        <f>DATE(2021,1,29)</f>
        <v>44225</v>
      </c>
    </row>
    <row r="45" spans="1:8" x14ac:dyDescent="0.35">
      <c r="A45" s="2" t="s">
        <v>114</v>
      </c>
      <c r="B45" s="2" t="s">
        <v>115</v>
      </c>
      <c r="D45" t="s">
        <v>5387</v>
      </c>
      <c r="E45" t="e">
        <v>#VALUE!</v>
      </c>
      <c r="F45" t="s">
        <v>12</v>
      </c>
      <c r="G45" t="s">
        <v>0</v>
      </c>
      <c r="H45" s="1">
        <f>DATE(2023,6,20)</f>
        <v>45097</v>
      </c>
    </row>
    <row r="46" spans="1:8" x14ac:dyDescent="0.35">
      <c r="A46" s="2" t="s">
        <v>116</v>
      </c>
      <c r="B46" s="2" t="s">
        <v>117</v>
      </c>
      <c r="D46" t="s">
        <v>5387</v>
      </c>
      <c r="E46" t="e">
        <v>#VALUE!</v>
      </c>
      <c r="F46" t="s">
        <v>12</v>
      </c>
      <c r="G46" t="s">
        <v>0</v>
      </c>
      <c r="H46" s="1">
        <f>DATE(2023,6,8)</f>
        <v>45085</v>
      </c>
    </row>
    <row r="47" spans="1:8" x14ac:dyDescent="0.35">
      <c r="A47" s="2" t="s">
        <v>118</v>
      </c>
      <c r="B47" s="2" t="s">
        <v>119</v>
      </c>
      <c r="D47" t="s">
        <v>5387</v>
      </c>
      <c r="E47" t="e">
        <v>#VALUE!</v>
      </c>
      <c r="F47" t="s">
        <v>12</v>
      </c>
      <c r="G47" t="s">
        <v>0</v>
      </c>
      <c r="H47" s="1">
        <f>DATE(2022,11,3)</f>
        <v>44868</v>
      </c>
    </row>
    <row r="48" spans="1:8" x14ac:dyDescent="0.35">
      <c r="A48" s="2" t="s">
        <v>120</v>
      </c>
      <c r="B48" s="2" t="s">
        <v>121</v>
      </c>
      <c r="D48" t="s">
        <v>5387</v>
      </c>
      <c r="E48" t="e">
        <v>#VALUE!</v>
      </c>
      <c r="F48" t="s">
        <v>12</v>
      </c>
      <c r="G48" t="s">
        <v>0</v>
      </c>
      <c r="H48" s="1">
        <f>DATE(2023,6,20)</f>
        <v>45097</v>
      </c>
    </row>
    <row r="49" spans="1:8" x14ac:dyDescent="0.35">
      <c r="A49" s="2" t="s">
        <v>122</v>
      </c>
      <c r="B49" s="2" t="s">
        <v>123</v>
      </c>
      <c r="D49" t="s">
        <v>5387</v>
      </c>
      <c r="E49" t="e">
        <v>#VALUE!</v>
      </c>
      <c r="F49" t="s">
        <v>12</v>
      </c>
      <c r="G49" t="s">
        <v>0</v>
      </c>
      <c r="H49" s="1">
        <f>DATE(2020,1,23)</f>
        <v>43853</v>
      </c>
    </row>
    <row r="50" spans="1:8" x14ac:dyDescent="0.35">
      <c r="A50" s="2" t="s">
        <v>124</v>
      </c>
      <c r="B50" s="2" t="s">
        <v>125</v>
      </c>
      <c r="D50" t="s">
        <v>5387</v>
      </c>
      <c r="E50" t="e">
        <v>#VALUE!</v>
      </c>
      <c r="F50" t="s">
        <v>12</v>
      </c>
      <c r="G50" t="s">
        <v>0</v>
      </c>
      <c r="H50" s="1">
        <f>DATE(2020,1,10)</f>
        <v>43840</v>
      </c>
    </row>
    <row r="51" spans="1:8" x14ac:dyDescent="0.35">
      <c r="A51" s="2" t="s">
        <v>126</v>
      </c>
      <c r="B51" s="2" t="s">
        <v>127</v>
      </c>
      <c r="D51" t="s">
        <v>5387</v>
      </c>
      <c r="E51" t="e">
        <v>#VALUE!</v>
      </c>
      <c r="F51" t="s">
        <v>12</v>
      </c>
      <c r="G51" t="s">
        <v>0</v>
      </c>
      <c r="H51" s="1">
        <f>DATE(2020,1,17)</f>
        <v>43847</v>
      </c>
    </row>
    <row r="52" spans="1:8" x14ac:dyDescent="0.35">
      <c r="A52" s="2" t="s">
        <v>128</v>
      </c>
      <c r="B52" s="2" t="s">
        <v>129</v>
      </c>
      <c r="D52" t="s">
        <v>5387</v>
      </c>
      <c r="E52" t="e">
        <v>#VALUE!</v>
      </c>
      <c r="F52" t="s">
        <v>12</v>
      </c>
      <c r="G52" t="s">
        <v>0</v>
      </c>
      <c r="H52" s="1">
        <f>DATE(2020,1,17)</f>
        <v>43847</v>
      </c>
    </row>
    <row r="53" spans="1:8" x14ac:dyDescent="0.35">
      <c r="A53" s="2" t="s">
        <v>130</v>
      </c>
      <c r="B53" s="2" t="s">
        <v>131</v>
      </c>
      <c r="D53" t="s">
        <v>5387</v>
      </c>
      <c r="E53" t="e">
        <v>#VALUE!</v>
      </c>
      <c r="F53" t="s">
        <v>12</v>
      </c>
      <c r="G53" t="s">
        <v>0</v>
      </c>
      <c r="H53" s="1">
        <f>DATE(2019,11,27)</f>
        <v>43796</v>
      </c>
    </row>
    <row r="54" spans="1:8" x14ac:dyDescent="0.35">
      <c r="A54" s="2" t="s">
        <v>132</v>
      </c>
      <c r="B54" s="2" t="s">
        <v>133</v>
      </c>
      <c r="D54" t="s">
        <v>5387</v>
      </c>
      <c r="E54" t="e">
        <v>#VALUE!</v>
      </c>
      <c r="F54" t="s">
        <v>12</v>
      </c>
      <c r="G54" t="s">
        <v>0</v>
      </c>
      <c r="H54" s="1">
        <f>DATE(2020,7,1)</f>
        <v>44013</v>
      </c>
    </row>
    <row r="55" spans="1:8" x14ac:dyDescent="0.35">
      <c r="A55" s="2" t="s">
        <v>134</v>
      </c>
      <c r="B55" s="2" t="s">
        <v>135</v>
      </c>
      <c r="C55" s="2" t="s">
        <v>136</v>
      </c>
      <c r="D55" t="s">
        <v>5405</v>
      </c>
      <c r="E55" t="s">
        <v>6535</v>
      </c>
      <c r="F55" t="s">
        <v>12</v>
      </c>
      <c r="G55" t="s">
        <v>0</v>
      </c>
      <c r="H55" s="1">
        <f>DATE(2023,12,26)</f>
        <v>45286</v>
      </c>
    </row>
    <row r="56" spans="1:8" x14ac:dyDescent="0.35">
      <c r="A56" s="2" t="s">
        <v>137</v>
      </c>
      <c r="B56" s="2" t="s">
        <v>138</v>
      </c>
      <c r="C56" s="2" t="s">
        <v>139</v>
      </c>
      <c r="D56" t="s">
        <v>5406</v>
      </c>
      <c r="E56" t="s">
        <v>6536</v>
      </c>
      <c r="F56" t="s">
        <v>12</v>
      </c>
      <c r="G56" t="s">
        <v>0</v>
      </c>
      <c r="H56" s="1">
        <f>DATE(2021,12,16)</f>
        <v>44546</v>
      </c>
    </row>
    <row r="57" spans="1:8" x14ac:dyDescent="0.35">
      <c r="A57" s="2" t="s">
        <v>140</v>
      </c>
      <c r="B57" s="2" t="s">
        <v>141</v>
      </c>
      <c r="D57" t="s">
        <v>5387</v>
      </c>
      <c r="E57" t="e">
        <v>#VALUE!</v>
      </c>
      <c r="F57" t="s">
        <v>12</v>
      </c>
      <c r="G57" t="s">
        <v>0</v>
      </c>
      <c r="H57" s="1">
        <f>DATE(2023,10,6)</f>
        <v>45205</v>
      </c>
    </row>
    <row r="58" spans="1:8" x14ac:dyDescent="0.35">
      <c r="A58" s="2" t="s">
        <v>142</v>
      </c>
      <c r="B58" s="2" t="s">
        <v>143</v>
      </c>
      <c r="D58" t="s">
        <v>5387</v>
      </c>
      <c r="E58" t="e">
        <v>#VALUE!</v>
      </c>
      <c r="F58" t="s">
        <v>12</v>
      </c>
      <c r="G58" t="s">
        <v>0</v>
      </c>
      <c r="H58" s="1">
        <f>DATE(2022,5,24)</f>
        <v>44705</v>
      </c>
    </row>
    <row r="59" spans="1:8" x14ac:dyDescent="0.35">
      <c r="A59" s="2" t="s">
        <v>144</v>
      </c>
      <c r="B59" s="2" t="s">
        <v>145</v>
      </c>
      <c r="D59" t="s">
        <v>5387</v>
      </c>
      <c r="E59" t="e">
        <v>#VALUE!</v>
      </c>
      <c r="F59" t="s">
        <v>12</v>
      </c>
      <c r="G59" t="s">
        <v>0</v>
      </c>
      <c r="H59" s="1">
        <f>DATE(2020,7,22)</f>
        <v>44034</v>
      </c>
    </row>
    <row r="60" spans="1:8" x14ac:dyDescent="0.35">
      <c r="A60" s="2" t="s">
        <v>146</v>
      </c>
      <c r="B60" s="2" t="s">
        <v>147</v>
      </c>
      <c r="C60" s="2" t="s">
        <v>148</v>
      </c>
      <c r="D60" t="s">
        <v>5407</v>
      </c>
      <c r="E60" t="s">
        <v>6537</v>
      </c>
      <c r="F60" t="s">
        <v>12</v>
      </c>
      <c r="G60" t="s">
        <v>0</v>
      </c>
      <c r="H60" s="1">
        <f>DATE(2023,6,22)</f>
        <v>45099</v>
      </c>
    </row>
    <row r="61" spans="1:8" x14ac:dyDescent="0.35">
      <c r="A61" s="2" t="s">
        <v>149</v>
      </c>
      <c r="B61" s="2" t="s">
        <v>150</v>
      </c>
      <c r="C61" s="2" t="s">
        <v>151</v>
      </c>
      <c r="D61" t="s">
        <v>5408</v>
      </c>
      <c r="E61" t="s">
        <v>6538</v>
      </c>
      <c r="F61" t="s">
        <v>12</v>
      </c>
      <c r="G61" t="s">
        <v>0</v>
      </c>
      <c r="H61" s="1">
        <f>DATE(2022,4,4)</f>
        <v>44655</v>
      </c>
    </row>
    <row r="62" spans="1:8" x14ac:dyDescent="0.35">
      <c r="A62" s="2" t="s">
        <v>152</v>
      </c>
      <c r="B62" s="2" t="s">
        <v>153</v>
      </c>
      <c r="D62" t="s">
        <v>5387</v>
      </c>
      <c r="E62" t="e">
        <v>#VALUE!</v>
      </c>
      <c r="F62" t="s">
        <v>12</v>
      </c>
      <c r="G62" t="s">
        <v>0</v>
      </c>
      <c r="H62" s="1">
        <f>DATE(2020,9,1)</f>
        <v>44075</v>
      </c>
    </row>
    <row r="63" spans="1:8" x14ac:dyDescent="0.35">
      <c r="A63" s="2" t="s">
        <v>154</v>
      </c>
      <c r="B63" s="2" t="s">
        <v>155</v>
      </c>
      <c r="C63" s="2" t="s">
        <v>156</v>
      </c>
      <c r="D63" t="s">
        <v>5409</v>
      </c>
      <c r="E63" t="s">
        <v>6539</v>
      </c>
      <c r="F63" t="s">
        <v>12</v>
      </c>
      <c r="G63" t="s">
        <v>0</v>
      </c>
      <c r="H63" s="1">
        <f>DATE(2023,1,5)</f>
        <v>44931</v>
      </c>
    </row>
    <row r="64" spans="1:8" x14ac:dyDescent="0.35">
      <c r="A64" s="2" t="s">
        <v>157</v>
      </c>
      <c r="B64" s="2" t="s">
        <v>158</v>
      </c>
      <c r="D64" t="s">
        <v>5387</v>
      </c>
      <c r="E64" t="e">
        <v>#VALUE!</v>
      </c>
      <c r="F64" t="s">
        <v>12</v>
      </c>
      <c r="G64" t="s">
        <v>0</v>
      </c>
      <c r="H64" s="1">
        <f>DATE(2020,9,18)</f>
        <v>44092</v>
      </c>
    </row>
    <row r="65" spans="1:8" x14ac:dyDescent="0.35">
      <c r="A65" s="2" t="s">
        <v>159</v>
      </c>
      <c r="B65" s="2" t="s">
        <v>160</v>
      </c>
      <c r="C65" s="2" t="s">
        <v>161</v>
      </c>
      <c r="D65" t="s">
        <v>5410</v>
      </c>
      <c r="E65" t="s">
        <v>6540</v>
      </c>
      <c r="F65" t="s">
        <v>12</v>
      </c>
      <c r="G65" t="s">
        <v>0</v>
      </c>
      <c r="H65" s="1">
        <f>DATE(2020,10,2)</f>
        <v>44106</v>
      </c>
    </row>
    <row r="66" spans="1:8" x14ac:dyDescent="0.35">
      <c r="A66" s="2" t="s">
        <v>162</v>
      </c>
      <c r="B66" s="2" t="s">
        <v>163</v>
      </c>
      <c r="C66" s="2" t="s">
        <v>164</v>
      </c>
      <c r="D66" t="s">
        <v>5411</v>
      </c>
      <c r="E66" t="s">
        <v>6541</v>
      </c>
      <c r="F66" t="s">
        <v>12</v>
      </c>
      <c r="G66" t="s">
        <v>0</v>
      </c>
      <c r="H66" s="1">
        <f>DATE(2020,10,2)</f>
        <v>44106</v>
      </c>
    </row>
    <row r="67" spans="1:8" x14ac:dyDescent="0.35">
      <c r="A67" s="2" t="s">
        <v>165</v>
      </c>
      <c r="B67" s="2" t="s">
        <v>166</v>
      </c>
      <c r="C67" s="2" t="s">
        <v>167</v>
      </c>
      <c r="D67" t="s">
        <v>5412</v>
      </c>
      <c r="E67" t="s">
        <v>6542</v>
      </c>
      <c r="F67" t="s">
        <v>12</v>
      </c>
      <c r="G67" t="s">
        <v>0</v>
      </c>
      <c r="H67" s="1">
        <f>DATE(2021,9,9)</f>
        <v>44448</v>
      </c>
    </row>
    <row r="68" spans="1:8" x14ac:dyDescent="0.35">
      <c r="A68" s="2" t="s">
        <v>168</v>
      </c>
      <c r="B68" s="2" t="s">
        <v>169</v>
      </c>
      <c r="C68" s="2" t="s">
        <v>170</v>
      </c>
      <c r="D68" t="s">
        <v>5413</v>
      </c>
      <c r="E68" t="s">
        <v>6543</v>
      </c>
      <c r="F68" t="s">
        <v>12</v>
      </c>
      <c r="G68" t="s">
        <v>0</v>
      </c>
      <c r="H68" s="1">
        <f>DATE(2022,1,24)</f>
        <v>44585</v>
      </c>
    </row>
    <row r="69" spans="1:8" x14ac:dyDescent="0.35">
      <c r="A69" s="2" t="s">
        <v>171</v>
      </c>
      <c r="B69" s="2" t="s">
        <v>172</v>
      </c>
      <c r="D69" t="s">
        <v>5387</v>
      </c>
      <c r="E69" t="e">
        <v>#VALUE!</v>
      </c>
      <c r="F69" t="s">
        <v>12</v>
      </c>
      <c r="G69" t="s">
        <v>0</v>
      </c>
      <c r="H69" s="1">
        <f>DATE(2022,6,14)</f>
        <v>44726</v>
      </c>
    </row>
    <row r="70" spans="1:8" x14ac:dyDescent="0.35">
      <c r="A70" s="2" t="s">
        <v>173</v>
      </c>
      <c r="B70" s="2" t="s">
        <v>174</v>
      </c>
      <c r="C70" s="2" t="s">
        <v>175</v>
      </c>
      <c r="D70" t="s">
        <v>5414</v>
      </c>
      <c r="E70" t="s">
        <v>6544</v>
      </c>
      <c r="F70" t="s">
        <v>12</v>
      </c>
      <c r="G70" t="s">
        <v>0</v>
      </c>
      <c r="H70" s="1">
        <f>DATE(2020,10,7)</f>
        <v>44111</v>
      </c>
    </row>
    <row r="71" spans="1:8" x14ac:dyDescent="0.35">
      <c r="A71" s="2" t="s">
        <v>176</v>
      </c>
      <c r="B71" s="2" t="s">
        <v>177</v>
      </c>
      <c r="D71" t="s">
        <v>5387</v>
      </c>
      <c r="E71" t="e">
        <v>#VALUE!</v>
      </c>
      <c r="F71" t="s">
        <v>12</v>
      </c>
      <c r="G71" t="s">
        <v>0</v>
      </c>
      <c r="H71" s="1">
        <f>DATE(2023,2,1)</f>
        <v>44958</v>
      </c>
    </row>
    <row r="72" spans="1:8" x14ac:dyDescent="0.35">
      <c r="A72" s="2" t="s">
        <v>178</v>
      </c>
      <c r="B72" s="2" t="s">
        <v>179</v>
      </c>
      <c r="D72" t="s">
        <v>5387</v>
      </c>
      <c r="E72" t="e">
        <v>#VALUE!</v>
      </c>
      <c r="F72" t="s">
        <v>12</v>
      </c>
      <c r="G72" t="s">
        <v>0</v>
      </c>
      <c r="H72" s="1">
        <f>DATE(2021,6,30)</f>
        <v>44377</v>
      </c>
    </row>
    <row r="73" spans="1:8" x14ac:dyDescent="0.35">
      <c r="A73" s="2" t="s">
        <v>180</v>
      </c>
      <c r="B73" s="2" t="s">
        <v>181</v>
      </c>
      <c r="C73" s="2" t="s">
        <v>182</v>
      </c>
      <c r="D73" t="s">
        <v>5415</v>
      </c>
      <c r="E73" t="s">
        <v>6545</v>
      </c>
      <c r="F73" t="s">
        <v>12</v>
      </c>
      <c r="G73" t="s">
        <v>0</v>
      </c>
      <c r="H73" s="1">
        <f>DATE(2020,10,16)</f>
        <v>44120</v>
      </c>
    </row>
    <row r="74" spans="1:8" x14ac:dyDescent="0.35">
      <c r="A74" s="2" t="s">
        <v>183</v>
      </c>
      <c r="B74" s="2" t="s">
        <v>181</v>
      </c>
      <c r="C74" s="2" t="s">
        <v>184</v>
      </c>
      <c r="D74" t="s">
        <v>5415</v>
      </c>
      <c r="E74" t="s">
        <v>6545</v>
      </c>
      <c r="F74" t="s">
        <v>12</v>
      </c>
      <c r="G74" t="s">
        <v>0</v>
      </c>
      <c r="H74" s="1">
        <f>DATE(2020,10,16)</f>
        <v>44120</v>
      </c>
    </row>
    <row r="75" spans="1:8" x14ac:dyDescent="0.35">
      <c r="A75" s="2" t="s">
        <v>185</v>
      </c>
      <c r="B75" s="2" t="s">
        <v>186</v>
      </c>
      <c r="C75" s="2" t="s">
        <v>187</v>
      </c>
      <c r="D75" t="s">
        <v>5416</v>
      </c>
      <c r="E75" t="s">
        <v>6546</v>
      </c>
      <c r="F75" t="s">
        <v>12</v>
      </c>
      <c r="G75" t="s">
        <v>0</v>
      </c>
      <c r="H75" s="1">
        <f>DATE(2020,10,21)</f>
        <v>44125</v>
      </c>
    </row>
    <row r="76" spans="1:8" x14ac:dyDescent="0.35">
      <c r="A76" s="2" t="s">
        <v>188</v>
      </c>
      <c r="B76" s="2" t="s">
        <v>189</v>
      </c>
      <c r="C76" s="2" t="s">
        <v>190</v>
      </c>
      <c r="D76" t="s">
        <v>5417</v>
      </c>
      <c r="E76" t="s">
        <v>6547</v>
      </c>
      <c r="F76" t="s">
        <v>12</v>
      </c>
      <c r="G76" t="s">
        <v>0</v>
      </c>
      <c r="H76" s="1">
        <f>DATE(2022,11,3)</f>
        <v>44868</v>
      </c>
    </row>
    <row r="77" spans="1:8" x14ac:dyDescent="0.35">
      <c r="A77" s="2" t="s">
        <v>191</v>
      </c>
      <c r="B77" s="2" t="s">
        <v>192</v>
      </c>
      <c r="D77" t="s">
        <v>5387</v>
      </c>
      <c r="E77" t="e">
        <v>#VALUE!</v>
      </c>
      <c r="F77" t="s">
        <v>12</v>
      </c>
      <c r="G77" t="s">
        <v>0</v>
      </c>
      <c r="H77" s="1">
        <f>DATE(2020,10,21)</f>
        <v>44125</v>
      </c>
    </row>
    <row r="78" spans="1:8" x14ac:dyDescent="0.35">
      <c r="A78" s="2" t="s">
        <v>193</v>
      </c>
      <c r="B78" s="2" t="s">
        <v>194</v>
      </c>
      <c r="C78" s="2" t="s">
        <v>195</v>
      </c>
      <c r="D78" t="s">
        <v>5418</v>
      </c>
      <c r="E78" t="s">
        <v>6548</v>
      </c>
      <c r="F78" t="s">
        <v>12</v>
      </c>
      <c r="G78" t="s">
        <v>0</v>
      </c>
      <c r="H78" s="1">
        <f>DATE(2023,2,17)</f>
        <v>44974</v>
      </c>
    </row>
    <row r="79" spans="1:8" x14ac:dyDescent="0.35">
      <c r="A79" s="2" t="s">
        <v>196</v>
      </c>
      <c r="B79" s="2" t="s">
        <v>197</v>
      </c>
      <c r="C79" s="2" t="s">
        <v>198</v>
      </c>
      <c r="D79" t="s">
        <v>5419</v>
      </c>
      <c r="E79" t="s">
        <v>6549</v>
      </c>
      <c r="F79" t="s">
        <v>12</v>
      </c>
      <c r="G79" t="s">
        <v>0</v>
      </c>
      <c r="H79" s="1">
        <f>DATE(2020,10,26)</f>
        <v>44130</v>
      </c>
    </row>
    <row r="80" spans="1:8" x14ac:dyDescent="0.35">
      <c r="A80" s="2" t="s">
        <v>199</v>
      </c>
      <c r="B80" s="2" t="s">
        <v>181</v>
      </c>
      <c r="C80" s="2" t="s">
        <v>200</v>
      </c>
      <c r="D80" t="s">
        <v>5415</v>
      </c>
      <c r="E80" t="s">
        <v>6545</v>
      </c>
      <c r="F80" t="s">
        <v>12</v>
      </c>
      <c r="G80" t="s">
        <v>0</v>
      </c>
      <c r="H80" s="1">
        <f>DATE(2020,10,29)</f>
        <v>44133</v>
      </c>
    </row>
    <row r="81" spans="1:8" x14ac:dyDescent="0.35">
      <c r="A81" s="2" t="s">
        <v>201</v>
      </c>
      <c r="B81" s="2" t="s">
        <v>181</v>
      </c>
      <c r="C81" s="2" t="s">
        <v>202</v>
      </c>
      <c r="D81" t="s">
        <v>5415</v>
      </c>
      <c r="E81" t="s">
        <v>6545</v>
      </c>
      <c r="F81" t="s">
        <v>12</v>
      </c>
      <c r="G81" t="s">
        <v>0</v>
      </c>
      <c r="H81" s="1">
        <f>DATE(2020,10,29)</f>
        <v>44133</v>
      </c>
    </row>
    <row r="82" spans="1:8" x14ac:dyDescent="0.35">
      <c r="A82" s="2" t="s">
        <v>203</v>
      </c>
      <c r="B82" s="2" t="s">
        <v>204</v>
      </c>
      <c r="D82" t="s">
        <v>5387</v>
      </c>
      <c r="E82" t="e">
        <v>#VALUE!</v>
      </c>
      <c r="F82" t="s">
        <v>12</v>
      </c>
      <c r="G82" t="s">
        <v>0</v>
      </c>
      <c r="H82" s="1">
        <f>DATE(2022,8,30)</f>
        <v>44803</v>
      </c>
    </row>
    <row r="83" spans="1:8" x14ac:dyDescent="0.35">
      <c r="A83" s="2" t="s">
        <v>205</v>
      </c>
      <c r="B83" s="2" t="s">
        <v>206</v>
      </c>
      <c r="C83" s="2" t="s">
        <v>207</v>
      </c>
      <c r="D83" t="s">
        <v>5420</v>
      </c>
      <c r="E83" t="s">
        <v>6550</v>
      </c>
      <c r="F83" t="s">
        <v>12</v>
      </c>
      <c r="G83" t="s">
        <v>0</v>
      </c>
      <c r="H83" s="1">
        <f>DATE(2022,6,14)</f>
        <v>44726</v>
      </c>
    </row>
    <row r="84" spans="1:8" x14ac:dyDescent="0.35">
      <c r="A84" s="2" t="s">
        <v>208</v>
      </c>
      <c r="B84" s="2" t="s">
        <v>209</v>
      </c>
      <c r="C84" s="2" t="s">
        <v>210</v>
      </c>
      <c r="D84" t="s">
        <v>5421</v>
      </c>
      <c r="E84" t="s">
        <v>6551</v>
      </c>
      <c r="F84" t="s">
        <v>12</v>
      </c>
      <c r="G84" t="s">
        <v>0</v>
      </c>
      <c r="H84" s="1">
        <f>DATE(2020,10,31)</f>
        <v>44135</v>
      </c>
    </row>
    <row r="85" spans="1:8" x14ac:dyDescent="0.35">
      <c r="A85" s="2" t="s">
        <v>211</v>
      </c>
      <c r="B85" s="2" t="s">
        <v>212</v>
      </c>
      <c r="C85" s="2" t="s">
        <v>213</v>
      </c>
      <c r="D85" t="s">
        <v>5422</v>
      </c>
      <c r="E85" t="s">
        <v>6552</v>
      </c>
      <c r="F85" t="s">
        <v>12</v>
      </c>
      <c r="G85" t="s">
        <v>0</v>
      </c>
      <c r="H85" s="1">
        <f>DATE(2020,11,4)</f>
        <v>44139</v>
      </c>
    </row>
    <row r="86" spans="1:8" x14ac:dyDescent="0.35">
      <c r="A86" s="2" t="s">
        <v>214</v>
      </c>
      <c r="B86" s="2" t="s">
        <v>215</v>
      </c>
      <c r="D86" t="s">
        <v>5387</v>
      </c>
      <c r="E86" t="e">
        <v>#VALUE!</v>
      </c>
      <c r="F86" t="s">
        <v>12</v>
      </c>
      <c r="G86" t="s">
        <v>0</v>
      </c>
      <c r="H86" s="1">
        <f>DATE(2020,11,3)</f>
        <v>44138</v>
      </c>
    </row>
    <row r="87" spans="1:8" x14ac:dyDescent="0.35">
      <c r="A87" s="2" t="s">
        <v>216</v>
      </c>
      <c r="B87" s="2" t="s">
        <v>217</v>
      </c>
      <c r="D87" t="s">
        <v>5387</v>
      </c>
      <c r="E87" t="e">
        <v>#VALUE!</v>
      </c>
      <c r="F87" t="s">
        <v>218</v>
      </c>
      <c r="G87" t="s">
        <v>0</v>
      </c>
      <c r="H87" s="1">
        <f>DATE(2022,4,4)</f>
        <v>44655</v>
      </c>
    </row>
    <row r="88" spans="1:8" x14ac:dyDescent="0.35">
      <c r="A88" s="2" t="s">
        <v>219</v>
      </c>
      <c r="B88" s="2" t="s">
        <v>220</v>
      </c>
      <c r="D88" t="s">
        <v>5387</v>
      </c>
      <c r="E88" t="e">
        <v>#VALUE!</v>
      </c>
      <c r="F88" t="s">
        <v>12</v>
      </c>
      <c r="G88" t="s">
        <v>0</v>
      </c>
      <c r="H88" s="1">
        <f>DATE(2020,11,12)</f>
        <v>44147</v>
      </c>
    </row>
    <row r="89" spans="1:8" x14ac:dyDescent="0.35">
      <c r="A89" s="2" t="s">
        <v>221</v>
      </c>
      <c r="B89" s="2" t="s">
        <v>222</v>
      </c>
      <c r="D89" t="s">
        <v>5387</v>
      </c>
      <c r="E89" t="e">
        <v>#VALUE!</v>
      </c>
      <c r="F89" t="s">
        <v>12</v>
      </c>
      <c r="G89" t="s">
        <v>0</v>
      </c>
      <c r="H89" s="1">
        <f>DATE(2020,11,12)</f>
        <v>44147</v>
      </c>
    </row>
    <row r="90" spans="1:8" x14ac:dyDescent="0.35">
      <c r="A90" s="2" t="s">
        <v>223</v>
      </c>
      <c r="B90" s="2" t="s">
        <v>224</v>
      </c>
      <c r="D90" t="s">
        <v>5387</v>
      </c>
      <c r="E90" t="e">
        <v>#VALUE!</v>
      </c>
      <c r="F90" t="s">
        <v>12</v>
      </c>
      <c r="G90" t="s">
        <v>0</v>
      </c>
      <c r="H90" s="1">
        <f>DATE(2020,11,18)</f>
        <v>44153</v>
      </c>
    </row>
    <row r="91" spans="1:8" x14ac:dyDescent="0.35">
      <c r="A91" s="2" t="s">
        <v>225</v>
      </c>
      <c r="B91" s="2" t="s">
        <v>226</v>
      </c>
      <c r="D91" t="s">
        <v>5387</v>
      </c>
      <c r="E91" t="e">
        <v>#VALUE!</v>
      </c>
      <c r="F91" t="s">
        <v>12</v>
      </c>
      <c r="G91" t="s">
        <v>0</v>
      </c>
      <c r="H91" s="1">
        <f>DATE(2022,6,14)</f>
        <v>44726</v>
      </c>
    </row>
    <row r="92" spans="1:8" x14ac:dyDescent="0.35">
      <c r="A92" s="2" t="s">
        <v>227</v>
      </c>
      <c r="B92" s="2" t="s">
        <v>228</v>
      </c>
      <c r="C92" s="2" t="s">
        <v>229</v>
      </c>
      <c r="D92" t="s">
        <v>5423</v>
      </c>
      <c r="E92" t="s">
        <v>6553</v>
      </c>
      <c r="F92" t="s">
        <v>12</v>
      </c>
      <c r="G92" t="s">
        <v>0</v>
      </c>
      <c r="H92" s="1">
        <f>DATE(2023,11,10)</f>
        <v>45240</v>
      </c>
    </row>
    <row r="93" spans="1:8" x14ac:dyDescent="0.35">
      <c r="A93" s="2" t="s">
        <v>230</v>
      </c>
      <c r="B93" s="2" t="s">
        <v>231</v>
      </c>
      <c r="D93" t="s">
        <v>5387</v>
      </c>
      <c r="E93" t="e">
        <v>#VALUE!</v>
      </c>
      <c r="F93" t="s">
        <v>12</v>
      </c>
      <c r="G93" t="s">
        <v>0</v>
      </c>
      <c r="H93" s="1">
        <f>DATE(2020,11,23)</f>
        <v>44158</v>
      </c>
    </row>
    <row r="94" spans="1:8" x14ac:dyDescent="0.35">
      <c r="A94" s="2" t="s">
        <v>232</v>
      </c>
      <c r="B94" s="2" t="s">
        <v>233</v>
      </c>
      <c r="D94" t="s">
        <v>5387</v>
      </c>
      <c r="E94" t="e">
        <v>#VALUE!</v>
      </c>
      <c r="F94" t="s">
        <v>12</v>
      </c>
      <c r="G94" t="s">
        <v>0</v>
      </c>
      <c r="H94" s="1">
        <f>DATE(2021,2,17)</f>
        <v>44244</v>
      </c>
    </row>
    <row r="95" spans="1:8" x14ac:dyDescent="0.35">
      <c r="A95" s="2" t="s">
        <v>234</v>
      </c>
      <c r="B95" s="2" t="s">
        <v>235</v>
      </c>
      <c r="C95" s="2" t="s">
        <v>236</v>
      </c>
      <c r="D95" t="s">
        <v>5424</v>
      </c>
      <c r="E95" t="s">
        <v>6554</v>
      </c>
      <c r="F95" t="s">
        <v>12</v>
      </c>
      <c r="G95" t="s">
        <v>0</v>
      </c>
      <c r="H95" s="1">
        <f>DATE(2021,7,1)</f>
        <v>44378</v>
      </c>
    </row>
    <row r="96" spans="1:8" x14ac:dyDescent="0.35">
      <c r="A96" s="2" t="s">
        <v>237</v>
      </c>
      <c r="B96" s="2" t="s">
        <v>238</v>
      </c>
      <c r="D96" t="s">
        <v>5387</v>
      </c>
      <c r="E96" t="e">
        <v>#VALUE!</v>
      </c>
      <c r="F96" t="s">
        <v>12</v>
      </c>
      <c r="G96" t="s">
        <v>0</v>
      </c>
      <c r="H96" s="1">
        <f>DATE(2022,11,3)</f>
        <v>44868</v>
      </c>
    </row>
    <row r="97" spans="1:8" x14ac:dyDescent="0.35">
      <c r="A97" s="2" t="s">
        <v>239</v>
      </c>
      <c r="B97" s="2" t="s">
        <v>240</v>
      </c>
      <c r="C97" s="2" t="s">
        <v>241</v>
      </c>
      <c r="D97" t="s">
        <v>5425</v>
      </c>
      <c r="E97" t="s">
        <v>6555</v>
      </c>
      <c r="F97" t="s">
        <v>12</v>
      </c>
      <c r="G97" t="s">
        <v>0</v>
      </c>
      <c r="H97" s="1">
        <f>DATE(2021,1,29)</f>
        <v>44225</v>
      </c>
    </row>
    <row r="98" spans="1:8" x14ac:dyDescent="0.35">
      <c r="A98" s="2" t="s">
        <v>242</v>
      </c>
      <c r="B98" s="2" t="s">
        <v>243</v>
      </c>
      <c r="C98" s="2" t="s">
        <v>244</v>
      </c>
      <c r="D98" t="s">
        <v>5426</v>
      </c>
      <c r="E98" t="s">
        <v>6556</v>
      </c>
      <c r="F98" t="s">
        <v>12</v>
      </c>
      <c r="G98" t="s">
        <v>0</v>
      </c>
      <c r="H98" s="1">
        <f>DATE(2021,12,2)</f>
        <v>44532</v>
      </c>
    </row>
    <row r="99" spans="1:8" x14ac:dyDescent="0.35">
      <c r="A99" s="2" t="s">
        <v>245</v>
      </c>
      <c r="B99" s="2" t="s">
        <v>246</v>
      </c>
      <c r="C99" s="2" t="s">
        <v>247</v>
      </c>
      <c r="D99" t="s">
        <v>5427</v>
      </c>
      <c r="E99" t="s">
        <v>6557</v>
      </c>
      <c r="F99" t="s">
        <v>12</v>
      </c>
      <c r="G99" t="s">
        <v>0</v>
      </c>
      <c r="H99" s="1">
        <f>DATE(2022,6,28)</f>
        <v>44740</v>
      </c>
    </row>
    <row r="100" spans="1:8" x14ac:dyDescent="0.35">
      <c r="A100" s="2" t="s">
        <v>248</v>
      </c>
      <c r="B100" s="2" t="s">
        <v>249</v>
      </c>
      <c r="C100" s="2" t="s">
        <v>250</v>
      </c>
      <c r="D100" t="s">
        <v>5428</v>
      </c>
      <c r="E100" t="s">
        <v>6558</v>
      </c>
      <c r="F100" t="s">
        <v>12</v>
      </c>
      <c r="G100" t="s">
        <v>0</v>
      </c>
      <c r="H100" s="1">
        <f>DATE(2021,1,29)</f>
        <v>44225</v>
      </c>
    </row>
    <row r="101" spans="1:8" x14ac:dyDescent="0.35">
      <c r="A101" s="2" t="s">
        <v>251</v>
      </c>
      <c r="B101" s="2" t="s">
        <v>252</v>
      </c>
      <c r="D101" t="s">
        <v>5387</v>
      </c>
      <c r="E101" t="e">
        <v>#VALUE!</v>
      </c>
      <c r="F101" t="s">
        <v>12</v>
      </c>
      <c r="G101" t="s">
        <v>0</v>
      </c>
      <c r="H101" s="1">
        <f>DATE(2020,12,4)</f>
        <v>44169</v>
      </c>
    </row>
    <row r="102" spans="1:8" x14ac:dyDescent="0.35">
      <c r="A102" s="2" t="s">
        <v>253</v>
      </c>
      <c r="B102" s="2" t="s">
        <v>254</v>
      </c>
      <c r="D102" t="s">
        <v>5387</v>
      </c>
      <c r="E102" t="e">
        <v>#VALUE!</v>
      </c>
      <c r="F102" t="s">
        <v>12</v>
      </c>
      <c r="G102" t="s">
        <v>0</v>
      </c>
      <c r="H102" s="1">
        <f>DATE(2021,10,15)</f>
        <v>44484</v>
      </c>
    </row>
    <row r="103" spans="1:8" x14ac:dyDescent="0.35">
      <c r="A103" s="2" t="s">
        <v>255</v>
      </c>
      <c r="B103" s="2" t="s">
        <v>256</v>
      </c>
      <c r="D103" t="s">
        <v>5387</v>
      </c>
      <c r="E103" t="e">
        <v>#VALUE!</v>
      </c>
      <c r="F103" t="s">
        <v>12</v>
      </c>
      <c r="G103" t="s">
        <v>0</v>
      </c>
      <c r="H103" s="1">
        <f>DATE(2022,7,28)</f>
        <v>44770</v>
      </c>
    </row>
    <row r="104" spans="1:8" x14ac:dyDescent="0.35">
      <c r="A104" s="2" t="s">
        <v>257</v>
      </c>
      <c r="B104" s="2" t="s">
        <v>258</v>
      </c>
      <c r="C104" s="2" t="s">
        <v>259</v>
      </c>
      <c r="D104" t="s">
        <v>5429</v>
      </c>
      <c r="E104" t="s">
        <v>6559</v>
      </c>
      <c r="F104" t="s">
        <v>12</v>
      </c>
      <c r="G104" t="s">
        <v>0</v>
      </c>
      <c r="H104" s="1">
        <f>DATE(2022,8,26)</f>
        <v>44799</v>
      </c>
    </row>
    <row r="105" spans="1:8" x14ac:dyDescent="0.35">
      <c r="A105" s="2" t="s">
        <v>260</v>
      </c>
      <c r="B105" s="2" t="s">
        <v>261</v>
      </c>
      <c r="C105" s="2" t="s">
        <v>262</v>
      </c>
      <c r="D105" t="s">
        <v>5430</v>
      </c>
      <c r="E105" t="s">
        <v>5186</v>
      </c>
      <c r="F105" t="s">
        <v>12</v>
      </c>
      <c r="G105" t="s">
        <v>0</v>
      </c>
      <c r="H105" s="1">
        <f>DATE(2021,12,14)</f>
        <v>44544</v>
      </c>
    </row>
    <row r="106" spans="1:8" x14ac:dyDescent="0.35">
      <c r="A106" s="2" t="s">
        <v>263</v>
      </c>
      <c r="B106" s="2" t="s">
        <v>264</v>
      </c>
      <c r="C106" s="2" t="s">
        <v>265</v>
      </c>
      <c r="D106" t="s">
        <v>5431</v>
      </c>
      <c r="E106" t="s">
        <v>6560</v>
      </c>
      <c r="F106" t="s">
        <v>12</v>
      </c>
      <c r="G106" t="s">
        <v>0</v>
      </c>
      <c r="H106" s="1">
        <f>DATE(2023,7,6)</f>
        <v>45113</v>
      </c>
    </row>
    <row r="107" spans="1:8" x14ac:dyDescent="0.35">
      <c r="A107" s="2" t="s">
        <v>266</v>
      </c>
      <c r="B107" s="2" t="s">
        <v>267</v>
      </c>
      <c r="C107" s="2" t="s">
        <v>268</v>
      </c>
      <c r="D107" t="s">
        <v>5432</v>
      </c>
      <c r="E107" t="s">
        <v>6561</v>
      </c>
      <c r="F107" t="s">
        <v>12</v>
      </c>
      <c r="G107" t="s">
        <v>0</v>
      </c>
      <c r="H107" s="1">
        <f>DATE(2024,1,4)</f>
        <v>45295</v>
      </c>
    </row>
    <row r="108" spans="1:8" x14ac:dyDescent="0.35">
      <c r="A108" s="2" t="s">
        <v>269</v>
      </c>
      <c r="B108" s="2" t="s">
        <v>270</v>
      </c>
      <c r="C108" s="2" t="s">
        <v>271</v>
      </c>
      <c r="D108" t="s">
        <v>5433</v>
      </c>
      <c r="E108" t="s">
        <v>6562</v>
      </c>
      <c r="F108" t="s">
        <v>12</v>
      </c>
      <c r="G108" t="s">
        <v>0</v>
      </c>
      <c r="H108" s="1">
        <f>DATE(2020,12,22)</f>
        <v>44187</v>
      </c>
    </row>
    <row r="109" spans="1:8" x14ac:dyDescent="0.35">
      <c r="A109" s="2" t="s">
        <v>272</v>
      </c>
      <c r="B109" s="2" t="s">
        <v>273</v>
      </c>
      <c r="C109" s="2" t="s">
        <v>274</v>
      </c>
      <c r="D109" t="s">
        <v>5434</v>
      </c>
      <c r="E109" t="s">
        <v>6563</v>
      </c>
      <c r="F109" t="s">
        <v>12</v>
      </c>
      <c r="G109" t="s">
        <v>0</v>
      </c>
      <c r="H109" s="1">
        <f>DATE(2020,12,23)</f>
        <v>44188</v>
      </c>
    </row>
    <row r="110" spans="1:8" x14ac:dyDescent="0.35">
      <c r="A110" s="2" t="s">
        <v>275</v>
      </c>
      <c r="B110" s="2" t="s">
        <v>276</v>
      </c>
      <c r="C110" s="2" t="s">
        <v>277</v>
      </c>
      <c r="D110" t="s">
        <v>5435</v>
      </c>
      <c r="E110" t="s">
        <v>6564</v>
      </c>
      <c r="F110" t="s">
        <v>12</v>
      </c>
      <c r="G110" t="s">
        <v>0</v>
      </c>
      <c r="H110" s="1">
        <f>DATE(2021,2,3)</f>
        <v>44230</v>
      </c>
    </row>
    <row r="111" spans="1:8" x14ac:dyDescent="0.35">
      <c r="A111" s="2" t="s">
        <v>278</v>
      </c>
      <c r="B111" s="2" t="s">
        <v>279</v>
      </c>
      <c r="C111" s="2" t="s">
        <v>280</v>
      </c>
      <c r="D111" t="s">
        <v>5436</v>
      </c>
      <c r="E111" t="s">
        <v>6565</v>
      </c>
      <c r="F111" t="s">
        <v>12</v>
      </c>
      <c r="G111" t="s">
        <v>0</v>
      </c>
      <c r="H111" s="1">
        <f>DATE(2023,11,30)</f>
        <v>45260</v>
      </c>
    </row>
    <row r="112" spans="1:8" x14ac:dyDescent="0.35">
      <c r="A112" s="2" t="s">
        <v>281</v>
      </c>
      <c r="B112" s="2" t="s">
        <v>282</v>
      </c>
      <c r="D112" t="s">
        <v>5387</v>
      </c>
      <c r="E112" t="e">
        <v>#VALUE!</v>
      </c>
      <c r="F112" t="s">
        <v>12</v>
      </c>
      <c r="G112" t="s">
        <v>0</v>
      </c>
      <c r="H112" s="1">
        <f>DATE(2022,6,14)</f>
        <v>44726</v>
      </c>
    </row>
    <row r="113" spans="1:8" x14ac:dyDescent="0.35">
      <c r="A113" s="2" t="s">
        <v>283</v>
      </c>
      <c r="B113" s="2" t="s">
        <v>284</v>
      </c>
      <c r="C113" s="2" t="s">
        <v>285</v>
      </c>
      <c r="D113" t="s">
        <v>5437</v>
      </c>
      <c r="E113" t="s">
        <v>6566</v>
      </c>
      <c r="F113" t="s">
        <v>12</v>
      </c>
      <c r="G113" t="s">
        <v>0</v>
      </c>
      <c r="H113" s="1">
        <f>DATE(2023,5,23)</f>
        <v>45069</v>
      </c>
    </row>
    <row r="114" spans="1:8" x14ac:dyDescent="0.35">
      <c r="A114" s="2" t="s">
        <v>286</v>
      </c>
      <c r="B114" s="2" t="s">
        <v>287</v>
      </c>
      <c r="C114" s="2" t="s">
        <v>288</v>
      </c>
      <c r="D114" t="s">
        <v>5438</v>
      </c>
      <c r="E114" t="s">
        <v>6567</v>
      </c>
      <c r="F114" t="s">
        <v>12</v>
      </c>
      <c r="G114" t="s">
        <v>0</v>
      </c>
      <c r="H114" s="1">
        <f>DATE(2021,6,8)</f>
        <v>44355</v>
      </c>
    </row>
    <row r="115" spans="1:8" x14ac:dyDescent="0.35">
      <c r="A115" s="2" t="s">
        <v>289</v>
      </c>
      <c r="B115" s="2" t="s">
        <v>290</v>
      </c>
      <c r="C115" s="2" t="s">
        <v>291</v>
      </c>
      <c r="D115" t="s">
        <v>5439</v>
      </c>
      <c r="E115" t="s">
        <v>6568</v>
      </c>
      <c r="F115" t="s">
        <v>12</v>
      </c>
      <c r="G115" t="s">
        <v>0</v>
      </c>
      <c r="H115" s="1">
        <f>DATE(2021,1,5)</f>
        <v>44201</v>
      </c>
    </row>
    <row r="116" spans="1:8" x14ac:dyDescent="0.35">
      <c r="A116" s="2" t="s">
        <v>292</v>
      </c>
      <c r="B116" s="2" t="s">
        <v>293</v>
      </c>
      <c r="C116" s="2" t="s">
        <v>294</v>
      </c>
      <c r="D116" t="s">
        <v>5440</v>
      </c>
      <c r="E116" t="s">
        <v>6569</v>
      </c>
      <c r="F116" t="s">
        <v>12</v>
      </c>
      <c r="G116" t="s">
        <v>0</v>
      </c>
      <c r="H116" s="1">
        <f>DATE(2023,6,22)</f>
        <v>45099</v>
      </c>
    </row>
    <row r="117" spans="1:8" x14ac:dyDescent="0.35">
      <c r="A117" s="2" t="s">
        <v>295</v>
      </c>
      <c r="B117" s="2" t="s">
        <v>296</v>
      </c>
      <c r="D117" t="s">
        <v>5387</v>
      </c>
      <c r="E117" t="e">
        <v>#VALUE!</v>
      </c>
      <c r="F117" t="s">
        <v>12</v>
      </c>
      <c r="G117" t="s">
        <v>0</v>
      </c>
      <c r="H117" s="1">
        <f>DATE(2021,1,20)</f>
        <v>44216</v>
      </c>
    </row>
    <row r="118" spans="1:8" x14ac:dyDescent="0.35">
      <c r="A118" s="2" t="s">
        <v>297</v>
      </c>
      <c r="B118" s="2" t="s">
        <v>298</v>
      </c>
      <c r="C118" s="2" t="s">
        <v>299</v>
      </c>
      <c r="D118" t="s">
        <v>5441</v>
      </c>
      <c r="E118" t="s">
        <v>6570</v>
      </c>
      <c r="F118" t="s">
        <v>12</v>
      </c>
      <c r="G118" t="s">
        <v>0</v>
      </c>
      <c r="H118" s="1">
        <f>DATE(2021,1,21)</f>
        <v>44217</v>
      </c>
    </row>
    <row r="119" spans="1:8" x14ac:dyDescent="0.35">
      <c r="A119" s="2" t="s">
        <v>300</v>
      </c>
      <c r="B119" s="2" t="s">
        <v>301</v>
      </c>
      <c r="D119" t="s">
        <v>5387</v>
      </c>
      <c r="E119" t="e">
        <v>#VALUE!</v>
      </c>
      <c r="F119" t="s">
        <v>12</v>
      </c>
      <c r="G119" t="s">
        <v>0</v>
      </c>
      <c r="H119" s="1">
        <f>DATE(2021,2,2)</f>
        <v>44229</v>
      </c>
    </row>
    <row r="120" spans="1:8" x14ac:dyDescent="0.35">
      <c r="A120" s="2" t="s">
        <v>302</v>
      </c>
      <c r="B120" s="2" t="s">
        <v>303</v>
      </c>
      <c r="D120" t="s">
        <v>5387</v>
      </c>
      <c r="E120" t="e">
        <v>#VALUE!</v>
      </c>
      <c r="F120" t="s">
        <v>12</v>
      </c>
      <c r="G120" t="s">
        <v>0</v>
      </c>
      <c r="H120" s="1">
        <f>DATE(2022,5,10)</f>
        <v>44691</v>
      </c>
    </row>
    <row r="121" spans="1:8" x14ac:dyDescent="0.35">
      <c r="A121" s="2" t="s">
        <v>304</v>
      </c>
      <c r="B121" s="2" t="s">
        <v>305</v>
      </c>
      <c r="C121" s="2" t="s">
        <v>306</v>
      </c>
      <c r="D121" t="s">
        <v>5442</v>
      </c>
      <c r="E121" t="s">
        <v>6571</v>
      </c>
      <c r="F121" t="s">
        <v>12</v>
      </c>
      <c r="G121" t="s">
        <v>0</v>
      </c>
      <c r="H121" s="1">
        <f>DATE(2023,5,24)</f>
        <v>45070</v>
      </c>
    </row>
    <row r="122" spans="1:8" x14ac:dyDescent="0.35">
      <c r="A122" s="2" t="s">
        <v>307</v>
      </c>
      <c r="B122" s="2" t="s">
        <v>308</v>
      </c>
      <c r="C122" s="2" t="s">
        <v>309</v>
      </c>
      <c r="D122" t="s">
        <v>5443</v>
      </c>
      <c r="E122" t="s">
        <v>6572</v>
      </c>
      <c r="F122" t="s">
        <v>12</v>
      </c>
      <c r="G122" t="s">
        <v>0</v>
      </c>
      <c r="H122" s="1">
        <f>DATE(2023,5,23)</f>
        <v>45069</v>
      </c>
    </row>
    <row r="123" spans="1:8" x14ac:dyDescent="0.35">
      <c r="A123" s="2" t="s">
        <v>310</v>
      </c>
      <c r="B123" s="2" t="s">
        <v>311</v>
      </c>
      <c r="C123" s="2" t="s">
        <v>312</v>
      </c>
      <c r="D123" t="s">
        <v>5444</v>
      </c>
      <c r="E123" t="s">
        <v>6573</v>
      </c>
      <c r="F123" t="s">
        <v>12</v>
      </c>
      <c r="G123" t="s">
        <v>0</v>
      </c>
      <c r="H123" s="1">
        <f>DATE(2021,1,23)</f>
        <v>44219</v>
      </c>
    </row>
    <row r="124" spans="1:8" x14ac:dyDescent="0.35">
      <c r="A124" s="2" t="s">
        <v>313</v>
      </c>
      <c r="B124" s="2" t="s">
        <v>314</v>
      </c>
      <c r="C124" s="2" t="s">
        <v>315</v>
      </c>
      <c r="D124" t="s">
        <v>5445</v>
      </c>
      <c r="E124" t="s">
        <v>6574</v>
      </c>
      <c r="F124" t="s">
        <v>12</v>
      </c>
      <c r="G124" t="s">
        <v>0</v>
      </c>
      <c r="H124" s="1">
        <f>DATE(2021,1,23)</f>
        <v>44219</v>
      </c>
    </row>
    <row r="125" spans="1:8" x14ac:dyDescent="0.35">
      <c r="A125" s="2" t="s">
        <v>316</v>
      </c>
      <c r="B125" s="2" t="s">
        <v>317</v>
      </c>
      <c r="C125" s="2" t="s">
        <v>318</v>
      </c>
      <c r="D125" t="s">
        <v>5446</v>
      </c>
      <c r="E125" t="s">
        <v>6575</v>
      </c>
      <c r="F125" t="s">
        <v>12</v>
      </c>
      <c r="G125" t="s">
        <v>0</v>
      </c>
      <c r="H125" s="1">
        <f>DATE(2021,1,23)</f>
        <v>44219</v>
      </c>
    </row>
    <row r="126" spans="1:8" x14ac:dyDescent="0.35">
      <c r="A126" s="2" t="s">
        <v>319</v>
      </c>
      <c r="B126" s="2" t="s">
        <v>320</v>
      </c>
      <c r="C126" s="2" t="s">
        <v>321</v>
      </c>
      <c r="D126" t="s">
        <v>5447</v>
      </c>
      <c r="E126" t="s">
        <v>6576</v>
      </c>
      <c r="F126" t="s">
        <v>12</v>
      </c>
      <c r="G126" t="s">
        <v>0</v>
      </c>
      <c r="H126" s="1">
        <f>DATE(2023,6,19)</f>
        <v>45096</v>
      </c>
    </row>
    <row r="127" spans="1:8" x14ac:dyDescent="0.35">
      <c r="A127" s="2" t="s">
        <v>322</v>
      </c>
      <c r="B127" s="2" t="s">
        <v>323</v>
      </c>
      <c r="C127" s="2" t="s">
        <v>324</v>
      </c>
      <c r="D127" t="s">
        <v>5448</v>
      </c>
      <c r="E127" t="s">
        <v>6577</v>
      </c>
      <c r="F127" t="s">
        <v>12</v>
      </c>
      <c r="G127" t="s">
        <v>0</v>
      </c>
      <c r="H127" s="1">
        <f>DATE(2023,9,19)</f>
        <v>45188</v>
      </c>
    </row>
    <row r="128" spans="1:8" x14ac:dyDescent="0.35">
      <c r="A128" s="2" t="s">
        <v>325</v>
      </c>
      <c r="B128" s="2" t="s">
        <v>326</v>
      </c>
      <c r="D128" t="s">
        <v>5387</v>
      </c>
      <c r="E128" t="e">
        <v>#VALUE!</v>
      </c>
      <c r="F128" t="s">
        <v>12</v>
      </c>
      <c r="G128" t="s">
        <v>0</v>
      </c>
      <c r="H128" s="1">
        <f>DATE(2021,1,28)</f>
        <v>44224</v>
      </c>
    </row>
    <row r="129" spans="1:8" x14ac:dyDescent="0.35">
      <c r="A129" s="2" t="s">
        <v>327</v>
      </c>
      <c r="B129" s="2" t="s">
        <v>328</v>
      </c>
      <c r="C129" s="2" t="s">
        <v>329</v>
      </c>
      <c r="D129" t="s">
        <v>5449</v>
      </c>
      <c r="E129" t="s">
        <v>6578</v>
      </c>
      <c r="F129" t="s">
        <v>12</v>
      </c>
      <c r="G129" t="s">
        <v>0</v>
      </c>
      <c r="H129" s="1">
        <f>DATE(2023,7,5)</f>
        <v>45112</v>
      </c>
    </row>
    <row r="130" spans="1:8" x14ac:dyDescent="0.35">
      <c r="A130" s="2" t="s">
        <v>330</v>
      </c>
      <c r="B130" s="2" t="s">
        <v>331</v>
      </c>
      <c r="D130" t="s">
        <v>5387</v>
      </c>
      <c r="E130" t="e">
        <v>#VALUE!</v>
      </c>
      <c r="F130" t="s">
        <v>12</v>
      </c>
      <c r="G130" t="s">
        <v>0</v>
      </c>
      <c r="H130" s="1">
        <f>DATE(2021,12,24)</f>
        <v>44554</v>
      </c>
    </row>
    <row r="131" spans="1:8" x14ac:dyDescent="0.35">
      <c r="A131" s="2" t="s">
        <v>332</v>
      </c>
      <c r="B131" s="2" t="s">
        <v>333</v>
      </c>
      <c r="C131" s="2" t="s">
        <v>334</v>
      </c>
      <c r="D131" t="s">
        <v>5450</v>
      </c>
      <c r="E131" t="s">
        <v>6579</v>
      </c>
      <c r="F131" t="s">
        <v>12</v>
      </c>
      <c r="G131" t="s">
        <v>0</v>
      </c>
      <c r="H131" s="1">
        <f>DATE(2023,6,26)</f>
        <v>45103</v>
      </c>
    </row>
    <row r="132" spans="1:8" x14ac:dyDescent="0.35">
      <c r="A132" s="2" t="s">
        <v>335</v>
      </c>
      <c r="B132" s="2" t="s">
        <v>336</v>
      </c>
      <c r="D132" t="s">
        <v>5387</v>
      </c>
      <c r="E132" t="e">
        <v>#VALUE!</v>
      </c>
      <c r="F132" t="s">
        <v>12</v>
      </c>
      <c r="G132" t="s">
        <v>0</v>
      </c>
      <c r="H132" s="1">
        <f>DATE(2021,1,29)</f>
        <v>44225</v>
      </c>
    </row>
    <row r="133" spans="1:8" x14ac:dyDescent="0.35">
      <c r="A133" s="2" t="s">
        <v>337</v>
      </c>
      <c r="B133" s="2" t="s">
        <v>338</v>
      </c>
      <c r="C133" s="2" t="s">
        <v>339</v>
      </c>
      <c r="D133" t="s">
        <v>5451</v>
      </c>
      <c r="E133" t="s">
        <v>6580</v>
      </c>
      <c r="F133" t="s">
        <v>12</v>
      </c>
      <c r="G133" t="s">
        <v>0</v>
      </c>
      <c r="H133" s="1">
        <f>DATE(2021,1,29)</f>
        <v>44225</v>
      </c>
    </row>
    <row r="134" spans="1:8" x14ac:dyDescent="0.35">
      <c r="A134" s="2" t="s">
        <v>340</v>
      </c>
      <c r="B134" s="2" t="s">
        <v>341</v>
      </c>
      <c r="C134" s="2" t="s">
        <v>342</v>
      </c>
      <c r="D134" t="s">
        <v>5452</v>
      </c>
      <c r="E134" t="s">
        <v>6581</v>
      </c>
      <c r="F134" t="s">
        <v>12</v>
      </c>
      <c r="G134" t="s">
        <v>0</v>
      </c>
      <c r="H134" s="1">
        <f>DATE(2021,1,29)</f>
        <v>44225</v>
      </c>
    </row>
    <row r="135" spans="1:8" x14ac:dyDescent="0.35">
      <c r="A135" s="2" t="s">
        <v>343</v>
      </c>
      <c r="B135" s="2" t="s">
        <v>344</v>
      </c>
      <c r="D135" t="s">
        <v>5387</v>
      </c>
      <c r="E135" t="e">
        <v>#VALUE!</v>
      </c>
      <c r="F135" t="s">
        <v>12</v>
      </c>
      <c r="G135" t="s">
        <v>0</v>
      </c>
      <c r="H135" s="1">
        <f>DATE(2021,6,8)</f>
        <v>44355</v>
      </c>
    </row>
    <row r="136" spans="1:8" x14ac:dyDescent="0.35">
      <c r="A136" s="2" t="s">
        <v>345</v>
      </c>
      <c r="B136" s="2" t="s">
        <v>346</v>
      </c>
      <c r="C136" s="2" t="s">
        <v>347</v>
      </c>
      <c r="D136" t="s">
        <v>5453</v>
      </c>
      <c r="E136" t="s">
        <v>6582</v>
      </c>
      <c r="F136" t="s">
        <v>12</v>
      </c>
      <c r="G136" t="s">
        <v>0</v>
      </c>
      <c r="H136" s="1">
        <f>DATE(2021,1,29)</f>
        <v>44225</v>
      </c>
    </row>
    <row r="137" spans="1:8" x14ac:dyDescent="0.35">
      <c r="A137" s="2" t="s">
        <v>348</v>
      </c>
      <c r="B137" s="2" t="s">
        <v>349</v>
      </c>
      <c r="D137" t="s">
        <v>5387</v>
      </c>
      <c r="E137" t="e">
        <v>#VALUE!</v>
      </c>
      <c r="F137" t="s">
        <v>12</v>
      </c>
      <c r="G137" t="s">
        <v>0</v>
      </c>
      <c r="H137" s="1">
        <f>DATE(2021,1,29)</f>
        <v>44225</v>
      </c>
    </row>
    <row r="138" spans="1:8" x14ac:dyDescent="0.35">
      <c r="A138" s="2" t="s">
        <v>350</v>
      </c>
      <c r="B138" s="2" t="s">
        <v>351</v>
      </c>
      <c r="C138" s="2" t="s">
        <v>352</v>
      </c>
      <c r="D138" t="s">
        <v>5454</v>
      </c>
      <c r="E138" t="s">
        <v>6583</v>
      </c>
      <c r="F138" t="s">
        <v>12</v>
      </c>
      <c r="G138" t="s">
        <v>0</v>
      </c>
      <c r="H138" s="1">
        <f>DATE(2021,1,29)</f>
        <v>44225</v>
      </c>
    </row>
    <row r="139" spans="1:8" x14ac:dyDescent="0.35">
      <c r="A139" s="2" t="s">
        <v>353</v>
      </c>
      <c r="B139" s="2" t="s">
        <v>354</v>
      </c>
      <c r="D139" t="s">
        <v>5387</v>
      </c>
      <c r="E139" t="e">
        <v>#VALUE!</v>
      </c>
      <c r="F139" t="s">
        <v>12</v>
      </c>
      <c r="G139" t="s">
        <v>0</v>
      </c>
      <c r="H139" s="1">
        <f>DATE(2021,1,29)</f>
        <v>44225</v>
      </c>
    </row>
    <row r="140" spans="1:8" x14ac:dyDescent="0.35">
      <c r="A140" s="2" t="s">
        <v>355</v>
      </c>
      <c r="B140" s="2" t="s">
        <v>356</v>
      </c>
      <c r="D140" t="s">
        <v>5387</v>
      </c>
      <c r="E140" t="e">
        <v>#VALUE!</v>
      </c>
      <c r="F140" t="s">
        <v>12</v>
      </c>
      <c r="G140" t="s">
        <v>0</v>
      </c>
      <c r="H140" s="1">
        <f>DATE(2021,1,29)</f>
        <v>44225</v>
      </c>
    </row>
    <row r="141" spans="1:8" x14ac:dyDescent="0.35">
      <c r="A141" s="2" t="s">
        <v>357</v>
      </c>
      <c r="B141" s="2" t="s">
        <v>358</v>
      </c>
      <c r="C141" s="2" t="s">
        <v>359</v>
      </c>
      <c r="D141" t="s">
        <v>5455</v>
      </c>
      <c r="E141" t="s">
        <v>6584</v>
      </c>
      <c r="F141" t="s">
        <v>12</v>
      </c>
      <c r="G141" t="s">
        <v>0</v>
      </c>
      <c r="H141" s="1">
        <f>DATE(2022,5,17)</f>
        <v>44698</v>
      </c>
    </row>
    <row r="142" spans="1:8" x14ac:dyDescent="0.35">
      <c r="A142" s="2" t="s">
        <v>360</v>
      </c>
      <c r="B142" s="2" t="s">
        <v>361</v>
      </c>
      <c r="C142" s="2" t="s">
        <v>362</v>
      </c>
      <c r="D142" t="s">
        <v>5456</v>
      </c>
      <c r="E142" t="s">
        <v>6585</v>
      </c>
      <c r="F142" t="s">
        <v>12</v>
      </c>
      <c r="G142" t="s">
        <v>0</v>
      </c>
      <c r="H142" s="1">
        <f>DATE(2021,1,29)</f>
        <v>44225</v>
      </c>
    </row>
    <row r="143" spans="1:8" x14ac:dyDescent="0.35">
      <c r="A143" s="2" t="s">
        <v>363</v>
      </c>
      <c r="B143" s="2" t="s">
        <v>364</v>
      </c>
      <c r="C143" s="2" t="s">
        <v>365</v>
      </c>
      <c r="D143" t="s">
        <v>5457</v>
      </c>
      <c r="E143" t="s">
        <v>6586</v>
      </c>
      <c r="F143" t="s">
        <v>12</v>
      </c>
      <c r="G143" t="s">
        <v>0</v>
      </c>
      <c r="H143" s="1">
        <f>DATE(2021,1,29)</f>
        <v>44225</v>
      </c>
    </row>
    <row r="144" spans="1:8" x14ac:dyDescent="0.35">
      <c r="A144" s="2" t="s">
        <v>366</v>
      </c>
      <c r="B144" s="2" t="s">
        <v>367</v>
      </c>
      <c r="D144" t="s">
        <v>5387</v>
      </c>
      <c r="E144" t="e">
        <v>#VALUE!</v>
      </c>
      <c r="F144" t="s">
        <v>12</v>
      </c>
      <c r="G144" t="s">
        <v>0</v>
      </c>
      <c r="H144" s="1">
        <f>DATE(2021,1,30)</f>
        <v>44226</v>
      </c>
    </row>
    <row r="145" spans="1:8" x14ac:dyDescent="0.35">
      <c r="A145" s="2" t="s">
        <v>368</v>
      </c>
      <c r="B145" s="2" t="s">
        <v>369</v>
      </c>
      <c r="D145" t="s">
        <v>5387</v>
      </c>
      <c r="E145" t="e">
        <v>#VALUE!</v>
      </c>
      <c r="F145" t="s">
        <v>12</v>
      </c>
      <c r="G145" t="s">
        <v>0</v>
      </c>
      <c r="H145" s="1">
        <f>DATE(2022,5,17)</f>
        <v>44698</v>
      </c>
    </row>
    <row r="146" spans="1:8" x14ac:dyDescent="0.35">
      <c r="A146" s="2" t="s">
        <v>370</v>
      </c>
      <c r="B146" s="2" t="s">
        <v>371</v>
      </c>
      <c r="C146" s="2" t="s">
        <v>372</v>
      </c>
      <c r="D146" t="s">
        <v>5458</v>
      </c>
      <c r="E146" t="s">
        <v>6587</v>
      </c>
      <c r="F146" t="s">
        <v>12</v>
      </c>
      <c r="G146" t="s">
        <v>0</v>
      </c>
      <c r="H146" s="1">
        <f>DATE(2022,2,7)</f>
        <v>44599</v>
      </c>
    </row>
    <row r="147" spans="1:8" x14ac:dyDescent="0.35">
      <c r="A147" s="2" t="s">
        <v>373</v>
      </c>
      <c r="B147" s="2" t="s">
        <v>374</v>
      </c>
      <c r="C147" s="2" t="s">
        <v>375</v>
      </c>
      <c r="D147" t="s">
        <v>5459</v>
      </c>
      <c r="E147" t="s">
        <v>6588</v>
      </c>
      <c r="F147" t="s">
        <v>12</v>
      </c>
      <c r="G147" t="s">
        <v>0</v>
      </c>
      <c r="H147" s="1">
        <f>DATE(2023,11,14)</f>
        <v>45244</v>
      </c>
    </row>
    <row r="148" spans="1:8" x14ac:dyDescent="0.35">
      <c r="A148" s="2" t="s">
        <v>376</v>
      </c>
      <c r="B148" s="2" t="s">
        <v>377</v>
      </c>
      <c r="C148" s="2" t="s">
        <v>378</v>
      </c>
      <c r="D148" t="s">
        <v>5460</v>
      </c>
      <c r="E148" t="s">
        <v>6589</v>
      </c>
      <c r="F148" t="s">
        <v>12</v>
      </c>
      <c r="G148" t="s">
        <v>0</v>
      </c>
      <c r="H148" s="1">
        <f>DATE(2021,1,29)</f>
        <v>44225</v>
      </c>
    </row>
    <row r="149" spans="1:8" x14ac:dyDescent="0.35">
      <c r="A149" s="2" t="s">
        <v>379</v>
      </c>
      <c r="B149" s="2" t="s">
        <v>380</v>
      </c>
      <c r="C149" s="2" t="s">
        <v>381</v>
      </c>
      <c r="D149" t="s">
        <v>5461</v>
      </c>
      <c r="E149" t="s">
        <v>6590</v>
      </c>
      <c r="F149" t="s">
        <v>12</v>
      </c>
      <c r="G149" t="s">
        <v>0</v>
      </c>
      <c r="H149" s="1">
        <f>DATE(2022,6,27)</f>
        <v>44739</v>
      </c>
    </row>
    <row r="150" spans="1:8" x14ac:dyDescent="0.35">
      <c r="A150" s="2" t="s">
        <v>382</v>
      </c>
      <c r="B150" s="2" t="s">
        <v>383</v>
      </c>
      <c r="C150" s="2" t="s">
        <v>384</v>
      </c>
      <c r="D150" t="s">
        <v>5462</v>
      </c>
      <c r="E150" t="s">
        <v>6591</v>
      </c>
      <c r="F150" t="s">
        <v>12</v>
      </c>
      <c r="G150" t="s">
        <v>0</v>
      </c>
      <c r="H150" s="1">
        <f>DATE(2021,1,29)</f>
        <v>44225</v>
      </c>
    </row>
    <row r="151" spans="1:8" x14ac:dyDescent="0.35">
      <c r="A151" s="2" t="s">
        <v>385</v>
      </c>
      <c r="B151" s="2" t="s">
        <v>386</v>
      </c>
      <c r="C151" s="2" t="s">
        <v>387</v>
      </c>
      <c r="D151" t="s">
        <v>5463</v>
      </c>
      <c r="E151" t="s">
        <v>6592</v>
      </c>
      <c r="F151" t="s">
        <v>12</v>
      </c>
      <c r="G151" t="s">
        <v>0</v>
      </c>
      <c r="H151" s="1">
        <f>DATE(2021,1,30)</f>
        <v>44226</v>
      </c>
    </row>
    <row r="152" spans="1:8" x14ac:dyDescent="0.35">
      <c r="A152" s="2" t="s">
        <v>388</v>
      </c>
      <c r="B152" s="2" t="s">
        <v>389</v>
      </c>
      <c r="C152" s="2" t="s">
        <v>390</v>
      </c>
      <c r="D152" t="s">
        <v>5464</v>
      </c>
      <c r="E152" t="s">
        <v>6593</v>
      </c>
      <c r="F152" t="s">
        <v>12</v>
      </c>
      <c r="G152" t="s">
        <v>0</v>
      </c>
      <c r="H152" s="1">
        <f>DATE(2023,8,30)</f>
        <v>45168</v>
      </c>
    </row>
    <row r="153" spans="1:8" x14ac:dyDescent="0.35">
      <c r="A153" s="2" t="s">
        <v>391</v>
      </c>
      <c r="B153" s="2" t="s">
        <v>392</v>
      </c>
      <c r="D153" t="s">
        <v>5387</v>
      </c>
      <c r="E153" t="e">
        <v>#VALUE!</v>
      </c>
      <c r="F153" t="s">
        <v>12</v>
      </c>
      <c r="G153" t="s">
        <v>0</v>
      </c>
      <c r="H153" s="1">
        <f>DATE(2021,1,29)</f>
        <v>44225</v>
      </c>
    </row>
    <row r="154" spans="1:8" x14ac:dyDescent="0.35">
      <c r="A154" s="2" t="s">
        <v>393</v>
      </c>
      <c r="B154" s="2" t="s">
        <v>394</v>
      </c>
      <c r="C154" s="2" t="s">
        <v>395</v>
      </c>
      <c r="D154" t="s">
        <v>5465</v>
      </c>
      <c r="E154" t="s">
        <v>6594</v>
      </c>
      <c r="F154" t="s">
        <v>12</v>
      </c>
      <c r="G154" t="s">
        <v>0</v>
      </c>
      <c r="H154" s="1">
        <f>DATE(2023,11,14)</f>
        <v>45244</v>
      </c>
    </row>
    <row r="155" spans="1:8" x14ac:dyDescent="0.35">
      <c r="A155" s="2" t="s">
        <v>396</v>
      </c>
      <c r="B155" s="2" t="s">
        <v>397</v>
      </c>
      <c r="D155" t="s">
        <v>5387</v>
      </c>
      <c r="E155" t="e">
        <v>#VALUE!</v>
      </c>
      <c r="F155" t="s">
        <v>12</v>
      </c>
      <c r="G155" t="s">
        <v>0</v>
      </c>
      <c r="H155" s="1">
        <f>DATE(2022,8,16)</f>
        <v>44789</v>
      </c>
    </row>
    <row r="156" spans="1:8" x14ac:dyDescent="0.35">
      <c r="A156" s="2" t="s">
        <v>398</v>
      </c>
      <c r="B156" s="2" t="s">
        <v>399</v>
      </c>
      <c r="C156" s="2" t="s">
        <v>400</v>
      </c>
      <c r="D156" t="s">
        <v>5466</v>
      </c>
      <c r="E156" t="s">
        <v>6595</v>
      </c>
      <c r="F156" t="s">
        <v>12</v>
      </c>
      <c r="G156" t="s">
        <v>0</v>
      </c>
      <c r="H156" s="1">
        <f>DATE(2021,2,2)</f>
        <v>44229</v>
      </c>
    </row>
    <row r="157" spans="1:8" x14ac:dyDescent="0.35">
      <c r="A157" s="2" t="s">
        <v>401</v>
      </c>
      <c r="B157" s="2" t="s">
        <v>402</v>
      </c>
      <c r="C157" s="2" t="s">
        <v>403</v>
      </c>
      <c r="D157" t="s">
        <v>5467</v>
      </c>
      <c r="E157" t="s">
        <v>6596</v>
      </c>
      <c r="F157" t="s">
        <v>12</v>
      </c>
      <c r="G157" t="s">
        <v>0</v>
      </c>
      <c r="H157" s="1">
        <f>DATE(2022,2,4)</f>
        <v>44596</v>
      </c>
    </row>
    <row r="158" spans="1:8" x14ac:dyDescent="0.35">
      <c r="A158" s="2" t="s">
        <v>404</v>
      </c>
      <c r="B158" s="2" t="s">
        <v>405</v>
      </c>
      <c r="C158" s="2" t="s">
        <v>406</v>
      </c>
      <c r="D158" t="s">
        <v>5468</v>
      </c>
      <c r="E158" t="s">
        <v>6597</v>
      </c>
      <c r="F158" t="s">
        <v>12</v>
      </c>
      <c r="G158" t="s">
        <v>0</v>
      </c>
      <c r="H158" s="1">
        <f t="shared" ref="H158:H164" si="1">DATE(2021,1,30)</f>
        <v>44226</v>
      </c>
    </row>
    <row r="159" spans="1:8" x14ac:dyDescent="0.35">
      <c r="A159" s="2" t="s">
        <v>407</v>
      </c>
      <c r="B159" s="2" t="s">
        <v>408</v>
      </c>
      <c r="C159" s="2" t="s">
        <v>409</v>
      </c>
      <c r="D159" t="s">
        <v>5469</v>
      </c>
      <c r="E159" t="s">
        <v>6598</v>
      </c>
      <c r="F159" t="s">
        <v>12</v>
      </c>
      <c r="G159" t="s">
        <v>0</v>
      </c>
      <c r="H159" s="1">
        <f t="shared" si="1"/>
        <v>44226</v>
      </c>
    </row>
    <row r="160" spans="1:8" x14ac:dyDescent="0.35">
      <c r="A160" s="2" t="s">
        <v>410</v>
      </c>
      <c r="B160" s="2" t="s">
        <v>411</v>
      </c>
      <c r="C160" s="2" t="s">
        <v>412</v>
      </c>
      <c r="D160" t="s">
        <v>5470</v>
      </c>
      <c r="E160" t="s">
        <v>6599</v>
      </c>
      <c r="F160" t="s">
        <v>12</v>
      </c>
      <c r="G160" t="s">
        <v>0</v>
      </c>
      <c r="H160" s="1">
        <f t="shared" si="1"/>
        <v>44226</v>
      </c>
    </row>
    <row r="161" spans="1:8" x14ac:dyDescent="0.35">
      <c r="A161" s="2" t="s">
        <v>413</v>
      </c>
      <c r="B161" s="2" t="s">
        <v>414</v>
      </c>
      <c r="C161" s="2" t="s">
        <v>415</v>
      </c>
      <c r="D161" t="s">
        <v>5471</v>
      </c>
      <c r="E161" t="s">
        <v>6600</v>
      </c>
      <c r="F161" t="s">
        <v>12</v>
      </c>
      <c r="G161" t="s">
        <v>0</v>
      </c>
      <c r="H161" s="1">
        <f t="shared" si="1"/>
        <v>44226</v>
      </c>
    </row>
    <row r="162" spans="1:8" x14ac:dyDescent="0.35">
      <c r="A162" s="2" t="s">
        <v>416</v>
      </c>
      <c r="B162" s="2" t="s">
        <v>417</v>
      </c>
      <c r="C162" s="2" t="s">
        <v>418</v>
      </c>
      <c r="D162" t="s">
        <v>5472</v>
      </c>
      <c r="E162" t="s">
        <v>6601</v>
      </c>
      <c r="F162" t="s">
        <v>12</v>
      </c>
      <c r="G162" t="s">
        <v>0</v>
      </c>
      <c r="H162" s="1">
        <f t="shared" si="1"/>
        <v>44226</v>
      </c>
    </row>
    <row r="163" spans="1:8" x14ac:dyDescent="0.35">
      <c r="A163" s="2" t="s">
        <v>419</v>
      </c>
      <c r="B163" s="2" t="s">
        <v>420</v>
      </c>
      <c r="C163" s="2" t="s">
        <v>421</v>
      </c>
      <c r="D163" t="s">
        <v>5473</v>
      </c>
      <c r="E163" t="s">
        <v>6602</v>
      </c>
      <c r="F163" t="s">
        <v>12</v>
      </c>
      <c r="G163" t="s">
        <v>0</v>
      </c>
      <c r="H163" s="1">
        <f t="shared" si="1"/>
        <v>44226</v>
      </c>
    </row>
    <row r="164" spans="1:8" x14ac:dyDescent="0.35">
      <c r="A164" s="2" t="s">
        <v>422</v>
      </c>
      <c r="B164" s="2" t="s">
        <v>423</v>
      </c>
      <c r="C164" s="2" t="s">
        <v>424</v>
      </c>
      <c r="D164" t="s">
        <v>5474</v>
      </c>
      <c r="E164" t="s">
        <v>6603</v>
      </c>
      <c r="F164" t="s">
        <v>12</v>
      </c>
      <c r="G164" t="s">
        <v>0</v>
      </c>
      <c r="H164" s="1">
        <f t="shared" si="1"/>
        <v>44226</v>
      </c>
    </row>
    <row r="165" spans="1:8" x14ac:dyDescent="0.35">
      <c r="A165" s="2" t="s">
        <v>425</v>
      </c>
      <c r="B165" s="2" t="s">
        <v>426</v>
      </c>
      <c r="D165" t="s">
        <v>5387</v>
      </c>
      <c r="E165" t="e">
        <v>#VALUE!</v>
      </c>
      <c r="F165" t="s">
        <v>12</v>
      </c>
      <c r="G165" t="s">
        <v>0</v>
      </c>
      <c r="H165" s="1">
        <f>DATE(2021,2,1)</f>
        <v>44228</v>
      </c>
    </row>
    <row r="166" spans="1:8" x14ac:dyDescent="0.35">
      <c r="A166" s="2" t="s">
        <v>427</v>
      </c>
      <c r="B166" s="2" t="s">
        <v>428</v>
      </c>
      <c r="D166" t="s">
        <v>5387</v>
      </c>
      <c r="E166" t="e">
        <v>#VALUE!</v>
      </c>
      <c r="F166" t="s">
        <v>12</v>
      </c>
      <c r="G166" t="s">
        <v>0</v>
      </c>
      <c r="H166" s="1">
        <f>DATE(2021,10,11)</f>
        <v>44480</v>
      </c>
    </row>
    <row r="167" spans="1:8" x14ac:dyDescent="0.35">
      <c r="A167" s="2" t="s">
        <v>429</v>
      </c>
      <c r="B167" s="2" t="s">
        <v>430</v>
      </c>
      <c r="D167" t="s">
        <v>5387</v>
      </c>
      <c r="E167" t="e">
        <v>#VALUE!</v>
      </c>
      <c r="F167" t="s">
        <v>12</v>
      </c>
      <c r="G167" t="s">
        <v>0</v>
      </c>
      <c r="H167" s="1">
        <f>DATE(2022,2,7)</f>
        <v>44599</v>
      </c>
    </row>
    <row r="168" spans="1:8" x14ac:dyDescent="0.35">
      <c r="A168" s="2" t="s">
        <v>431</v>
      </c>
      <c r="B168" s="2" t="s">
        <v>432</v>
      </c>
      <c r="D168" t="s">
        <v>5387</v>
      </c>
      <c r="E168" t="e">
        <v>#VALUE!</v>
      </c>
      <c r="F168" t="s">
        <v>12</v>
      </c>
      <c r="G168" t="s">
        <v>0</v>
      </c>
      <c r="H168" s="1">
        <f>DATE(2021,2,3)</f>
        <v>44230</v>
      </c>
    </row>
    <row r="169" spans="1:8" x14ac:dyDescent="0.35">
      <c r="A169" s="2" t="s">
        <v>433</v>
      </c>
      <c r="B169" s="2" t="s">
        <v>434</v>
      </c>
      <c r="C169" s="2" t="s">
        <v>435</v>
      </c>
      <c r="D169" t="s">
        <v>5475</v>
      </c>
      <c r="E169" t="s">
        <v>6604</v>
      </c>
      <c r="F169" t="s">
        <v>12</v>
      </c>
      <c r="G169" t="s">
        <v>0</v>
      </c>
      <c r="H169" s="1">
        <f>DATE(2021,2,3)</f>
        <v>44230</v>
      </c>
    </row>
    <row r="170" spans="1:8" x14ac:dyDescent="0.35">
      <c r="A170" s="2" t="s">
        <v>436</v>
      </c>
      <c r="B170" s="2" t="s">
        <v>437</v>
      </c>
      <c r="D170" t="s">
        <v>5387</v>
      </c>
      <c r="E170" t="e">
        <v>#VALUE!</v>
      </c>
      <c r="F170" t="s">
        <v>12</v>
      </c>
      <c r="G170" t="s">
        <v>0</v>
      </c>
      <c r="H170" s="1">
        <f>DATE(2022,3,14)</f>
        <v>44634</v>
      </c>
    </row>
    <row r="171" spans="1:8" x14ac:dyDescent="0.35">
      <c r="A171" s="2" t="s">
        <v>438</v>
      </c>
      <c r="B171" s="2" t="s">
        <v>439</v>
      </c>
      <c r="C171" s="2" t="s">
        <v>440</v>
      </c>
      <c r="D171" t="s">
        <v>5476</v>
      </c>
      <c r="E171" t="s">
        <v>6605</v>
      </c>
      <c r="F171" t="s">
        <v>12</v>
      </c>
      <c r="G171" t="s">
        <v>0</v>
      </c>
      <c r="H171" s="1">
        <f>DATE(2022,9,22)</f>
        <v>44826</v>
      </c>
    </row>
    <row r="172" spans="1:8" x14ac:dyDescent="0.35">
      <c r="A172" s="2" t="s">
        <v>441</v>
      </c>
      <c r="B172" s="2" t="s">
        <v>442</v>
      </c>
      <c r="C172" s="2" t="s">
        <v>443</v>
      </c>
      <c r="D172" t="s">
        <v>5477</v>
      </c>
      <c r="E172" t="s">
        <v>6606</v>
      </c>
      <c r="F172" t="s">
        <v>12</v>
      </c>
      <c r="G172" t="s">
        <v>0</v>
      </c>
      <c r="H172" s="1">
        <f>DATE(2021,2,4)</f>
        <v>44231</v>
      </c>
    </row>
    <row r="173" spans="1:8" x14ac:dyDescent="0.35">
      <c r="A173" s="2" t="s">
        <v>444</v>
      </c>
      <c r="B173" s="2" t="s">
        <v>445</v>
      </c>
      <c r="C173" s="2" t="s">
        <v>446</v>
      </c>
      <c r="D173" t="s">
        <v>5478</v>
      </c>
      <c r="E173" t="s">
        <v>6607</v>
      </c>
      <c r="F173" t="s">
        <v>12</v>
      </c>
      <c r="G173" t="s">
        <v>0</v>
      </c>
      <c r="H173" s="1">
        <f>DATE(2021,2,17)</f>
        <v>44244</v>
      </c>
    </row>
    <row r="174" spans="1:8" x14ac:dyDescent="0.35">
      <c r="A174" s="2" t="s">
        <v>447</v>
      </c>
      <c r="B174" s="2" t="s">
        <v>448</v>
      </c>
      <c r="D174" t="s">
        <v>5387</v>
      </c>
      <c r="E174" t="e">
        <v>#VALUE!</v>
      </c>
      <c r="F174" t="s">
        <v>12</v>
      </c>
      <c r="G174" t="s">
        <v>0</v>
      </c>
      <c r="H174" s="1">
        <f>DATE(2021,2,18)</f>
        <v>44245</v>
      </c>
    </row>
    <row r="175" spans="1:8" x14ac:dyDescent="0.35">
      <c r="A175" s="2" t="s">
        <v>449</v>
      </c>
      <c r="B175" s="2" t="s">
        <v>450</v>
      </c>
      <c r="D175" t="s">
        <v>5387</v>
      </c>
      <c r="E175" t="e">
        <v>#VALUE!</v>
      </c>
      <c r="F175" t="s">
        <v>12</v>
      </c>
      <c r="G175" t="s">
        <v>0</v>
      </c>
      <c r="H175" s="1">
        <f>DATE(2021,7,1)</f>
        <v>44378</v>
      </c>
    </row>
    <row r="176" spans="1:8" x14ac:dyDescent="0.35">
      <c r="A176" s="2" t="s">
        <v>451</v>
      </c>
      <c r="B176" s="2" t="s">
        <v>452</v>
      </c>
      <c r="C176" s="2" t="s">
        <v>453</v>
      </c>
      <c r="D176" t="s">
        <v>5479</v>
      </c>
      <c r="E176" t="s">
        <v>6608</v>
      </c>
      <c r="F176" t="s">
        <v>12</v>
      </c>
      <c r="G176" t="s">
        <v>0</v>
      </c>
      <c r="H176" s="1">
        <f>DATE(2022,6,7)</f>
        <v>44719</v>
      </c>
    </row>
    <row r="177" spans="1:8" x14ac:dyDescent="0.35">
      <c r="A177" s="2" t="s">
        <v>454</v>
      </c>
      <c r="B177" s="2" t="s">
        <v>455</v>
      </c>
      <c r="C177" s="2" t="s">
        <v>456</v>
      </c>
      <c r="D177" t="s">
        <v>5480</v>
      </c>
      <c r="E177" t="s">
        <v>6609</v>
      </c>
      <c r="F177" t="s">
        <v>12</v>
      </c>
      <c r="G177" t="s">
        <v>0</v>
      </c>
      <c r="H177" s="1">
        <f>DATE(2022,2,10)</f>
        <v>44602</v>
      </c>
    </row>
    <row r="178" spans="1:8" x14ac:dyDescent="0.35">
      <c r="A178" s="2" t="s">
        <v>457</v>
      </c>
      <c r="B178" s="2" t="s">
        <v>458</v>
      </c>
      <c r="D178" t="s">
        <v>5387</v>
      </c>
      <c r="E178" t="e">
        <v>#VALUE!</v>
      </c>
      <c r="F178" t="s">
        <v>12</v>
      </c>
      <c r="G178" t="s">
        <v>0</v>
      </c>
      <c r="H178" s="1">
        <f>DATE(2023,10,6)</f>
        <v>45205</v>
      </c>
    </row>
    <row r="179" spans="1:8" x14ac:dyDescent="0.35">
      <c r="A179" s="2" t="s">
        <v>459</v>
      </c>
      <c r="B179" s="2" t="s">
        <v>460</v>
      </c>
      <c r="D179" t="s">
        <v>5387</v>
      </c>
      <c r="E179" t="e">
        <v>#VALUE!</v>
      </c>
      <c r="F179" t="s">
        <v>50</v>
      </c>
      <c r="G179" t="s">
        <v>0</v>
      </c>
      <c r="H179" s="1">
        <f>DATE(2021,12,22)</f>
        <v>44552</v>
      </c>
    </row>
    <row r="180" spans="1:8" x14ac:dyDescent="0.35">
      <c r="A180" s="2" t="s">
        <v>461</v>
      </c>
      <c r="B180" s="2" t="s">
        <v>462</v>
      </c>
      <c r="C180" s="2" t="s">
        <v>463</v>
      </c>
      <c r="D180" t="s">
        <v>5481</v>
      </c>
      <c r="E180" t="s">
        <v>6610</v>
      </c>
      <c r="F180" t="s">
        <v>12</v>
      </c>
      <c r="G180" t="s">
        <v>0</v>
      </c>
      <c r="H180" s="1">
        <f>DATE(2023,7,5)</f>
        <v>45112</v>
      </c>
    </row>
    <row r="181" spans="1:8" x14ac:dyDescent="0.35">
      <c r="A181" s="2" t="s">
        <v>464</v>
      </c>
      <c r="B181" s="2" t="s">
        <v>465</v>
      </c>
      <c r="C181" s="2" t="s">
        <v>466</v>
      </c>
      <c r="D181" t="s">
        <v>5482</v>
      </c>
      <c r="E181" t="s">
        <v>6611</v>
      </c>
      <c r="F181" t="s">
        <v>12</v>
      </c>
      <c r="G181" t="s">
        <v>0</v>
      </c>
      <c r="H181" s="1">
        <f>DATE(2022,5,12)</f>
        <v>44693</v>
      </c>
    </row>
    <row r="182" spans="1:8" x14ac:dyDescent="0.35">
      <c r="A182" s="2" t="s">
        <v>467</v>
      </c>
      <c r="B182" s="2" t="s">
        <v>468</v>
      </c>
      <c r="D182" t="s">
        <v>5387</v>
      </c>
      <c r="E182" t="e">
        <v>#VALUE!</v>
      </c>
      <c r="F182" t="s">
        <v>12</v>
      </c>
      <c r="G182" t="s">
        <v>0</v>
      </c>
      <c r="H182" s="1">
        <f>DATE(2021,3,4)</f>
        <v>44259</v>
      </c>
    </row>
    <row r="183" spans="1:8" x14ac:dyDescent="0.35">
      <c r="A183" s="2" t="s">
        <v>469</v>
      </c>
      <c r="B183" s="2" t="s">
        <v>470</v>
      </c>
      <c r="C183" s="2" t="s">
        <v>471</v>
      </c>
      <c r="D183" t="s">
        <v>5483</v>
      </c>
      <c r="E183" t="s">
        <v>6612</v>
      </c>
      <c r="F183" t="s">
        <v>12</v>
      </c>
      <c r="G183" t="s">
        <v>0</v>
      </c>
      <c r="H183" s="1">
        <f>DATE(2022,5,30)</f>
        <v>44711</v>
      </c>
    </row>
    <row r="184" spans="1:8" x14ac:dyDescent="0.35">
      <c r="A184" s="2" t="s">
        <v>472</v>
      </c>
      <c r="B184" s="2" t="s">
        <v>473</v>
      </c>
      <c r="C184" s="2" t="s">
        <v>474</v>
      </c>
      <c r="D184" t="s">
        <v>5484</v>
      </c>
      <c r="E184" t="s">
        <v>6613</v>
      </c>
      <c r="F184" t="s">
        <v>12</v>
      </c>
      <c r="G184" t="s">
        <v>0</v>
      </c>
      <c r="H184" s="1">
        <f>DATE(2022,6,30)</f>
        <v>44742</v>
      </c>
    </row>
    <row r="185" spans="1:8" x14ac:dyDescent="0.35">
      <c r="A185" s="2" t="s">
        <v>475</v>
      </c>
      <c r="B185" s="2" t="s">
        <v>476</v>
      </c>
      <c r="C185" s="2" t="s">
        <v>477</v>
      </c>
      <c r="D185" t="s">
        <v>5485</v>
      </c>
      <c r="E185" t="s">
        <v>6614</v>
      </c>
      <c r="F185" t="s">
        <v>12</v>
      </c>
      <c r="G185" t="s">
        <v>0</v>
      </c>
      <c r="H185" s="1">
        <f>DATE(2021,11,16)</f>
        <v>44516</v>
      </c>
    </row>
    <row r="186" spans="1:8" x14ac:dyDescent="0.35">
      <c r="A186" s="2" t="s">
        <v>478</v>
      </c>
      <c r="B186" s="2" t="s">
        <v>479</v>
      </c>
      <c r="C186" s="2" t="s">
        <v>480</v>
      </c>
      <c r="D186" t="s">
        <v>5486</v>
      </c>
      <c r="E186" t="s">
        <v>6615</v>
      </c>
      <c r="F186" t="s">
        <v>12</v>
      </c>
      <c r="G186" t="s">
        <v>0</v>
      </c>
      <c r="H186" s="1">
        <f>DATE(2023,9,19)</f>
        <v>45188</v>
      </c>
    </row>
    <row r="187" spans="1:8" x14ac:dyDescent="0.35">
      <c r="A187" s="2" t="s">
        <v>481</v>
      </c>
      <c r="B187" s="2" t="s">
        <v>482</v>
      </c>
      <c r="D187" t="s">
        <v>5387</v>
      </c>
      <c r="E187" t="e">
        <v>#VALUE!</v>
      </c>
      <c r="F187" t="s">
        <v>12</v>
      </c>
      <c r="G187" t="s">
        <v>0</v>
      </c>
      <c r="H187" s="1">
        <f>DATE(2021,4,16)</f>
        <v>44302</v>
      </c>
    </row>
    <row r="188" spans="1:8" x14ac:dyDescent="0.35">
      <c r="A188" s="2" t="s">
        <v>483</v>
      </c>
      <c r="B188" s="2" t="s">
        <v>484</v>
      </c>
      <c r="C188" s="2" t="s">
        <v>485</v>
      </c>
      <c r="D188" t="s">
        <v>5487</v>
      </c>
      <c r="E188" t="s">
        <v>6616</v>
      </c>
      <c r="F188" t="s">
        <v>12</v>
      </c>
      <c r="G188" t="s">
        <v>0</v>
      </c>
      <c r="H188" s="1">
        <f>DATE(2021,12,23)</f>
        <v>44553</v>
      </c>
    </row>
    <row r="189" spans="1:8" x14ac:dyDescent="0.35">
      <c r="A189" s="2" t="s">
        <v>486</v>
      </c>
      <c r="B189" s="2" t="s">
        <v>487</v>
      </c>
      <c r="C189" s="2" t="s">
        <v>488</v>
      </c>
      <c r="D189" t="s">
        <v>5488</v>
      </c>
      <c r="E189" t="s">
        <v>6617</v>
      </c>
      <c r="F189" t="s">
        <v>12</v>
      </c>
      <c r="G189" t="s">
        <v>0</v>
      </c>
      <c r="H189" s="1">
        <f>DATE(2021,10,26)</f>
        <v>44495</v>
      </c>
    </row>
    <row r="190" spans="1:8" x14ac:dyDescent="0.35">
      <c r="A190" s="2" t="s">
        <v>489</v>
      </c>
      <c r="B190" s="2" t="s">
        <v>490</v>
      </c>
      <c r="D190" t="s">
        <v>5387</v>
      </c>
      <c r="E190" t="e">
        <v>#VALUE!</v>
      </c>
      <c r="F190" t="s">
        <v>12</v>
      </c>
      <c r="G190" t="s">
        <v>0</v>
      </c>
      <c r="H190" s="1">
        <f>DATE(2021,9,15)</f>
        <v>44454</v>
      </c>
    </row>
    <row r="191" spans="1:8" x14ac:dyDescent="0.35">
      <c r="A191" s="2" t="s">
        <v>491</v>
      </c>
      <c r="B191" s="2" t="s">
        <v>492</v>
      </c>
      <c r="C191" s="2" t="s">
        <v>493</v>
      </c>
      <c r="D191" t="s">
        <v>5489</v>
      </c>
      <c r="E191" t="s">
        <v>6618</v>
      </c>
      <c r="F191" t="s">
        <v>12</v>
      </c>
      <c r="G191" t="s">
        <v>0</v>
      </c>
      <c r="H191" s="1">
        <f>DATE(2021,11,3)</f>
        <v>44503</v>
      </c>
    </row>
    <row r="192" spans="1:8" x14ac:dyDescent="0.35">
      <c r="A192" s="2" t="s">
        <v>494</v>
      </c>
      <c r="B192" s="2" t="s">
        <v>495</v>
      </c>
      <c r="D192" t="s">
        <v>5387</v>
      </c>
      <c r="E192" t="e">
        <v>#VALUE!</v>
      </c>
      <c r="F192" t="s">
        <v>12</v>
      </c>
      <c r="G192" t="s">
        <v>0</v>
      </c>
      <c r="H192" s="1">
        <f>DATE(2021,4,13)</f>
        <v>44299</v>
      </c>
    </row>
    <row r="193" spans="1:8" x14ac:dyDescent="0.35">
      <c r="A193" s="2" t="s">
        <v>496</v>
      </c>
      <c r="B193" s="2" t="s">
        <v>497</v>
      </c>
      <c r="D193" t="s">
        <v>5387</v>
      </c>
      <c r="E193" t="e">
        <v>#VALUE!</v>
      </c>
      <c r="F193" t="s">
        <v>12</v>
      </c>
      <c r="G193" t="s">
        <v>0</v>
      </c>
      <c r="H193" s="1">
        <f>DATE(2021,9,27)</f>
        <v>44466</v>
      </c>
    </row>
    <row r="194" spans="1:8" x14ac:dyDescent="0.35">
      <c r="A194" s="2" t="s">
        <v>498</v>
      </c>
      <c r="B194" s="2" t="s">
        <v>499</v>
      </c>
      <c r="C194" s="2" t="s">
        <v>500</v>
      </c>
      <c r="D194" t="s">
        <v>5490</v>
      </c>
      <c r="E194" t="s">
        <v>6619</v>
      </c>
      <c r="F194" t="s">
        <v>12</v>
      </c>
      <c r="G194" t="s">
        <v>0</v>
      </c>
      <c r="H194" s="1">
        <f>DATE(2022,2,18)</f>
        <v>44610</v>
      </c>
    </row>
    <row r="195" spans="1:8" x14ac:dyDescent="0.35">
      <c r="A195" s="2" t="s">
        <v>501</v>
      </c>
      <c r="B195" s="2" t="s">
        <v>502</v>
      </c>
      <c r="C195" s="2" t="s">
        <v>503</v>
      </c>
      <c r="D195" t="s">
        <v>5491</v>
      </c>
      <c r="E195" t="s">
        <v>6620</v>
      </c>
      <c r="F195" t="s">
        <v>12</v>
      </c>
      <c r="G195" t="s">
        <v>0</v>
      </c>
      <c r="H195" s="1">
        <f>DATE(2022,8,29)</f>
        <v>44802</v>
      </c>
    </row>
    <row r="196" spans="1:8" x14ac:dyDescent="0.35">
      <c r="A196" s="2" t="s">
        <v>504</v>
      </c>
      <c r="B196" s="2" t="s">
        <v>505</v>
      </c>
      <c r="C196" s="2" t="s">
        <v>506</v>
      </c>
      <c r="D196" t="s">
        <v>5492</v>
      </c>
      <c r="E196" t="s">
        <v>6621</v>
      </c>
      <c r="F196" t="s">
        <v>12</v>
      </c>
      <c r="G196" t="s">
        <v>0</v>
      </c>
      <c r="H196" s="1">
        <f>DATE(2022,8,8)</f>
        <v>44781</v>
      </c>
    </row>
    <row r="197" spans="1:8" x14ac:dyDescent="0.35">
      <c r="A197" s="2" t="s">
        <v>507</v>
      </c>
      <c r="B197" s="2" t="s">
        <v>508</v>
      </c>
      <c r="C197" s="2" t="s">
        <v>509</v>
      </c>
      <c r="D197" t="s">
        <v>5493</v>
      </c>
      <c r="E197" t="s">
        <v>6622</v>
      </c>
      <c r="F197" t="s">
        <v>12</v>
      </c>
      <c r="G197" t="s">
        <v>0</v>
      </c>
      <c r="H197" s="1">
        <f>DATE(2023,6,26)</f>
        <v>45103</v>
      </c>
    </row>
    <row r="198" spans="1:8" x14ac:dyDescent="0.35">
      <c r="A198" s="2" t="s">
        <v>510</v>
      </c>
      <c r="B198" s="2" t="s">
        <v>511</v>
      </c>
      <c r="C198" s="2" t="s">
        <v>512</v>
      </c>
      <c r="D198" t="s">
        <v>5494</v>
      </c>
      <c r="E198" t="s">
        <v>6623</v>
      </c>
      <c r="F198" t="s">
        <v>12</v>
      </c>
      <c r="G198" t="s">
        <v>0</v>
      </c>
      <c r="H198" s="1">
        <f>DATE(2021,4,23)</f>
        <v>44309</v>
      </c>
    </row>
    <row r="199" spans="1:8" x14ac:dyDescent="0.35">
      <c r="A199" s="2" t="s">
        <v>513</v>
      </c>
      <c r="B199" s="2" t="s">
        <v>514</v>
      </c>
      <c r="C199" s="2" t="s">
        <v>515</v>
      </c>
      <c r="D199" t="s">
        <v>5495</v>
      </c>
      <c r="E199" t="s">
        <v>6624</v>
      </c>
      <c r="F199" t="s">
        <v>12</v>
      </c>
      <c r="G199" t="s">
        <v>0</v>
      </c>
      <c r="H199" s="1">
        <f>DATE(2022,2,4)</f>
        <v>44596</v>
      </c>
    </row>
    <row r="200" spans="1:8" x14ac:dyDescent="0.35">
      <c r="A200" s="2" t="s">
        <v>516</v>
      </c>
      <c r="B200" s="2" t="s">
        <v>517</v>
      </c>
      <c r="C200" s="2" t="s">
        <v>518</v>
      </c>
      <c r="D200" t="s">
        <v>5496</v>
      </c>
      <c r="E200" t="s">
        <v>6625</v>
      </c>
      <c r="F200" t="s">
        <v>12</v>
      </c>
      <c r="G200" t="s">
        <v>0</v>
      </c>
      <c r="H200" s="1">
        <f>DATE(2021,5,21)</f>
        <v>44337</v>
      </c>
    </row>
    <row r="201" spans="1:8" x14ac:dyDescent="0.35">
      <c r="A201" s="2" t="s">
        <v>519</v>
      </c>
      <c r="B201" s="2" t="s">
        <v>520</v>
      </c>
      <c r="C201" s="2" t="s">
        <v>521</v>
      </c>
      <c r="D201" t="s">
        <v>5497</v>
      </c>
      <c r="E201" t="s">
        <v>6626</v>
      </c>
      <c r="F201" t="s">
        <v>12</v>
      </c>
      <c r="G201" t="s">
        <v>0</v>
      </c>
      <c r="H201" s="1">
        <f>DATE(2020,11,26)</f>
        <v>44161</v>
      </c>
    </row>
    <row r="202" spans="1:8" x14ac:dyDescent="0.35">
      <c r="A202" s="2" t="s">
        <v>522</v>
      </c>
      <c r="B202" s="2" t="s">
        <v>523</v>
      </c>
      <c r="D202" t="s">
        <v>5387</v>
      </c>
      <c r="E202" t="e">
        <v>#VALUE!</v>
      </c>
      <c r="F202" t="s">
        <v>12</v>
      </c>
      <c r="G202" t="s">
        <v>0</v>
      </c>
      <c r="H202" s="1">
        <f>DATE(2020,1,10)</f>
        <v>43840</v>
      </c>
    </row>
    <row r="203" spans="1:8" x14ac:dyDescent="0.35">
      <c r="A203" s="2" t="s">
        <v>524</v>
      </c>
      <c r="B203" s="2" t="s">
        <v>525</v>
      </c>
      <c r="D203" t="s">
        <v>5387</v>
      </c>
      <c r="E203" t="e">
        <v>#VALUE!</v>
      </c>
      <c r="F203" t="s">
        <v>12</v>
      </c>
      <c r="G203" t="s">
        <v>0</v>
      </c>
      <c r="H203" s="1">
        <f>DATE(2020,1,7)</f>
        <v>43837</v>
      </c>
    </row>
    <row r="204" spans="1:8" x14ac:dyDescent="0.35">
      <c r="A204" s="2" t="s">
        <v>526</v>
      </c>
      <c r="B204" s="2" t="s">
        <v>527</v>
      </c>
      <c r="C204" s="2" t="s">
        <v>528</v>
      </c>
      <c r="D204" t="s">
        <v>5498</v>
      </c>
      <c r="E204" t="s">
        <v>6627</v>
      </c>
      <c r="F204" t="s">
        <v>12</v>
      </c>
      <c r="G204" t="s">
        <v>0</v>
      </c>
      <c r="H204" s="1">
        <f>DATE(2022,12,16)</f>
        <v>44911</v>
      </c>
    </row>
    <row r="205" spans="1:8" x14ac:dyDescent="0.35">
      <c r="A205" s="2" t="s">
        <v>529</v>
      </c>
      <c r="B205" s="2" t="s">
        <v>530</v>
      </c>
      <c r="D205" t="s">
        <v>5387</v>
      </c>
      <c r="E205" t="e">
        <v>#VALUE!</v>
      </c>
      <c r="F205" t="s">
        <v>12</v>
      </c>
      <c r="G205" t="s">
        <v>0</v>
      </c>
      <c r="H205" s="1">
        <f>DATE(2022,12,13)</f>
        <v>44908</v>
      </c>
    </row>
    <row r="206" spans="1:8" x14ac:dyDescent="0.35">
      <c r="A206" s="2" t="s">
        <v>531</v>
      </c>
      <c r="B206" s="2" t="s">
        <v>532</v>
      </c>
      <c r="D206" t="s">
        <v>5387</v>
      </c>
      <c r="E206" t="e">
        <v>#VALUE!</v>
      </c>
      <c r="F206" t="s">
        <v>12</v>
      </c>
      <c r="G206" t="s">
        <v>0</v>
      </c>
      <c r="H206" s="1">
        <f>DATE(2023,6,19)</f>
        <v>45096</v>
      </c>
    </row>
    <row r="207" spans="1:8" x14ac:dyDescent="0.35">
      <c r="A207" s="2" t="s">
        <v>533</v>
      </c>
      <c r="B207" s="2" t="s">
        <v>534</v>
      </c>
      <c r="D207" t="s">
        <v>5387</v>
      </c>
      <c r="E207" t="e">
        <v>#VALUE!</v>
      </c>
      <c r="F207" t="s">
        <v>218</v>
      </c>
      <c r="G207" t="s">
        <v>0</v>
      </c>
      <c r="H207" s="1">
        <f>DATE(2022,3,18)</f>
        <v>44638</v>
      </c>
    </row>
    <row r="208" spans="1:8" x14ac:dyDescent="0.35">
      <c r="A208" s="2" t="s">
        <v>535</v>
      </c>
      <c r="B208" s="2" t="s">
        <v>536</v>
      </c>
      <c r="D208" t="s">
        <v>5387</v>
      </c>
      <c r="E208" t="e">
        <v>#VALUE!</v>
      </c>
      <c r="F208" t="s">
        <v>218</v>
      </c>
      <c r="G208" t="s">
        <v>0</v>
      </c>
      <c r="H208" s="1">
        <f>DATE(2022,8,31)</f>
        <v>44804</v>
      </c>
    </row>
    <row r="209" spans="1:8" x14ac:dyDescent="0.35">
      <c r="A209" s="2" t="s">
        <v>537</v>
      </c>
      <c r="B209" s="2" t="s">
        <v>538</v>
      </c>
      <c r="C209" s="2" t="s">
        <v>539</v>
      </c>
      <c r="D209" t="s">
        <v>5499</v>
      </c>
      <c r="E209" t="s">
        <v>6628</v>
      </c>
      <c r="F209" t="s">
        <v>12</v>
      </c>
      <c r="G209" t="s">
        <v>0</v>
      </c>
      <c r="H209" s="1">
        <f>DATE(2020,5,28)</f>
        <v>43979</v>
      </c>
    </row>
    <row r="210" spans="1:8" x14ac:dyDescent="0.35">
      <c r="A210" s="2" t="s">
        <v>540</v>
      </c>
      <c r="B210" s="2" t="s">
        <v>541</v>
      </c>
      <c r="C210" s="2" t="s">
        <v>542</v>
      </c>
      <c r="D210" t="s">
        <v>5500</v>
      </c>
      <c r="E210" t="s">
        <v>6629</v>
      </c>
      <c r="F210" t="s">
        <v>12</v>
      </c>
      <c r="G210" t="s">
        <v>0</v>
      </c>
      <c r="H210" s="1">
        <f>DATE(2023,8,4)</f>
        <v>45142</v>
      </c>
    </row>
    <row r="211" spans="1:8" x14ac:dyDescent="0.35">
      <c r="A211" s="2" t="s">
        <v>543</v>
      </c>
      <c r="B211" s="2" t="s">
        <v>544</v>
      </c>
      <c r="D211" t="s">
        <v>5387</v>
      </c>
      <c r="E211" t="e">
        <v>#VALUE!</v>
      </c>
      <c r="F211" t="s">
        <v>12</v>
      </c>
      <c r="G211" t="s">
        <v>0</v>
      </c>
      <c r="H211" s="1">
        <f>DATE(2023,6,19)</f>
        <v>45096</v>
      </c>
    </row>
    <row r="212" spans="1:8" x14ac:dyDescent="0.35">
      <c r="A212" s="2" t="s">
        <v>545</v>
      </c>
      <c r="B212" s="2" t="s">
        <v>546</v>
      </c>
      <c r="D212" t="s">
        <v>5387</v>
      </c>
      <c r="E212" t="e">
        <v>#VALUE!</v>
      </c>
      <c r="F212" t="s">
        <v>12</v>
      </c>
      <c r="G212" t="s">
        <v>0</v>
      </c>
      <c r="H212" s="1">
        <f>DATE(2023,6,19)</f>
        <v>45096</v>
      </c>
    </row>
    <row r="213" spans="1:8" x14ac:dyDescent="0.35">
      <c r="A213" s="2" t="s">
        <v>547</v>
      </c>
      <c r="B213" s="2" t="s">
        <v>548</v>
      </c>
      <c r="D213" t="s">
        <v>5387</v>
      </c>
      <c r="E213" t="e">
        <v>#VALUE!</v>
      </c>
      <c r="F213" t="s">
        <v>12</v>
      </c>
      <c r="G213" t="s">
        <v>0</v>
      </c>
      <c r="H213" s="1">
        <f>DATE(2020,4,15)</f>
        <v>43936</v>
      </c>
    </row>
    <row r="214" spans="1:8" x14ac:dyDescent="0.35">
      <c r="A214" s="2" t="s">
        <v>549</v>
      </c>
      <c r="B214" s="2" t="s">
        <v>550</v>
      </c>
      <c r="D214" t="s">
        <v>5387</v>
      </c>
      <c r="E214" t="e">
        <v>#VALUE!</v>
      </c>
      <c r="F214" t="s">
        <v>12</v>
      </c>
      <c r="G214" t="s">
        <v>0</v>
      </c>
      <c r="H214" s="1">
        <f>DATE(2023,10,25)</f>
        <v>45224</v>
      </c>
    </row>
    <row r="215" spans="1:8" x14ac:dyDescent="0.35">
      <c r="A215" s="2" t="s">
        <v>551</v>
      </c>
      <c r="B215" s="2" t="s">
        <v>552</v>
      </c>
      <c r="C215" s="2" t="s">
        <v>553</v>
      </c>
      <c r="D215" t="s">
        <v>5501</v>
      </c>
      <c r="E215" t="s">
        <v>6630</v>
      </c>
      <c r="F215" t="s">
        <v>12</v>
      </c>
      <c r="G215" t="s">
        <v>0</v>
      </c>
      <c r="H215" s="1">
        <f>DATE(2021,9,6)</f>
        <v>44445</v>
      </c>
    </row>
    <row r="216" spans="1:8" x14ac:dyDescent="0.35">
      <c r="A216" s="2" t="s">
        <v>554</v>
      </c>
      <c r="B216" s="2" t="s">
        <v>555</v>
      </c>
      <c r="D216" t="s">
        <v>5387</v>
      </c>
      <c r="E216" t="e">
        <v>#VALUE!</v>
      </c>
      <c r="F216" t="s">
        <v>12</v>
      </c>
      <c r="G216" t="s">
        <v>0</v>
      </c>
      <c r="H216" s="1">
        <f>DATE(2023,7,6)</f>
        <v>45113</v>
      </c>
    </row>
    <row r="217" spans="1:8" x14ac:dyDescent="0.35">
      <c r="A217" s="2" t="s">
        <v>556</v>
      </c>
      <c r="B217" s="2" t="s">
        <v>557</v>
      </c>
      <c r="D217" t="s">
        <v>5387</v>
      </c>
      <c r="E217" t="e">
        <v>#VALUE!</v>
      </c>
      <c r="F217" t="s">
        <v>12</v>
      </c>
      <c r="G217" t="s">
        <v>0</v>
      </c>
      <c r="H217" s="1">
        <f>DATE(2023,7,6)</f>
        <v>45113</v>
      </c>
    </row>
    <row r="218" spans="1:8" x14ac:dyDescent="0.35">
      <c r="A218" s="2" t="s">
        <v>558</v>
      </c>
      <c r="B218" s="2" t="s">
        <v>559</v>
      </c>
      <c r="C218" s="2" t="s">
        <v>560</v>
      </c>
      <c r="D218" t="s">
        <v>5502</v>
      </c>
      <c r="E218" t="s">
        <v>6631</v>
      </c>
      <c r="F218" t="s">
        <v>12</v>
      </c>
      <c r="G218" t="s">
        <v>0</v>
      </c>
      <c r="H218" s="1">
        <f>DATE(2020,1,15)</f>
        <v>43845</v>
      </c>
    </row>
    <row r="219" spans="1:8" x14ac:dyDescent="0.35">
      <c r="A219" s="2" t="s">
        <v>561</v>
      </c>
      <c r="B219" s="2" t="s">
        <v>562</v>
      </c>
      <c r="C219" s="2" t="s">
        <v>563</v>
      </c>
      <c r="D219" t="s">
        <v>5503</v>
      </c>
      <c r="E219" t="s">
        <v>6632</v>
      </c>
      <c r="F219" t="s">
        <v>12</v>
      </c>
      <c r="G219" t="s">
        <v>0</v>
      </c>
      <c r="H219" s="1">
        <f>DATE(2023,11,9)</f>
        <v>45239</v>
      </c>
    </row>
    <row r="220" spans="1:8" x14ac:dyDescent="0.35">
      <c r="A220" s="2" t="s">
        <v>564</v>
      </c>
      <c r="B220" s="2" t="s">
        <v>565</v>
      </c>
      <c r="D220" t="s">
        <v>5387</v>
      </c>
      <c r="E220" t="e">
        <v>#VALUE!</v>
      </c>
      <c r="F220" t="s">
        <v>12</v>
      </c>
      <c r="G220" t="s">
        <v>0</v>
      </c>
      <c r="H220" s="1">
        <f>DATE(2023,6,19)</f>
        <v>45096</v>
      </c>
    </row>
    <row r="221" spans="1:8" x14ac:dyDescent="0.35">
      <c r="A221" s="2" t="s">
        <v>566</v>
      </c>
      <c r="B221" s="2" t="s">
        <v>567</v>
      </c>
      <c r="D221" t="s">
        <v>5387</v>
      </c>
      <c r="E221" t="e">
        <v>#VALUE!</v>
      </c>
      <c r="F221" t="s">
        <v>568</v>
      </c>
      <c r="G221" t="s">
        <v>0</v>
      </c>
      <c r="H221" s="1">
        <f>DATE(2022,10,31)</f>
        <v>44865</v>
      </c>
    </row>
    <row r="222" spans="1:8" x14ac:dyDescent="0.35">
      <c r="A222" s="2" t="s">
        <v>569</v>
      </c>
      <c r="B222" s="2" t="s">
        <v>570</v>
      </c>
      <c r="C222" s="2" t="s">
        <v>571</v>
      </c>
      <c r="D222" t="s">
        <v>5504</v>
      </c>
      <c r="E222" t="s">
        <v>6633</v>
      </c>
      <c r="F222" t="s">
        <v>12</v>
      </c>
      <c r="G222" t="s">
        <v>0</v>
      </c>
      <c r="H222" s="1">
        <f>DATE(2023,2,8)</f>
        <v>44965</v>
      </c>
    </row>
    <row r="223" spans="1:8" x14ac:dyDescent="0.35">
      <c r="A223" s="2" t="s">
        <v>572</v>
      </c>
      <c r="B223" s="2" t="s">
        <v>573</v>
      </c>
      <c r="C223" s="2" t="s">
        <v>574</v>
      </c>
      <c r="D223" t="s">
        <v>5505</v>
      </c>
      <c r="E223" t="s">
        <v>6634</v>
      </c>
      <c r="F223" t="s">
        <v>12</v>
      </c>
      <c r="G223" t="s">
        <v>0</v>
      </c>
      <c r="H223" s="1">
        <f>DATE(2023,6,19)</f>
        <v>45096</v>
      </c>
    </row>
    <row r="224" spans="1:8" x14ac:dyDescent="0.35">
      <c r="A224" s="2" t="s">
        <v>575</v>
      </c>
      <c r="B224" s="2" t="s">
        <v>576</v>
      </c>
      <c r="D224" t="s">
        <v>5387</v>
      </c>
      <c r="E224" t="e">
        <v>#VALUE!</v>
      </c>
      <c r="F224" t="s">
        <v>12</v>
      </c>
      <c r="G224" t="s">
        <v>0</v>
      </c>
      <c r="H224" s="1">
        <f>DATE(2023,12,28)</f>
        <v>45288</v>
      </c>
    </row>
    <row r="225" spans="1:8" x14ac:dyDescent="0.35">
      <c r="A225" s="2" t="s">
        <v>577</v>
      </c>
      <c r="B225" s="2" t="s">
        <v>578</v>
      </c>
      <c r="C225" s="2" t="s">
        <v>579</v>
      </c>
      <c r="D225" t="s">
        <v>5506</v>
      </c>
      <c r="E225" t="s">
        <v>6635</v>
      </c>
      <c r="F225" t="s">
        <v>12</v>
      </c>
      <c r="G225" t="s">
        <v>0</v>
      </c>
      <c r="H225" s="1">
        <f>DATE(2022,8,23)</f>
        <v>44796</v>
      </c>
    </row>
    <row r="226" spans="1:8" x14ac:dyDescent="0.35">
      <c r="A226" s="2" t="s">
        <v>580</v>
      </c>
      <c r="B226" s="2" t="s">
        <v>581</v>
      </c>
      <c r="C226" s="2" t="s">
        <v>582</v>
      </c>
      <c r="D226" t="s">
        <v>5507</v>
      </c>
      <c r="E226" t="s">
        <v>6636</v>
      </c>
      <c r="F226" t="s">
        <v>12</v>
      </c>
      <c r="G226" t="s">
        <v>0</v>
      </c>
      <c r="H226" s="1">
        <f>DATE(2023,6,19)</f>
        <v>45096</v>
      </c>
    </row>
    <row r="227" spans="1:8" x14ac:dyDescent="0.35">
      <c r="A227" s="2" t="s">
        <v>583</v>
      </c>
      <c r="B227" s="2" t="s">
        <v>584</v>
      </c>
      <c r="D227" t="s">
        <v>5387</v>
      </c>
      <c r="E227" t="e">
        <v>#VALUE!</v>
      </c>
      <c r="F227" t="s">
        <v>25</v>
      </c>
      <c r="G227" t="s">
        <v>0</v>
      </c>
      <c r="H227" s="1">
        <f>DATE(2022,5,12)</f>
        <v>44693</v>
      </c>
    </row>
    <row r="228" spans="1:8" x14ac:dyDescent="0.35">
      <c r="A228" s="2" t="s">
        <v>585</v>
      </c>
      <c r="B228" s="2" t="s">
        <v>586</v>
      </c>
      <c r="D228" t="s">
        <v>5387</v>
      </c>
      <c r="E228" t="e">
        <v>#VALUE!</v>
      </c>
      <c r="F228" t="s">
        <v>9</v>
      </c>
      <c r="G228" t="s">
        <v>0</v>
      </c>
      <c r="H228" s="1">
        <f>DATE(2023,7,6)</f>
        <v>45113</v>
      </c>
    </row>
    <row r="229" spans="1:8" x14ac:dyDescent="0.35">
      <c r="A229" s="2" t="s">
        <v>587</v>
      </c>
      <c r="B229" s="2" t="s">
        <v>588</v>
      </c>
      <c r="C229" s="2" t="s">
        <v>589</v>
      </c>
      <c r="D229" t="s">
        <v>5508</v>
      </c>
      <c r="E229" t="s">
        <v>6637</v>
      </c>
      <c r="F229" t="s">
        <v>12</v>
      </c>
      <c r="G229" t="s">
        <v>0</v>
      </c>
      <c r="H229" s="1">
        <f>DATE(2021,9,15)</f>
        <v>44454</v>
      </c>
    </row>
    <row r="230" spans="1:8" x14ac:dyDescent="0.35">
      <c r="A230" s="2" t="s">
        <v>590</v>
      </c>
      <c r="B230" s="2" t="s">
        <v>591</v>
      </c>
      <c r="C230" s="2" t="s">
        <v>592</v>
      </c>
      <c r="D230" t="s">
        <v>5509</v>
      </c>
      <c r="E230" t="s">
        <v>6638</v>
      </c>
      <c r="F230" t="s">
        <v>12</v>
      </c>
      <c r="G230" t="s">
        <v>0</v>
      </c>
      <c r="H230" s="1">
        <f>DATE(2023,11,10)</f>
        <v>45240</v>
      </c>
    </row>
    <row r="231" spans="1:8" x14ac:dyDescent="0.35">
      <c r="A231" s="2" t="s">
        <v>593</v>
      </c>
      <c r="B231" s="2" t="s">
        <v>594</v>
      </c>
      <c r="C231" s="2" t="s">
        <v>595</v>
      </c>
      <c r="D231" t="s">
        <v>5510</v>
      </c>
      <c r="E231" t="s">
        <v>6639</v>
      </c>
      <c r="F231" t="s">
        <v>12</v>
      </c>
      <c r="G231" t="s">
        <v>0</v>
      </c>
      <c r="H231" s="1">
        <f>DATE(2020,1,28)</f>
        <v>43858</v>
      </c>
    </row>
    <row r="232" spans="1:8" x14ac:dyDescent="0.35">
      <c r="A232" s="2" t="s">
        <v>596</v>
      </c>
      <c r="B232" s="2" t="s">
        <v>597</v>
      </c>
      <c r="D232" t="s">
        <v>5387</v>
      </c>
      <c r="E232" t="e">
        <v>#VALUE!</v>
      </c>
      <c r="F232" t="s">
        <v>12</v>
      </c>
      <c r="G232" t="s">
        <v>0</v>
      </c>
      <c r="H232" s="1">
        <f>DATE(2023,6,19)</f>
        <v>45096</v>
      </c>
    </row>
    <row r="233" spans="1:8" x14ac:dyDescent="0.35">
      <c r="A233" s="2" t="s">
        <v>598</v>
      </c>
      <c r="B233" s="2" t="s">
        <v>599</v>
      </c>
      <c r="D233" t="s">
        <v>5387</v>
      </c>
      <c r="E233" t="e">
        <v>#VALUE!</v>
      </c>
      <c r="F233" t="s">
        <v>12</v>
      </c>
      <c r="G233" t="s">
        <v>0</v>
      </c>
      <c r="H233" s="1">
        <f>DATE(2022,3,16)</f>
        <v>44636</v>
      </c>
    </row>
    <row r="234" spans="1:8" x14ac:dyDescent="0.35">
      <c r="A234" s="2" t="s">
        <v>600</v>
      </c>
      <c r="B234" s="2" t="s">
        <v>601</v>
      </c>
      <c r="D234" t="s">
        <v>5387</v>
      </c>
      <c r="E234" t="e">
        <v>#VALUE!</v>
      </c>
      <c r="F234" t="s">
        <v>12</v>
      </c>
      <c r="G234" t="s">
        <v>0</v>
      </c>
      <c r="H234" s="1">
        <f>DATE(2023,7,6)</f>
        <v>45113</v>
      </c>
    </row>
    <row r="235" spans="1:8" x14ac:dyDescent="0.35">
      <c r="A235" s="2" t="s">
        <v>602</v>
      </c>
      <c r="B235" s="2" t="s">
        <v>603</v>
      </c>
      <c r="C235" s="2" t="s">
        <v>604</v>
      </c>
      <c r="D235" t="s">
        <v>5511</v>
      </c>
      <c r="E235" t="s">
        <v>6640</v>
      </c>
      <c r="F235" t="s">
        <v>12</v>
      </c>
      <c r="G235" t="s">
        <v>0</v>
      </c>
      <c r="H235" s="1">
        <f>DATE(2023,6,20)</f>
        <v>45097</v>
      </c>
    </row>
    <row r="236" spans="1:8" x14ac:dyDescent="0.35">
      <c r="A236" s="2" t="s">
        <v>605</v>
      </c>
      <c r="B236" s="2" t="s">
        <v>606</v>
      </c>
      <c r="C236" s="2" t="s">
        <v>607</v>
      </c>
      <c r="D236" t="s">
        <v>5512</v>
      </c>
      <c r="E236" t="s">
        <v>6641</v>
      </c>
      <c r="F236" t="s">
        <v>12</v>
      </c>
      <c r="G236" t="s">
        <v>0</v>
      </c>
      <c r="H236" s="1">
        <f>DATE(2023,7,19)</f>
        <v>45126</v>
      </c>
    </row>
    <row r="237" spans="1:8" x14ac:dyDescent="0.35">
      <c r="A237" s="2" t="s">
        <v>608</v>
      </c>
      <c r="B237" s="2" t="s">
        <v>609</v>
      </c>
      <c r="D237" t="s">
        <v>5387</v>
      </c>
      <c r="E237" t="e">
        <v>#VALUE!</v>
      </c>
      <c r="F237" t="s">
        <v>12</v>
      </c>
      <c r="G237" t="s">
        <v>0</v>
      </c>
      <c r="H237" s="1">
        <f>DATE(2023,6,20)</f>
        <v>45097</v>
      </c>
    </row>
    <row r="238" spans="1:8" x14ac:dyDescent="0.35">
      <c r="A238" s="2" t="s">
        <v>610</v>
      </c>
      <c r="B238" s="2" t="s">
        <v>611</v>
      </c>
      <c r="C238" s="2" t="s">
        <v>612</v>
      </c>
      <c r="D238" t="s">
        <v>5513</v>
      </c>
      <c r="E238" t="s">
        <v>6642</v>
      </c>
      <c r="F238" t="s">
        <v>12</v>
      </c>
      <c r="G238" t="s">
        <v>0</v>
      </c>
      <c r="H238" s="1">
        <f>DATE(2023,6,20)</f>
        <v>45097</v>
      </c>
    </row>
    <row r="239" spans="1:8" x14ac:dyDescent="0.35">
      <c r="A239" s="2" t="s">
        <v>613</v>
      </c>
      <c r="B239" s="2" t="s">
        <v>614</v>
      </c>
      <c r="C239" s="2" t="s">
        <v>615</v>
      </c>
      <c r="D239" t="s">
        <v>5514</v>
      </c>
      <c r="E239" t="s">
        <v>6643</v>
      </c>
      <c r="F239" t="s">
        <v>12</v>
      </c>
      <c r="G239" t="s">
        <v>0</v>
      </c>
      <c r="H239" s="1">
        <f>DATE(2022,11,4)</f>
        <v>44869</v>
      </c>
    </row>
    <row r="240" spans="1:8" x14ac:dyDescent="0.35">
      <c r="A240" s="2" t="s">
        <v>616</v>
      </c>
      <c r="B240" s="2" t="s">
        <v>617</v>
      </c>
      <c r="C240" s="2" t="s">
        <v>618</v>
      </c>
      <c r="D240" t="s">
        <v>5515</v>
      </c>
      <c r="E240" t="s">
        <v>6644</v>
      </c>
      <c r="F240" t="s">
        <v>12</v>
      </c>
      <c r="G240" t="s">
        <v>0</v>
      </c>
      <c r="H240" s="1">
        <f>DATE(2023,6,20)</f>
        <v>45097</v>
      </c>
    </row>
    <row r="241" spans="1:8" x14ac:dyDescent="0.35">
      <c r="A241" s="2" t="s">
        <v>619</v>
      </c>
      <c r="B241" s="2" t="s">
        <v>620</v>
      </c>
      <c r="D241" t="s">
        <v>5387</v>
      </c>
      <c r="E241" t="e">
        <v>#VALUE!</v>
      </c>
      <c r="F241" t="s">
        <v>12</v>
      </c>
      <c r="G241" t="s">
        <v>0</v>
      </c>
      <c r="H241" s="1">
        <f>DATE(2023,10,30)</f>
        <v>45229</v>
      </c>
    </row>
    <row r="242" spans="1:8" x14ac:dyDescent="0.35">
      <c r="A242" s="2" t="s">
        <v>621</v>
      </c>
      <c r="B242" s="2" t="s">
        <v>622</v>
      </c>
      <c r="D242" t="s">
        <v>5387</v>
      </c>
      <c r="E242" t="e">
        <v>#VALUE!</v>
      </c>
      <c r="F242" t="s">
        <v>12</v>
      </c>
      <c r="G242" t="s">
        <v>0</v>
      </c>
      <c r="H242" s="1">
        <f>DATE(2022,11,3)</f>
        <v>44868</v>
      </c>
    </row>
    <row r="243" spans="1:8" x14ac:dyDescent="0.35">
      <c r="A243" s="2" t="s">
        <v>623</v>
      </c>
      <c r="B243" s="2" t="s">
        <v>624</v>
      </c>
      <c r="D243" t="s">
        <v>5387</v>
      </c>
      <c r="E243" t="e">
        <v>#VALUE!</v>
      </c>
      <c r="F243" t="s">
        <v>12</v>
      </c>
      <c r="G243" t="s">
        <v>0</v>
      </c>
      <c r="H243" s="1">
        <f>DATE(2023,6,20)</f>
        <v>45097</v>
      </c>
    </row>
    <row r="244" spans="1:8" x14ac:dyDescent="0.35">
      <c r="A244" s="2" t="s">
        <v>625</v>
      </c>
      <c r="B244" s="2" t="s">
        <v>626</v>
      </c>
      <c r="C244" s="2" t="s">
        <v>627</v>
      </c>
      <c r="D244" t="s">
        <v>5516</v>
      </c>
      <c r="E244" t="s">
        <v>6645</v>
      </c>
      <c r="F244" t="s">
        <v>12</v>
      </c>
      <c r="G244" t="s">
        <v>0</v>
      </c>
      <c r="H244" s="1">
        <f>DATE(2023,12,1)</f>
        <v>45261</v>
      </c>
    </row>
    <row r="245" spans="1:8" x14ac:dyDescent="0.35">
      <c r="A245" s="2" t="s">
        <v>628</v>
      </c>
      <c r="B245" s="2" t="s">
        <v>629</v>
      </c>
      <c r="D245" t="s">
        <v>5387</v>
      </c>
      <c r="E245" t="e">
        <v>#VALUE!</v>
      </c>
      <c r="F245" t="s">
        <v>12</v>
      </c>
      <c r="G245" t="s">
        <v>0</v>
      </c>
      <c r="H245" s="1">
        <f>DATE(2023,6,20)</f>
        <v>45097</v>
      </c>
    </row>
    <row r="246" spans="1:8" x14ac:dyDescent="0.35">
      <c r="A246" s="2" t="s">
        <v>630</v>
      </c>
      <c r="B246" s="2" t="s">
        <v>631</v>
      </c>
      <c r="C246" s="2" t="s">
        <v>632</v>
      </c>
      <c r="D246" t="s">
        <v>5517</v>
      </c>
      <c r="E246" t="s">
        <v>6646</v>
      </c>
      <c r="F246" t="s">
        <v>12</v>
      </c>
      <c r="G246" t="s">
        <v>0</v>
      </c>
      <c r="H246" s="1">
        <f>DATE(2023,12,26)</f>
        <v>45286</v>
      </c>
    </row>
    <row r="247" spans="1:8" x14ac:dyDescent="0.35">
      <c r="A247" s="2" t="s">
        <v>633</v>
      </c>
      <c r="B247" s="2" t="s">
        <v>634</v>
      </c>
      <c r="D247" t="s">
        <v>5387</v>
      </c>
      <c r="E247" t="e">
        <v>#VALUE!</v>
      </c>
      <c r="F247" t="s">
        <v>12</v>
      </c>
      <c r="G247" t="s">
        <v>0</v>
      </c>
      <c r="H247" s="1">
        <f>DATE(2023,7,6)</f>
        <v>45113</v>
      </c>
    </row>
    <row r="248" spans="1:8" x14ac:dyDescent="0.35">
      <c r="A248" s="2" t="s">
        <v>635</v>
      </c>
      <c r="B248" s="2" t="s">
        <v>636</v>
      </c>
      <c r="C248" s="2" t="s">
        <v>637</v>
      </c>
      <c r="D248" t="s">
        <v>5518</v>
      </c>
      <c r="E248" t="s">
        <v>6647</v>
      </c>
      <c r="F248" t="s">
        <v>12</v>
      </c>
      <c r="G248" t="s">
        <v>0</v>
      </c>
      <c r="H248" s="1">
        <f>DATE(2023,6,20)</f>
        <v>45097</v>
      </c>
    </row>
    <row r="249" spans="1:8" x14ac:dyDescent="0.35">
      <c r="A249" s="2" t="s">
        <v>638</v>
      </c>
      <c r="B249" s="2" t="s">
        <v>639</v>
      </c>
      <c r="D249" t="s">
        <v>5387</v>
      </c>
      <c r="E249" t="e">
        <v>#VALUE!</v>
      </c>
      <c r="F249" t="s">
        <v>12</v>
      </c>
      <c r="G249" t="s">
        <v>0</v>
      </c>
      <c r="H249" s="1">
        <f>DATE(2019,10,11)</f>
        <v>43749</v>
      </c>
    </row>
    <row r="250" spans="1:8" x14ac:dyDescent="0.35">
      <c r="A250" s="2" t="s">
        <v>640</v>
      </c>
      <c r="B250" s="2" t="s">
        <v>641</v>
      </c>
      <c r="D250" t="s">
        <v>5387</v>
      </c>
      <c r="E250" t="e">
        <v>#VALUE!</v>
      </c>
      <c r="F250" t="s">
        <v>12</v>
      </c>
      <c r="G250" t="s">
        <v>0</v>
      </c>
      <c r="H250" s="1">
        <f>DATE(2023,6,20)</f>
        <v>45097</v>
      </c>
    </row>
    <row r="251" spans="1:8" x14ac:dyDescent="0.35">
      <c r="A251" s="2" t="s">
        <v>642</v>
      </c>
      <c r="B251" s="2" t="s">
        <v>643</v>
      </c>
      <c r="D251" t="s">
        <v>5387</v>
      </c>
      <c r="E251" t="e">
        <v>#VALUE!</v>
      </c>
      <c r="F251" t="s">
        <v>12</v>
      </c>
      <c r="G251" t="s">
        <v>0</v>
      </c>
      <c r="H251" s="1">
        <f>DATE(2023,6,20)</f>
        <v>45097</v>
      </c>
    </row>
    <row r="252" spans="1:8" x14ac:dyDescent="0.35">
      <c r="A252" s="2" t="s">
        <v>644</v>
      </c>
      <c r="B252" s="2" t="s">
        <v>645</v>
      </c>
      <c r="C252" s="2" t="s">
        <v>646</v>
      </c>
      <c r="D252" t="s">
        <v>5519</v>
      </c>
      <c r="E252" t="s">
        <v>6648</v>
      </c>
      <c r="F252" t="s">
        <v>12</v>
      </c>
      <c r="G252" t="s">
        <v>0</v>
      </c>
      <c r="H252" s="1">
        <f>DATE(2019,12,14)</f>
        <v>43813</v>
      </c>
    </row>
    <row r="253" spans="1:8" x14ac:dyDescent="0.35">
      <c r="A253" s="2" t="s">
        <v>647</v>
      </c>
      <c r="B253" s="2" t="s">
        <v>648</v>
      </c>
      <c r="D253" t="s">
        <v>5387</v>
      </c>
      <c r="E253" t="e">
        <v>#VALUE!</v>
      </c>
      <c r="F253" t="s">
        <v>12</v>
      </c>
      <c r="G253" t="s">
        <v>0</v>
      </c>
      <c r="H253" s="1">
        <f>DATE(2020,4,15)</f>
        <v>43936</v>
      </c>
    </row>
    <row r="254" spans="1:8" x14ac:dyDescent="0.35">
      <c r="A254" s="2" t="s">
        <v>649</v>
      </c>
      <c r="B254" s="2" t="s">
        <v>650</v>
      </c>
      <c r="D254" t="s">
        <v>5387</v>
      </c>
      <c r="E254" t="e">
        <v>#VALUE!</v>
      </c>
      <c r="F254" t="s">
        <v>218</v>
      </c>
      <c r="G254" t="s">
        <v>0</v>
      </c>
      <c r="H254" s="1">
        <f>DATE(2023,6,20)</f>
        <v>45097</v>
      </c>
    </row>
    <row r="255" spans="1:8" x14ac:dyDescent="0.35">
      <c r="A255" s="2" t="s">
        <v>651</v>
      </c>
      <c r="B255" s="2" t="s">
        <v>652</v>
      </c>
      <c r="C255" s="2" t="s">
        <v>653</v>
      </c>
      <c r="D255" t="s">
        <v>5520</v>
      </c>
      <c r="E255" t="s">
        <v>6649</v>
      </c>
      <c r="F255" t="s">
        <v>12</v>
      </c>
      <c r="G255" t="s">
        <v>0</v>
      </c>
      <c r="H255" s="1">
        <f>DATE(2020,1,10)</f>
        <v>43840</v>
      </c>
    </row>
    <row r="256" spans="1:8" x14ac:dyDescent="0.35">
      <c r="A256" s="2" t="s">
        <v>654</v>
      </c>
      <c r="B256" s="2" t="s">
        <v>655</v>
      </c>
      <c r="D256" t="s">
        <v>5387</v>
      </c>
      <c r="E256" t="e">
        <v>#VALUE!</v>
      </c>
      <c r="F256" t="s">
        <v>12</v>
      </c>
      <c r="G256" t="s">
        <v>0</v>
      </c>
      <c r="H256" s="1">
        <f>DATE(2019,11,27)</f>
        <v>43796</v>
      </c>
    </row>
    <row r="257" spans="1:8" x14ac:dyDescent="0.35">
      <c r="A257" s="2" t="s">
        <v>656</v>
      </c>
      <c r="B257" s="2" t="s">
        <v>657</v>
      </c>
      <c r="C257" s="2" t="s">
        <v>658</v>
      </c>
      <c r="D257" t="s">
        <v>5521</v>
      </c>
      <c r="E257" t="s">
        <v>6650</v>
      </c>
      <c r="F257" t="s">
        <v>12</v>
      </c>
      <c r="G257" t="s">
        <v>0</v>
      </c>
      <c r="H257" s="1">
        <f>DATE(2023,6,8)</f>
        <v>45085</v>
      </c>
    </row>
    <row r="258" spans="1:8" x14ac:dyDescent="0.35">
      <c r="A258" s="2" t="s">
        <v>659</v>
      </c>
      <c r="B258" s="2" t="s">
        <v>660</v>
      </c>
      <c r="C258" s="2" t="s">
        <v>661</v>
      </c>
      <c r="D258" t="s">
        <v>5522</v>
      </c>
      <c r="E258" t="s">
        <v>6651</v>
      </c>
      <c r="F258" t="s">
        <v>12</v>
      </c>
      <c r="G258" t="s">
        <v>0</v>
      </c>
      <c r="H258" s="1">
        <f>DATE(2022,11,3)</f>
        <v>44868</v>
      </c>
    </row>
    <row r="259" spans="1:8" x14ac:dyDescent="0.35">
      <c r="A259" s="2" t="s">
        <v>662</v>
      </c>
      <c r="B259" s="2" t="s">
        <v>663</v>
      </c>
      <c r="D259" t="s">
        <v>5387</v>
      </c>
      <c r="E259" t="e">
        <v>#VALUE!</v>
      </c>
      <c r="F259" t="s">
        <v>12</v>
      </c>
      <c r="G259" t="s">
        <v>0</v>
      </c>
      <c r="H259" s="1">
        <f>DATE(2019,11,20)</f>
        <v>43789</v>
      </c>
    </row>
    <row r="260" spans="1:8" x14ac:dyDescent="0.35">
      <c r="A260" s="2" t="s">
        <v>664</v>
      </c>
      <c r="B260" s="2" t="s">
        <v>665</v>
      </c>
      <c r="C260" s="2" t="s">
        <v>666</v>
      </c>
      <c r="D260" t="s">
        <v>5523</v>
      </c>
      <c r="E260" t="s">
        <v>6652</v>
      </c>
      <c r="F260" t="s">
        <v>12</v>
      </c>
      <c r="G260" t="s">
        <v>0</v>
      </c>
      <c r="H260" s="1">
        <f>DATE(2022,8,25)</f>
        <v>44798</v>
      </c>
    </row>
    <row r="261" spans="1:8" x14ac:dyDescent="0.35">
      <c r="A261" s="2" t="s">
        <v>667</v>
      </c>
      <c r="B261" s="2" t="s">
        <v>668</v>
      </c>
      <c r="D261" t="s">
        <v>5387</v>
      </c>
      <c r="E261" t="e">
        <v>#VALUE!</v>
      </c>
      <c r="F261" t="s">
        <v>12</v>
      </c>
      <c r="G261" t="s">
        <v>0</v>
      </c>
      <c r="H261" s="1">
        <f>DATE(2020,1,10)</f>
        <v>43840</v>
      </c>
    </row>
    <row r="262" spans="1:8" x14ac:dyDescent="0.35">
      <c r="A262" s="2" t="s">
        <v>669</v>
      </c>
      <c r="B262" s="2" t="s">
        <v>670</v>
      </c>
      <c r="D262" t="s">
        <v>5387</v>
      </c>
      <c r="E262" t="e">
        <v>#VALUE!</v>
      </c>
      <c r="F262" t="s">
        <v>12</v>
      </c>
      <c r="G262" t="s">
        <v>0</v>
      </c>
      <c r="H262" s="1">
        <f>DATE(2019,12,9)</f>
        <v>43808</v>
      </c>
    </row>
    <row r="263" spans="1:8" x14ac:dyDescent="0.35">
      <c r="A263" s="2" t="s">
        <v>671</v>
      </c>
      <c r="B263" s="2" t="s">
        <v>672</v>
      </c>
      <c r="C263" s="2" t="s">
        <v>673</v>
      </c>
      <c r="D263" t="s">
        <v>5524</v>
      </c>
      <c r="E263" t="s">
        <v>6653</v>
      </c>
      <c r="F263" t="s">
        <v>12</v>
      </c>
      <c r="G263" t="s">
        <v>0</v>
      </c>
      <c r="H263" s="1">
        <f>DATE(2023,9,22)</f>
        <v>45191</v>
      </c>
    </row>
    <row r="264" spans="1:8" x14ac:dyDescent="0.35">
      <c r="A264" s="2" t="s">
        <v>674</v>
      </c>
      <c r="B264" s="2" t="s">
        <v>675</v>
      </c>
      <c r="D264" t="s">
        <v>5387</v>
      </c>
      <c r="E264" t="e">
        <v>#VALUE!</v>
      </c>
      <c r="F264" t="s">
        <v>12</v>
      </c>
      <c r="G264" t="s">
        <v>0</v>
      </c>
      <c r="H264" s="1">
        <f>DATE(2019,11,14)</f>
        <v>43783</v>
      </c>
    </row>
    <row r="265" spans="1:8" x14ac:dyDescent="0.35">
      <c r="A265" s="2" t="s">
        <v>676</v>
      </c>
      <c r="B265" s="2" t="s">
        <v>677</v>
      </c>
      <c r="D265" t="s">
        <v>5387</v>
      </c>
      <c r="E265" t="e">
        <v>#VALUE!</v>
      </c>
      <c r="F265" t="s">
        <v>12</v>
      </c>
      <c r="G265" t="s">
        <v>0</v>
      </c>
      <c r="H265" s="1">
        <f>DATE(2022,8,31)</f>
        <v>44804</v>
      </c>
    </row>
    <row r="266" spans="1:8" x14ac:dyDescent="0.35">
      <c r="A266" s="2" t="s">
        <v>678</v>
      </c>
      <c r="B266" s="2" t="s">
        <v>679</v>
      </c>
      <c r="C266" s="2" t="s">
        <v>680</v>
      </c>
      <c r="D266" t="s">
        <v>5525</v>
      </c>
      <c r="E266" t="s">
        <v>6654</v>
      </c>
      <c r="F266" t="s">
        <v>12</v>
      </c>
      <c r="G266" t="s">
        <v>0</v>
      </c>
      <c r="H266" s="1">
        <f>DATE(2021,11,2)</f>
        <v>44502</v>
      </c>
    </row>
    <row r="267" spans="1:8" x14ac:dyDescent="0.35">
      <c r="A267" s="2" t="s">
        <v>681</v>
      </c>
      <c r="B267" s="2" t="s">
        <v>682</v>
      </c>
      <c r="C267" s="2" t="s">
        <v>683</v>
      </c>
      <c r="D267" t="s">
        <v>5526</v>
      </c>
      <c r="E267" t="s">
        <v>6655</v>
      </c>
      <c r="F267" t="s">
        <v>12</v>
      </c>
      <c r="G267" t="s">
        <v>0</v>
      </c>
      <c r="H267" s="1">
        <f>DATE(2022,10,20)</f>
        <v>44854</v>
      </c>
    </row>
    <row r="268" spans="1:8" x14ac:dyDescent="0.35">
      <c r="A268" s="2" t="s">
        <v>684</v>
      </c>
      <c r="B268" s="2" t="s">
        <v>685</v>
      </c>
      <c r="D268" t="s">
        <v>5387</v>
      </c>
      <c r="E268" t="e">
        <v>#VALUE!</v>
      </c>
      <c r="F268" t="s">
        <v>12</v>
      </c>
      <c r="G268" t="s">
        <v>0</v>
      </c>
      <c r="H268" s="1">
        <f>DATE(2020,1,10)</f>
        <v>43840</v>
      </c>
    </row>
    <row r="269" spans="1:8" x14ac:dyDescent="0.35">
      <c r="A269" s="2" t="s">
        <v>686</v>
      </c>
      <c r="B269" s="2" t="s">
        <v>687</v>
      </c>
      <c r="D269" t="s">
        <v>5387</v>
      </c>
      <c r="E269" t="e">
        <v>#VALUE!</v>
      </c>
      <c r="F269" t="s">
        <v>12</v>
      </c>
      <c r="G269" t="s">
        <v>0</v>
      </c>
      <c r="H269" s="1">
        <f>DATE(2020,1,10)</f>
        <v>43840</v>
      </c>
    </row>
    <row r="270" spans="1:8" x14ac:dyDescent="0.35">
      <c r="A270" s="2" t="s">
        <v>688</v>
      </c>
      <c r="B270" s="2" t="s">
        <v>689</v>
      </c>
      <c r="D270" t="s">
        <v>5387</v>
      </c>
      <c r="E270" t="e">
        <v>#VALUE!</v>
      </c>
      <c r="F270" t="s">
        <v>12</v>
      </c>
      <c r="G270" t="s">
        <v>0</v>
      </c>
      <c r="H270" s="1">
        <f>DATE(2020,1,17)</f>
        <v>43847</v>
      </c>
    </row>
    <row r="271" spans="1:8" x14ac:dyDescent="0.35">
      <c r="A271" s="2" t="s">
        <v>690</v>
      </c>
      <c r="B271" s="2" t="s">
        <v>691</v>
      </c>
      <c r="D271" t="s">
        <v>5387</v>
      </c>
      <c r="E271" t="e">
        <v>#VALUE!</v>
      </c>
      <c r="F271" t="s">
        <v>12</v>
      </c>
      <c r="G271" t="s">
        <v>0</v>
      </c>
      <c r="H271" s="1">
        <f>DATE(2020,1,10)</f>
        <v>43840</v>
      </c>
    </row>
    <row r="272" spans="1:8" x14ac:dyDescent="0.35">
      <c r="A272" s="2" t="s">
        <v>692</v>
      </c>
      <c r="B272" s="2" t="s">
        <v>181</v>
      </c>
      <c r="C272" s="2" t="s">
        <v>693</v>
      </c>
      <c r="D272" t="s">
        <v>5415</v>
      </c>
      <c r="E272" t="s">
        <v>6545</v>
      </c>
      <c r="F272" t="s">
        <v>12</v>
      </c>
      <c r="G272" t="s">
        <v>0</v>
      </c>
      <c r="H272" s="1">
        <f>DATE(2020,1,10)</f>
        <v>43840</v>
      </c>
    </row>
    <row r="273" spans="1:8" x14ac:dyDescent="0.35">
      <c r="A273" s="2" t="s">
        <v>694</v>
      </c>
      <c r="B273" s="2" t="s">
        <v>695</v>
      </c>
      <c r="D273" t="s">
        <v>5387</v>
      </c>
      <c r="E273" t="e">
        <v>#VALUE!</v>
      </c>
      <c r="F273" t="s">
        <v>12</v>
      </c>
      <c r="G273" t="s">
        <v>0</v>
      </c>
      <c r="H273" s="1">
        <f>DATE(2019,12,13)</f>
        <v>43812</v>
      </c>
    </row>
    <row r="274" spans="1:8" x14ac:dyDescent="0.35">
      <c r="A274" s="2" t="s">
        <v>696</v>
      </c>
      <c r="B274" s="2" t="s">
        <v>697</v>
      </c>
      <c r="C274" s="2" t="s">
        <v>698</v>
      </c>
      <c r="D274" t="s">
        <v>5527</v>
      </c>
      <c r="E274" t="s">
        <v>6656</v>
      </c>
      <c r="F274" t="s">
        <v>12</v>
      </c>
      <c r="G274" t="s">
        <v>0</v>
      </c>
      <c r="H274" s="1">
        <f>DATE(2023,10,20)</f>
        <v>45219</v>
      </c>
    </row>
    <row r="275" spans="1:8" x14ac:dyDescent="0.35">
      <c r="A275" s="2" t="s">
        <v>699</v>
      </c>
      <c r="B275" s="2" t="s">
        <v>700</v>
      </c>
      <c r="D275" t="s">
        <v>5387</v>
      </c>
      <c r="E275" t="e">
        <v>#VALUE!</v>
      </c>
      <c r="F275" t="s">
        <v>12</v>
      </c>
      <c r="G275" t="s">
        <v>0</v>
      </c>
      <c r="H275" s="1">
        <f>DATE(2019,12,18)</f>
        <v>43817</v>
      </c>
    </row>
    <row r="276" spans="1:8" x14ac:dyDescent="0.35">
      <c r="A276" s="2" t="s">
        <v>701</v>
      </c>
      <c r="B276" s="2" t="s">
        <v>702</v>
      </c>
      <c r="C276" s="2" t="s">
        <v>703</v>
      </c>
      <c r="D276" t="s">
        <v>5528</v>
      </c>
      <c r="E276" t="s">
        <v>6657</v>
      </c>
      <c r="F276" t="s">
        <v>12</v>
      </c>
      <c r="G276" t="s">
        <v>0</v>
      </c>
      <c r="H276" s="1">
        <f>DATE(2024,1,5)</f>
        <v>45296</v>
      </c>
    </row>
    <row r="277" spans="1:8" x14ac:dyDescent="0.35">
      <c r="A277" s="2" t="s">
        <v>704</v>
      </c>
      <c r="B277" s="2" t="s">
        <v>705</v>
      </c>
      <c r="D277" t="s">
        <v>5387</v>
      </c>
      <c r="E277" t="e">
        <v>#VALUE!</v>
      </c>
      <c r="F277" t="s">
        <v>12</v>
      </c>
      <c r="G277" t="s">
        <v>0</v>
      </c>
      <c r="H277" s="1">
        <f>DATE(2019,10,10)</f>
        <v>43748</v>
      </c>
    </row>
    <row r="278" spans="1:8" x14ac:dyDescent="0.35">
      <c r="A278" s="2" t="s">
        <v>706</v>
      </c>
      <c r="B278" s="2" t="s">
        <v>707</v>
      </c>
      <c r="D278" t="s">
        <v>5387</v>
      </c>
      <c r="E278" t="e">
        <v>#VALUE!</v>
      </c>
      <c r="F278" t="s">
        <v>12</v>
      </c>
      <c r="G278" t="s">
        <v>0</v>
      </c>
      <c r="H278" s="1">
        <f>DATE(2019,10,10)</f>
        <v>43748</v>
      </c>
    </row>
    <row r="279" spans="1:8" x14ac:dyDescent="0.35">
      <c r="A279" s="2" t="s">
        <v>708</v>
      </c>
      <c r="B279" s="2" t="s">
        <v>709</v>
      </c>
      <c r="C279" s="2" t="s">
        <v>710</v>
      </c>
      <c r="D279" t="s">
        <v>5529</v>
      </c>
      <c r="E279" t="s">
        <v>6658</v>
      </c>
      <c r="F279" t="s">
        <v>12</v>
      </c>
      <c r="G279" t="s">
        <v>0</v>
      </c>
      <c r="H279" s="1">
        <f>DATE(2022,5,31)</f>
        <v>44712</v>
      </c>
    </row>
    <row r="280" spans="1:8" x14ac:dyDescent="0.35">
      <c r="A280" s="2" t="s">
        <v>711</v>
      </c>
      <c r="B280" s="2" t="s">
        <v>712</v>
      </c>
      <c r="D280" t="s">
        <v>5387</v>
      </c>
      <c r="E280" t="e">
        <v>#VALUE!</v>
      </c>
      <c r="F280" t="s">
        <v>12</v>
      </c>
      <c r="G280" t="s">
        <v>0</v>
      </c>
      <c r="H280" s="1">
        <f>DATE(2022,5,10)</f>
        <v>44691</v>
      </c>
    </row>
    <row r="281" spans="1:8" x14ac:dyDescent="0.35">
      <c r="A281" s="2" t="s">
        <v>713</v>
      </c>
      <c r="B281" s="2" t="s">
        <v>714</v>
      </c>
      <c r="C281" s="2" t="s">
        <v>715</v>
      </c>
      <c r="D281" t="s">
        <v>5530</v>
      </c>
      <c r="E281" t="s">
        <v>6659</v>
      </c>
      <c r="F281" t="s">
        <v>12</v>
      </c>
      <c r="G281" t="s">
        <v>0</v>
      </c>
      <c r="H281" s="1">
        <f>DATE(2021,9,27)</f>
        <v>44466</v>
      </c>
    </row>
    <row r="282" spans="1:8" x14ac:dyDescent="0.35">
      <c r="A282" s="2" t="s">
        <v>716</v>
      </c>
      <c r="B282" s="2" t="s">
        <v>717</v>
      </c>
      <c r="D282" t="s">
        <v>5387</v>
      </c>
      <c r="E282" t="e">
        <v>#VALUE!</v>
      </c>
      <c r="F282" t="s">
        <v>12</v>
      </c>
      <c r="G282" t="s">
        <v>0</v>
      </c>
      <c r="H282" s="1">
        <f>DATE(2019,11,14)</f>
        <v>43783</v>
      </c>
    </row>
    <row r="283" spans="1:8" x14ac:dyDescent="0.35">
      <c r="A283" s="2" t="s">
        <v>718</v>
      </c>
      <c r="B283" s="2" t="s">
        <v>719</v>
      </c>
      <c r="D283" t="s">
        <v>5387</v>
      </c>
      <c r="E283" t="e">
        <v>#VALUE!</v>
      </c>
      <c r="F283" t="s">
        <v>12</v>
      </c>
      <c r="G283" t="s">
        <v>0</v>
      </c>
      <c r="H283" s="1">
        <f>DATE(2019,12,16)</f>
        <v>43815</v>
      </c>
    </row>
    <row r="284" spans="1:8" x14ac:dyDescent="0.35">
      <c r="A284" s="2" t="s">
        <v>720</v>
      </c>
      <c r="B284" s="2" t="s">
        <v>721</v>
      </c>
      <c r="D284" t="s">
        <v>5387</v>
      </c>
      <c r="E284" t="e">
        <v>#VALUE!</v>
      </c>
      <c r="F284" t="s">
        <v>12</v>
      </c>
      <c r="G284" t="s">
        <v>0</v>
      </c>
      <c r="H284" s="1">
        <f>DATE(2020,1,17)</f>
        <v>43847</v>
      </c>
    </row>
    <row r="285" spans="1:8" x14ac:dyDescent="0.35">
      <c r="A285" s="2" t="s">
        <v>722</v>
      </c>
      <c r="B285" s="2" t="s">
        <v>723</v>
      </c>
      <c r="D285" t="s">
        <v>5387</v>
      </c>
      <c r="E285" t="e">
        <v>#VALUE!</v>
      </c>
      <c r="F285" t="s">
        <v>12</v>
      </c>
      <c r="G285" t="s">
        <v>0</v>
      </c>
      <c r="H285" s="1">
        <f>DATE(2021,10,11)</f>
        <v>44480</v>
      </c>
    </row>
    <row r="286" spans="1:8" x14ac:dyDescent="0.35">
      <c r="A286" s="2" t="s">
        <v>724</v>
      </c>
      <c r="B286" s="2" t="s">
        <v>725</v>
      </c>
      <c r="D286" t="s">
        <v>5387</v>
      </c>
      <c r="E286" t="e">
        <v>#VALUE!</v>
      </c>
      <c r="F286" t="s">
        <v>12</v>
      </c>
      <c r="G286" t="s">
        <v>0</v>
      </c>
      <c r="H286" s="1">
        <f>DATE(2022,5,9)</f>
        <v>44690</v>
      </c>
    </row>
    <row r="287" spans="1:8" x14ac:dyDescent="0.35">
      <c r="A287" s="2" t="s">
        <v>726</v>
      </c>
      <c r="B287" s="2" t="s">
        <v>727</v>
      </c>
      <c r="C287" s="2" t="s">
        <v>728</v>
      </c>
      <c r="D287" t="s">
        <v>5531</v>
      </c>
      <c r="E287" t="s">
        <v>6660</v>
      </c>
      <c r="F287" t="s">
        <v>12</v>
      </c>
      <c r="G287" t="s">
        <v>0</v>
      </c>
      <c r="H287" s="1">
        <f>DATE(2022,8,31)</f>
        <v>44804</v>
      </c>
    </row>
    <row r="288" spans="1:8" x14ac:dyDescent="0.35">
      <c r="A288" s="2" t="s">
        <v>729</v>
      </c>
      <c r="B288" s="2" t="s">
        <v>727</v>
      </c>
      <c r="C288" s="2" t="s">
        <v>730</v>
      </c>
      <c r="D288" t="s">
        <v>5531</v>
      </c>
      <c r="E288" t="s">
        <v>6660</v>
      </c>
      <c r="F288" t="s">
        <v>12</v>
      </c>
      <c r="G288" t="s">
        <v>0</v>
      </c>
      <c r="H288" s="1">
        <f>DATE(2020,1,30)</f>
        <v>43860</v>
      </c>
    </row>
    <row r="289" spans="1:8" x14ac:dyDescent="0.35">
      <c r="A289" s="2" t="s">
        <v>731</v>
      </c>
      <c r="B289" s="2" t="s">
        <v>732</v>
      </c>
      <c r="D289" t="s">
        <v>5387</v>
      </c>
      <c r="E289" t="e">
        <v>#VALUE!</v>
      </c>
      <c r="F289" t="s">
        <v>12</v>
      </c>
      <c r="G289" t="s">
        <v>0</v>
      </c>
      <c r="H289" s="1">
        <f>DATE(2022,8,31)</f>
        <v>44804</v>
      </c>
    </row>
    <row r="290" spans="1:8" x14ac:dyDescent="0.35">
      <c r="A290" s="2" t="s">
        <v>733</v>
      </c>
      <c r="B290" s="2" t="s">
        <v>734</v>
      </c>
      <c r="D290" t="s">
        <v>5387</v>
      </c>
      <c r="E290" t="e">
        <v>#VALUE!</v>
      </c>
      <c r="F290" t="s">
        <v>12</v>
      </c>
      <c r="G290" t="s">
        <v>0</v>
      </c>
      <c r="H290" s="1">
        <f>DATE(2022,8,31)</f>
        <v>44804</v>
      </c>
    </row>
    <row r="291" spans="1:8" x14ac:dyDescent="0.35">
      <c r="A291" s="2" t="s">
        <v>735</v>
      </c>
      <c r="B291" s="2" t="s">
        <v>736</v>
      </c>
      <c r="D291" t="s">
        <v>5387</v>
      </c>
      <c r="E291" t="e">
        <v>#VALUE!</v>
      </c>
      <c r="F291" t="s">
        <v>12</v>
      </c>
      <c r="G291" t="s">
        <v>0</v>
      </c>
      <c r="H291" s="1">
        <f>DATE(2022,8,31)</f>
        <v>44804</v>
      </c>
    </row>
    <row r="292" spans="1:8" x14ac:dyDescent="0.35">
      <c r="A292" s="2" t="s">
        <v>737</v>
      </c>
      <c r="B292" s="2" t="s">
        <v>738</v>
      </c>
      <c r="D292" t="s">
        <v>5387</v>
      </c>
      <c r="E292" t="e">
        <v>#VALUE!</v>
      </c>
      <c r="F292" t="s">
        <v>12</v>
      </c>
      <c r="G292" t="s">
        <v>0</v>
      </c>
      <c r="H292" s="1">
        <f>DATE(2022,8,31)</f>
        <v>44804</v>
      </c>
    </row>
    <row r="293" spans="1:8" x14ac:dyDescent="0.35">
      <c r="A293" s="2" t="s">
        <v>739</v>
      </c>
      <c r="B293" s="2" t="s">
        <v>740</v>
      </c>
      <c r="C293" s="2" t="s">
        <v>741</v>
      </c>
      <c r="D293" t="s">
        <v>5532</v>
      </c>
      <c r="E293" t="s">
        <v>6661</v>
      </c>
      <c r="F293" t="s">
        <v>12</v>
      </c>
      <c r="G293" t="s">
        <v>0</v>
      </c>
      <c r="H293" s="1">
        <f>DATE(2022,11,3)</f>
        <v>44868</v>
      </c>
    </row>
    <row r="294" spans="1:8" x14ac:dyDescent="0.35">
      <c r="A294" s="2" t="s">
        <v>742</v>
      </c>
      <c r="B294" s="2" t="s">
        <v>743</v>
      </c>
      <c r="C294" s="2" t="s">
        <v>744</v>
      </c>
      <c r="D294" t="s">
        <v>5475</v>
      </c>
      <c r="E294" t="s">
        <v>6604</v>
      </c>
      <c r="F294" t="s">
        <v>12</v>
      </c>
      <c r="G294" t="s">
        <v>0</v>
      </c>
      <c r="H294" s="1">
        <f>DATE(2022,8,31)</f>
        <v>44804</v>
      </c>
    </row>
    <row r="295" spans="1:8" x14ac:dyDescent="0.35">
      <c r="A295" s="2" t="s">
        <v>745</v>
      </c>
      <c r="B295" s="2" t="s">
        <v>746</v>
      </c>
      <c r="C295" s="2" t="s">
        <v>747</v>
      </c>
      <c r="D295" t="s">
        <v>5533</v>
      </c>
      <c r="E295" t="s">
        <v>6662</v>
      </c>
      <c r="F295" t="s">
        <v>12</v>
      </c>
      <c r="G295" t="s">
        <v>0</v>
      </c>
      <c r="H295" s="1">
        <f>DATE(2022,8,31)</f>
        <v>44804</v>
      </c>
    </row>
    <row r="296" spans="1:8" x14ac:dyDescent="0.35">
      <c r="A296" s="2" t="s">
        <v>748</v>
      </c>
      <c r="B296" s="2" t="s">
        <v>749</v>
      </c>
      <c r="D296" t="s">
        <v>5387</v>
      </c>
      <c r="E296" t="e">
        <v>#VALUE!</v>
      </c>
      <c r="F296" t="s">
        <v>12</v>
      </c>
      <c r="G296" t="s">
        <v>0</v>
      </c>
      <c r="H296" s="1">
        <f>DATE(2022,8,31)</f>
        <v>44804</v>
      </c>
    </row>
    <row r="297" spans="1:8" x14ac:dyDescent="0.35">
      <c r="A297" s="2" t="s">
        <v>750</v>
      </c>
      <c r="B297" s="2" t="s">
        <v>751</v>
      </c>
      <c r="D297" t="s">
        <v>5387</v>
      </c>
      <c r="E297" t="e">
        <v>#VALUE!</v>
      </c>
      <c r="F297" t="s">
        <v>12</v>
      </c>
      <c r="G297" t="s">
        <v>0</v>
      </c>
      <c r="H297" s="1">
        <f>DATE(2022,8,31)</f>
        <v>44804</v>
      </c>
    </row>
    <row r="298" spans="1:8" x14ac:dyDescent="0.35">
      <c r="A298" s="2" t="s">
        <v>752</v>
      </c>
      <c r="B298" s="2" t="s">
        <v>753</v>
      </c>
      <c r="D298" t="s">
        <v>5387</v>
      </c>
      <c r="E298" t="e">
        <v>#VALUE!</v>
      </c>
      <c r="F298" t="s">
        <v>12</v>
      </c>
      <c r="G298" t="s">
        <v>0</v>
      </c>
      <c r="H298" s="1">
        <f>DATE(2022,8,31)</f>
        <v>44804</v>
      </c>
    </row>
    <row r="299" spans="1:8" x14ac:dyDescent="0.35">
      <c r="A299" s="2" t="s">
        <v>754</v>
      </c>
      <c r="B299" s="2" t="s">
        <v>755</v>
      </c>
      <c r="C299" s="2" t="s">
        <v>756</v>
      </c>
      <c r="D299" t="s">
        <v>5534</v>
      </c>
      <c r="E299" t="s">
        <v>6663</v>
      </c>
      <c r="F299" t="s">
        <v>12</v>
      </c>
      <c r="G299" t="s">
        <v>0</v>
      </c>
      <c r="H299" s="1">
        <f>DATE(2021,2,3)</f>
        <v>44230</v>
      </c>
    </row>
    <row r="300" spans="1:8" x14ac:dyDescent="0.35">
      <c r="A300" s="2" t="s">
        <v>757</v>
      </c>
      <c r="B300" s="2" t="s">
        <v>758</v>
      </c>
      <c r="D300" t="s">
        <v>5387</v>
      </c>
      <c r="E300" t="e">
        <v>#VALUE!</v>
      </c>
      <c r="F300" t="s">
        <v>12</v>
      </c>
      <c r="G300" t="s">
        <v>0</v>
      </c>
      <c r="H300" s="1">
        <f>DATE(2022,8,31)</f>
        <v>44804</v>
      </c>
    </row>
    <row r="301" spans="1:8" x14ac:dyDescent="0.35">
      <c r="A301" s="2" t="s">
        <v>759</v>
      </c>
      <c r="B301" s="2" t="s">
        <v>760</v>
      </c>
      <c r="D301" t="s">
        <v>5387</v>
      </c>
      <c r="E301" t="e">
        <v>#VALUE!</v>
      </c>
      <c r="F301" t="s">
        <v>12</v>
      </c>
      <c r="G301" t="s">
        <v>0</v>
      </c>
      <c r="H301" s="1">
        <f>DATE(2022,8,31)</f>
        <v>44804</v>
      </c>
    </row>
    <row r="302" spans="1:8" x14ac:dyDescent="0.35">
      <c r="A302" s="2" t="s">
        <v>761</v>
      </c>
      <c r="B302" s="2" t="s">
        <v>762</v>
      </c>
      <c r="D302" t="s">
        <v>5387</v>
      </c>
      <c r="E302" t="e">
        <v>#VALUE!</v>
      </c>
      <c r="F302" t="s">
        <v>12</v>
      </c>
      <c r="G302" t="s">
        <v>0</v>
      </c>
      <c r="H302" s="1">
        <f>DATE(2022,8,31)</f>
        <v>44804</v>
      </c>
    </row>
    <row r="303" spans="1:8" x14ac:dyDescent="0.35">
      <c r="A303" s="2" t="s">
        <v>763</v>
      </c>
      <c r="B303" s="2" t="s">
        <v>764</v>
      </c>
      <c r="D303" t="s">
        <v>5387</v>
      </c>
      <c r="E303" t="e">
        <v>#VALUE!</v>
      </c>
      <c r="F303" t="s">
        <v>12</v>
      </c>
      <c r="G303" t="s">
        <v>0</v>
      </c>
      <c r="H303" s="1">
        <f>DATE(2020,1,17)</f>
        <v>43847</v>
      </c>
    </row>
    <row r="304" spans="1:8" x14ac:dyDescent="0.35">
      <c r="A304" s="2" t="s">
        <v>765</v>
      </c>
      <c r="B304" s="2" t="s">
        <v>766</v>
      </c>
      <c r="D304" t="s">
        <v>5387</v>
      </c>
      <c r="E304" t="e">
        <v>#VALUE!</v>
      </c>
      <c r="F304" t="s">
        <v>12</v>
      </c>
      <c r="G304" t="s">
        <v>0</v>
      </c>
      <c r="H304" s="1">
        <f>DATE(2022,8,31)</f>
        <v>44804</v>
      </c>
    </row>
    <row r="305" spans="1:8" x14ac:dyDescent="0.35">
      <c r="A305" s="2" t="s">
        <v>767</v>
      </c>
      <c r="B305" s="2" t="s">
        <v>768</v>
      </c>
      <c r="C305" s="2" t="s">
        <v>769</v>
      </c>
      <c r="D305" t="s">
        <v>5535</v>
      </c>
      <c r="E305" t="s">
        <v>6664</v>
      </c>
      <c r="F305" t="s">
        <v>12</v>
      </c>
      <c r="G305" t="s">
        <v>0</v>
      </c>
      <c r="H305" s="1">
        <f>DATE(2022,8,31)</f>
        <v>44804</v>
      </c>
    </row>
    <row r="306" spans="1:8" x14ac:dyDescent="0.35">
      <c r="A306" s="2" t="s">
        <v>770</v>
      </c>
      <c r="B306" s="2" t="s">
        <v>771</v>
      </c>
      <c r="D306" t="s">
        <v>5387</v>
      </c>
      <c r="E306" t="e">
        <v>#VALUE!</v>
      </c>
      <c r="F306" t="s">
        <v>12</v>
      </c>
      <c r="G306" t="s">
        <v>0</v>
      </c>
      <c r="H306" s="1">
        <f>DATE(2022,5,18)</f>
        <v>44699</v>
      </c>
    </row>
    <row r="307" spans="1:8" x14ac:dyDescent="0.35">
      <c r="A307" s="2" t="s">
        <v>772</v>
      </c>
      <c r="B307" s="2" t="s">
        <v>773</v>
      </c>
      <c r="C307" s="2" t="s">
        <v>774</v>
      </c>
      <c r="D307" t="s">
        <v>5536</v>
      </c>
      <c r="E307" t="s">
        <v>6665</v>
      </c>
      <c r="F307" t="s">
        <v>12</v>
      </c>
      <c r="G307" t="s">
        <v>0</v>
      </c>
      <c r="H307" s="1">
        <f>DATE(2022,5,24)</f>
        <v>44705</v>
      </c>
    </row>
    <row r="308" spans="1:8" x14ac:dyDescent="0.35">
      <c r="A308" s="2" t="s">
        <v>775</v>
      </c>
      <c r="B308" s="2" t="s">
        <v>776</v>
      </c>
      <c r="C308" s="2" t="s">
        <v>777</v>
      </c>
      <c r="D308" t="s">
        <v>5537</v>
      </c>
      <c r="E308" t="s">
        <v>6666</v>
      </c>
      <c r="F308" t="s">
        <v>12</v>
      </c>
      <c r="G308" t="s">
        <v>0</v>
      </c>
      <c r="H308" s="1">
        <f>DATE(2022,5,30)</f>
        <v>44711</v>
      </c>
    </row>
    <row r="309" spans="1:8" x14ac:dyDescent="0.35">
      <c r="A309" s="2" t="s">
        <v>778</v>
      </c>
      <c r="B309" s="2" t="s">
        <v>779</v>
      </c>
      <c r="D309" t="s">
        <v>5387</v>
      </c>
      <c r="E309" t="e">
        <v>#VALUE!</v>
      </c>
      <c r="F309" t="s">
        <v>12</v>
      </c>
      <c r="G309" t="s">
        <v>0</v>
      </c>
      <c r="H309" s="1">
        <f>DATE(2022,6,15)</f>
        <v>44727</v>
      </c>
    </row>
    <row r="310" spans="1:8" x14ac:dyDescent="0.35">
      <c r="A310" s="2" t="s">
        <v>780</v>
      </c>
      <c r="B310" s="2" t="s">
        <v>781</v>
      </c>
      <c r="D310" t="s">
        <v>5387</v>
      </c>
      <c r="E310" t="e">
        <v>#VALUE!</v>
      </c>
      <c r="F310" t="s">
        <v>12</v>
      </c>
      <c r="G310" t="s">
        <v>0</v>
      </c>
      <c r="H310" s="1">
        <f>DATE(2022,6,2)</f>
        <v>44714</v>
      </c>
    </row>
    <row r="311" spans="1:8" x14ac:dyDescent="0.35">
      <c r="A311" s="2" t="s">
        <v>782</v>
      </c>
      <c r="B311" s="2" t="s">
        <v>783</v>
      </c>
      <c r="C311" s="2" t="s">
        <v>784</v>
      </c>
      <c r="D311" t="s">
        <v>5538</v>
      </c>
      <c r="E311" t="s">
        <v>6667</v>
      </c>
      <c r="F311" t="s">
        <v>12</v>
      </c>
      <c r="G311" t="s">
        <v>0</v>
      </c>
      <c r="H311" s="1">
        <f>DATE(2022,6,2)</f>
        <v>44714</v>
      </c>
    </row>
    <row r="312" spans="1:8" x14ac:dyDescent="0.35">
      <c r="A312" s="2" t="s">
        <v>785</v>
      </c>
      <c r="B312" s="2" t="s">
        <v>786</v>
      </c>
      <c r="C312" s="2" t="s">
        <v>787</v>
      </c>
      <c r="D312" t="s">
        <v>5539</v>
      </c>
      <c r="E312" t="s">
        <v>6668</v>
      </c>
      <c r="F312" t="s">
        <v>12</v>
      </c>
      <c r="G312" t="s">
        <v>0</v>
      </c>
      <c r="H312" s="1">
        <f>DATE(2022,7,22)</f>
        <v>44764</v>
      </c>
    </row>
    <row r="313" spans="1:8" x14ac:dyDescent="0.35">
      <c r="A313" s="2" t="s">
        <v>788</v>
      </c>
      <c r="B313" s="2" t="s">
        <v>789</v>
      </c>
      <c r="C313" s="2" t="s">
        <v>790</v>
      </c>
      <c r="D313" t="s">
        <v>5540</v>
      </c>
      <c r="E313" t="s">
        <v>6669</v>
      </c>
      <c r="F313" t="s">
        <v>12</v>
      </c>
      <c r="G313" t="s">
        <v>0</v>
      </c>
      <c r="H313" s="1">
        <f>DATE(2023,3,31)</f>
        <v>45016</v>
      </c>
    </row>
    <row r="314" spans="1:8" x14ac:dyDescent="0.35">
      <c r="A314" s="2" t="s">
        <v>791</v>
      </c>
      <c r="B314" s="2" t="s">
        <v>792</v>
      </c>
      <c r="C314" s="2" t="s">
        <v>793</v>
      </c>
      <c r="D314" t="s">
        <v>5541</v>
      </c>
      <c r="E314" t="s">
        <v>6670</v>
      </c>
      <c r="F314" t="s">
        <v>12</v>
      </c>
      <c r="G314" t="s">
        <v>0</v>
      </c>
      <c r="H314" s="1">
        <f>DATE(2022,6,2)</f>
        <v>44714</v>
      </c>
    </row>
    <row r="315" spans="1:8" x14ac:dyDescent="0.35">
      <c r="A315" s="2" t="s">
        <v>794</v>
      </c>
      <c r="B315" s="2" t="s">
        <v>795</v>
      </c>
      <c r="C315" s="2" t="s">
        <v>796</v>
      </c>
      <c r="D315" t="s">
        <v>5542</v>
      </c>
      <c r="E315" t="s">
        <v>6671</v>
      </c>
      <c r="F315" t="s">
        <v>12</v>
      </c>
      <c r="G315" t="s">
        <v>0</v>
      </c>
      <c r="H315" s="1">
        <f>DATE(2022,6,2)</f>
        <v>44714</v>
      </c>
    </row>
    <row r="316" spans="1:8" x14ac:dyDescent="0.35">
      <c r="A316" s="2" t="s">
        <v>797</v>
      </c>
      <c r="B316" s="2" t="s">
        <v>798</v>
      </c>
      <c r="C316" s="2" t="s">
        <v>799</v>
      </c>
      <c r="D316" t="s">
        <v>5543</v>
      </c>
      <c r="E316" t="s">
        <v>6672</v>
      </c>
      <c r="F316" t="s">
        <v>12</v>
      </c>
      <c r="G316" t="s">
        <v>0</v>
      </c>
      <c r="H316" s="1">
        <f>DATE(2022,6,2)</f>
        <v>44714</v>
      </c>
    </row>
    <row r="317" spans="1:8" x14ac:dyDescent="0.35">
      <c r="A317" s="2" t="s">
        <v>800</v>
      </c>
      <c r="B317" s="2" t="s">
        <v>801</v>
      </c>
      <c r="C317" s="2" t="s">
        <v>802</v>
      </c>
      <c r="D317" t="s">
        <v>5544</v>
      </c>
      <c r="E317" t="s">
        <v>6673</v>
      </c>
      <c r="F317" t="s">
        <v>12</v>
      </c>
      <c r="G317" t="s">
        <v>0</v>
      </c>
      <c r="H317" s="1">
        <f>DATE(2022,6,2)</f>
        <v>44714</v>
      </c>
    </row>
    <row r="318" spans="1:8" x14ac:dyDescent="0.35">
      <c r="A318" s="2" t="s">
        <v>803</v>
      </c>
      <c r="B318" s="2" t="s">
        <v>804</v>
      </c>
      <c r="C318" s="2" t="s">
        <v>805</v>
      </c>
      <c r="D318" t="s">
        <v>5545</v>
      </c>
      <c r="E318" t="s">
        <v>6674</v>
      </c>
      <c r="F318" t="s">
        <v>12</v>
      </c>
      <c r="G318" t="s">
        <v>0</v>
      </c>
      <c r="H318" s="1">
        <f>DATE(2022,6,2)</f>
        <v>44714</v>
      </c>
    </row>
    <row r="319" spans="1:8" x14ac:dyDescent="0.35">
      <c r="A319" s="2" t="s">
        <v>806</v>
      </c>
      <c r="B319" s="2" t="s">
        <v>807</v>
      </c>
      <c r="C319" s="2" t="s">
        <v>808</v>
      </c>
      <c r="D319" t="s">
        <v>5546</v>
      </c>
      <c r="E319" t="s">
        <v>6675</v>
      </c>
      <c r="F319" t="s">
        <v>12</v>
      </c>
      <c r="G319" t="s">
        <v>0</v>
      </c>
      <c r="H319" s="1">
        <f>DATE(2023,12,22)</f>
        <v>45282</v>
      </c>
    </row>
    <row r="320" spans="1:8" x14ac:dyDescent="0.35">
      <c r="A320" s="2" t="s">
        <v>809</v>
      </c>
      <c r="B320" s="2" t="s">
        <v>810</v>
      </c>
      <c r="C320" s="2" t="s">
        <v>811</v>
      </c>
      <c r="D320" t="s">
        <v>5547</v>
      </c>
      <c r="E320" t="s">
        <v>6676</v>
      </c>
      <c r="F320" t="s">
        <v>12</v>
      </c>
      <c r="G320" t="s">
        <v>0</v>
      </c>
      <c r="H320" s="1">
        <f>DATE(2022,6,8)</f>
        <v>44720</v>
      </c>
    </row>
    <row r="321" spans="1:8" x14ac:dyDescent="0.35">
      <c r="A321" s="2" t="s">
        <v>812</v>
      </c>
      <c r="B321" s="2" t="s">
        <v>813</v>
      </c>
      <c r="C321" s="2" t="s">
        <v>814</v>
      </c>
      <c r="D321" t="s">
        <v>5548</v>
      </c>
      <c r="E321" t="s">
        <v>6677</v>
      </c>
      <c r="F321" t="s">
        <v>12</v>
      </c>
      <c r="G321" t="s">
        <v>0</v>
      </c>
      <c r="H321" s="1">
        <f>DATE(2023,7,21)</f>
        <v>45128</v>
      </c>
    </row>
    <row r="322" spans="1:8" x14ac:dyDescent="0.35">
      <c r="A322" s="2" t="s">
        <v>815</v>
      </c>
      <c r="B322" s="2" t="s">
        <v>816</v>
      </c>
      <c r="C322" s="2" t="s">
        <v>817</v>
      </c>
      <c r="D322" t="s">
        <v>5549</v>
      </c>
      <c r="E322" t="s">
        <v>6678</v>
      </c>
      <c r="F322" t="s">
        <v>12</v>
      </c>
      <c r="G322" t="s">
        <v>0</v>
      </c>
      <c r="H322" s="1">
        <f>DATE(2022,6,13)</f>
        <v>44725</v>
      </c>
    </row>
    <row r="323" spans="1:8" x14ac:dyDescent="0.35">
      <c r="A323" s="2" t="s">
        <v>818</v>
      </c>
      <c r="B323" s="2" t="s">
        <v>819</v>
      </c>
      <c r="C323" s="2" t="s">
        <v>820</v>
      </c>
      <c r="D323" t="s">
        <v>5550</v>
      </c>
      <c r="E323" t="s">
        <v>6679</v>
      </c>
      <c r="F323" t="s">
        <v>12</v>
      </c>
      <c r="G323" t="s">
        <v>0</v>
      </c>
      <c r="H323" s="1">
        <f>DATE(2022,6,20)</f>
        <v>44732</v>
      </c>
    </row>
    <row r="324" spans="1:8" x14ac:dyDescent="0.35">
      <c r="A324" s="2" t="s">
        <v>821</v>
      </c>
      <c r="B324" s="2" t="s">
        <v>822</v>
      </c>
      <c r="D324" t="s">
        <v>5387</v>
      </c>
      <c r="E324" t="e">
        <v>#VALUE!</v>
      </c>
      <c r="F324" t="s">
        <v>12</v>
      </c>
      <c r="G324" t="s">
        <v>0</v>
      </c>
      <c r="H324" s="1">
        <f>DATE(2022,6,23)</f>
        <v>44735</v>
      </c>
    </row>
    <row r="325" spans="1:8" x14ac:dyDescent="0.35">
      <c r="A325" s="2" t="s">
        <v>823</v>
      </c>
      <c r="B325" s="2" t="s">
        <v>824</v>
      </c>
      <c r="D325" t="s">
        <v>5387</v>
      </c>
      <c r="E325" t="e">
        <v>#VALUE!</v>
      </c>
      <c r="F325" t="s">
        <v>12</v>
      </c>
      <c r="G325" t="s">
        <v>0</v>
      </c>
      <c r="H325" s="1">
        <f>DATE(2022,6,23)</f>
        <v>44735</v>
      </c>
    </row>
    <row r="326" spans="1:8" x14ac:dyDescent="0.35">
      <c r="A326" s="2" t="s">
        <v>825</v>
      </c>
      <c r="B326" s="2" t="s">
        <v>826</v>
      </c>
      <c r="D326" t="s">
        <v>5387</v>
      </c>
      <c r="E326" t="e">
        <v>#VALUE!</v>
      </c>
      <c r="F326" t="s">
        <v>12</v>
      </c>
      <c r="G326" t="s">
        <v>0</v>
      </c>
      <c r="H326" s="1">
        <f>DATE(2023,10,11)</f>
        <v>45210</v>
      </c>
    </row>
    <row r="327" spans="1:8" x14ac:dyDescent="0.35">
      <c r="A327" s="2" t="s">
        <v>827</v>
      </c>
      <c r="B327" s="2" t="s">
        <v>828</v>
      </c>
      <c r="D327" t="s">
        <v>5387</v>
      </c>
      <c r="E327" t="e">
        <v>#VALUE!</v>
      </c>
      <c r="F327" t="s">
        <v>12</v>
      </c>
      <c r="G327" t="s">
        <v>0</v>
      </c>
      <c r="H327" s="1">
        <f>DATE(2023,12,27)</f>
        <v>45287</v>
      </c>
    </row>
    <row r="328" spans="1:8" x14ac:dyDescent="0.35">
      <c r="A328" s="2" t="s">
        <v>829</v>
      </c>
      <c r="B328" s="2" t="s">
        <v>830</v>
      </c>
      <c r="D328" t="s">
        <v>5387</v>
      </c>
      <c r="E328" t="e">
        <v>#VALUE!</v>
      </c>
      <c r="F328" t="s">
        <v>12</v>
      </c>
      <c r="G328" t="s">
        <v>0</v>
      </c>
      <c r="H328" s="1">
        <f>DATE(2022,6,23)</f>
        <v>44735</v>
      </c>
    </row>
    <row r="329" spans="1:8" x14ac:dyDescent="0.35">
      <c r="A329" s="2" t="s">
        <v>831</v>
      </c>
      <c r="B329" s="2" t="s">
        <v>832</v>
      </c>
      <c r="C329" s="2" t="s">
        <v>833</v>
      </c>
      <c r="D329" t="s">
        <v>5551</v>
      </c>
      <c r="E329" t="s">
        <v>6680</v>
      </c>
      <c r="F329" t="s">
        <v>12</v>
      </c>
      <c r="G329" t="s">
        <v>0</v>
      </c>
      <c r="H329" s="1">
        <f>DATE(2022,7,13)</f>
        <v>44755</v>
      </c>
    </row>
    <row r="330" spans="1:8" x14ac:dyDescent="0.35">
      <c r="A330" s="2" t="s">
        <v>834</v>
      </c>
      <c r="B330" s="2" t="s">
        <v>835</v>
      </c>
      <c r="C330" s="2" t="s">
        <v>836</v>
      </c>
      <c r="D330" t="s">
        <v>5552</v>
      </c>
      <c r="E330" t="s">
        <v>6681</v>
      </c>
      <c r="F330" t="s">
        <v>12</v>
      </c>
      <c r="G330" t="s">
        <v>0</v>
      </c>
      <c r="H330" s="1">
        <f>DATE(2022,6,27)</f>
        <v>44739</v>
      </c>
    </row>
    <row r="331" spans="1:8" x14ac:dyDescent="0.35">
      <c r="A331" s="2" t="s">
        <v>837</v>
      </c>
      <c r="B331" s="2" t="s">
        <v>838</v>
      </c>
      <c r="D331" t="s">
        <v>5387</v>
      </c>
      <c r="E331" t="e">
        <v>#VALUE!</v>
      </c>
      <c r="F331" t="s">
        <v>12</v>
      </c>
      <c r="G331" t="s">
        <v>0</v>
      </c>
      <c r="H331" s="1">
        <f>DATE(2022,6,27)</f>
        <v>44739</v>
      </c>
    </row>
    <row r="332" spans="1:8" x14ac:dyDescent="0.35">
      <c r="A332" s="2" t="s">
        <v>839</v>
      </c>
      <c r="B332" s="2" t="s">
        <v>840</v>
      </c>
      <c r="D332" t="s">
        <v>5387</v>
      </c>
      <c r="E332" t="e">
        <v>#VALUE!</v>
      </c>
      <c r="F332" t="s">
        <v>12</v>
      </c>
      <c r="G332" t="s">
        <v>0</v>
      </c>
      <c r="H332" s="1">
        <f>DATE(2022,6,27)</f>
        <v>44739</v>
      </c>
    </row>
    <row r="333" spans="1:8" x14ac:dyDescent="0.35">
      <c r="A333" s="2" t="s">
        <v>841</v>
      </c>
      <c r="B333" s="2" t="s">
        <v>842</v>
      </c>
      <c r="C333" s="2" t="s">
        <v>843</v>
      </c>
      <c r="D333" t="s">
        <v>5553</v>
      </c>
      <c r="E333" t="s">
        <v>6682</v>
      </c>
      <c r="F333" t="s">
        <v>12</v>
      </c>
      <c r="G333" t="s">
        <v>0</v>
      </c>
      <c r="H333" s="1">
        <f>DATE(2022,12,13)</f>
        <v>44908</v>
      </c>
    </row>
    <row r="334" spans="1:8" x14ac:dyDescent="0.35">
      <c r="A334" s="2" t="s">
        <v>844</v>
      </c>
      <c r="B334" s="2" t="s">
        <v>845</v>
      </c>
      <c r="C334" s="2" t="s">
        <v>846</v>
      </c>
      <c r="D334" t="s">
        <v>5554</v>
      </c>
      <c r="E334" t="s">
        <v>6683</v>
      </c>
      <c r="F334" t="s">
        <v>12</v>
      </c>
      <c r="G334" t="s">
        <v>0</v>
      </c>
      <c r="H334" s="1">
        <f>DATE(2022,6,27)</f>
        <v>44739</v>
      </c>
    </row>
    <row r="335" spans="1:8" x14ac:dyDescent="0.35">
      <c r="A335" s="2" t="s">
        <v>847</v>
      </c>
      <c r="B335" s="2" t="s">
        <v>848</v>
      </c>
      <c r="D335" t="s">
        <v>5387</v>
      </c>
      <c r="E335" t="e">
        <v>#VALUE!</v>
      </c>
      <c r="F335" t="s">
        <v>12</v>
      </c>
      <c r="G335" t="s">
        <v>0</v>
      </c>
      <c r="H335" s="1">
        <f>DATE(2022,6,27)</f>
        <v>44739</v>
      </c>
    </row>
    <row r="336" spans="1:8" x14ac:dyDescent="0.35">
      <c r="A336" s="2" t="s">
        <v>849</v>
      </c>
      <c r="B336" s="2" t="s">
        <v>850</v>
      </c>
      <c r="C336" s="2" t="s">
        <v>851</v>
      </c>
      <c r="D336" t="s">
        <v>5555</v>
      </c>
      <c r="E336" t="s">
        <v>6684</v>
      </c>
      <c r="F336" t="s">
        <v>12</v>
      </c>
      <c r="G336" t="s">
        <v>0</v>
      </c>
      <c r="H336" s="1">
        <f>DATE(2022,6,27)</f>
        <v>44739</v>
      </c>
    </row>
    <row r="337" spans="1:8" x14ac:dyDescent="0.35">
      <c r="A337" s="2" t="s">
        <v>852</v>
      </c>
      <c r="B337" s="2" t="s">
        <v>853</v>
      </c>
      <c r="C337" s="2" t="s">
        <v>854</v>
      </c>
      <c r="D337" t="s">
        <v>5556</v>
      </c>
      <c r="E337" t="s">
        <v>6685</v>
      </c>
      <c r="F337" t="s">
        <v>12</v>
      </c>
      <c r="G337" t="s">
        <v>0</v>
      </c>
      <c r="H337" s="1">
        <f>DATE(2022,7,5)</f>
        <v>44747</v>
      </c>
    </row>
    <row r="338" spans="1:8" x14ac:dyDescent="0.35">
      <c r="A338" s="2" t="s">
        <v>855</v>
      </c>
      <c r="B338" s="2" t="s">
        <v>856</v>
      </c>
      <c r="D338" t="s">
        <v>5387</v>
      </c>
      <c r="E338" t="e">
        <v>#VALUE!</v>
      </c>
      <c r="F338" t="s">
        <v>12</v>
      </c>
      <c r="G338" t="s">
        <v>0</v>
      </c>
      <c r="H338" s="1">
        <f>DATE(2022,6,28)</f>
        <v>44740</v>
      </c>
    </row>
    <row r="339" spans="1:8" x14ac:dyDescent="0.35">
      <c r="A339" s="2" t="s">
        <v>857</v>
      </c>
      <c r="B339" s="2" t="s">
        <v>858</v>
      </c>
      <c r="C339" s="2" t="s">
        <v>359</v>
      </c>
      <c r="D339" t="s">
        <v>5455</v>
      </c>
      <c r="E339" t="s">
        <v>6584</v>
      </c>
      <c r="F339" t="s">
        <v>12</v>
      </c>
      <c r="G339" t="s">
        <v>0</v>
      </c>
      <c r="H339" s="1">
        <f>DATE(2023,12,5)</f>
        <v>45265</v>
      </c>
    </row>
    <row r="340" spans="1:8" x14ac:dyDescent="0.35">
      <c r="A340" s="2" t="s">
        <v>859</v>
      </c>
      <c r="B340" s="2" t="s">
        <v>860</v>
      </c>
      <c r="C340" s="2" t="s">
        <v>861</v>
      </c>
      <c r="D340" t="s">
        <v>5557</v>
      </c>
      <c r="E340" t="s">
        <v>6686</v>
      </c>
      <c r="F340" t="s">
        <v>12</v>
      </c>
      <c r="G340" t="s">
        <v>0</v>
      </c>
      <c r="H340" s="1">
        <f>DATE(2022,6,29)</f>
        <v>44741</v>
      </c>
    </row>
    <row r="341" spans="1:8" x14ac:dyDescent="0.35">
      <c r="A341" s="2" t="s">
        <v>862</v>
      </c>
      <c r="B341" s="2" t="s">
        <v>863</v>
      </c>
      <c r="C341" s="2" t="s">
        <v>864</v>
      </c>
      <c r="D341" t="s">
        <v>5558</v>
      </c>
      <c r="E341" t="s">
        <v>6687</v>
      </c>
      <c r="F341" t="s">
        <v>12</v>
      </c>
      <c r="G341" t="s">
        <v>0</v>
      </c>
      <c r="H341" s="1">
        <f>DATE(2022,8,9)</f>
        <v>44782</v>
      </c>
    </row>
    <row r="342" spans="1:8" x14ac:dyDescent="0.35">
      <c r="A342" s="2" t="s">
        <v>865</v>
      </c>
      <c r="B342" s="2" t="s">
        <v>866</v>
      </c>
      <c r="C342" s="2" t="s">
        <v>867</v>
      </c>
      <c r="D342" t="s">
        <v>5559</v>
      </c>
      <c r="E342" t="s">
        <v>6688</v>
      </c>
      <c r="F342" t="s">
        <v>12</v>
      </c>
      <c r="G342" t="s">
        <v>0</v>
      </c>
      <c r="H342" s="1">
        <f>DATE(2023,10,11)</f>
        <v>45210</v>
      </c>
    </row>
    <row r="343" spans="1:8" x14ac:dyDescent="0.35">
      <c r="A343" s="2" t="s">
        <v>868</v>
      </c>
      <c r="B343" s="2" t="s">
        <v>869</v>
      </c>
      <c r="C343" s="2" t="s">
        <v>870</v>
      </c>
      <c r="D343" t="s">
        <v>5560</v>
      </c>
      <c r="E343" t="s">
        <v>6689</v>
      </c>
      <c r="F343" t="s">
        <v>12</v>
      </c>
      <c r="G343" t="s">
        <v>0</v>
      </c>
      <c r="H343" s="1">
        <f>DATE(2023,6,9)</f>
        <v>45086</v>
      </c>
    </row>
    <row r="344" spans="1:8" x14ac:dyDescent="0.35">
      <c r="A344" s="2" t="s">
        <v>871</v>
      </c>
      <c r="B344" s="2" t="s">
        <v>872</v>
      </c>
      <c r="C344" s="2" t="s">
        <v>873</v>
      </c>
      <c r="D344" t="s">
        <v>5561</v>
      </c>
      <c r="E344" t="s">
        <v>6690</v>
      </c>
      <c r="F344" t="s">
        <v>12</v>
      </c>
      <c r="G344" t="s">
        <v>0</v>
      </c>
      <c r="H344" s="1">
        <f>DATE(2022,6,29)</f>
        <v>44741</v>
      </c>
    </row>
    <row r="345" spans="1:8" x14ac:dyDescent="0.35">
      <c r="A345" s="2" t="s">
        <v>874</v>
      </c>
      <c r="B345" s="2" t="s">
        <v>875</v>
      </c>
      <c r="C345" s="2" t="s">
        <v>876</v>
      </c>
      <c r="D345" t="s">
        <v>5562</v>
      </c>
      <c r="E345" t="s">
        <v>6691</v>
      </c>
      <c r="F345" t="s">
        <v>12</v>
      </c>
      <c r="G345" t="s">
        <v>0</v>
      </c>
      <c r="H345" s="1">
        <f>DATE(2022,6,29)</f>
        <v>44741</v>
      </c>
    </row>
    <row r="346" spans="1:8" x14ac:dyDescent="0.35">
      <c r="A346" s="2" t="s">
        <v>877</v>
      </c>
      <c r="B346" s="2" t="s">
        <v>860</v>
      </c>
      <c r="C346" s="2" t="s">
        <v>878</v>
      </c>
      <c r="D346" t="s">
        <v>5557</v>
      </c>
      <c r="E346" t="s">
        <v>6686</v>
      </c>
      <c r="F346" t="s">
        <v>12</v>
      </c>
      <c r="G346" t="s">
        <v>0</v>
      </c>
      <c r="H346" s="1">
        <f>DATE(2022,6,29)</f>
        <v>44741</v>
      </c>
    </row>
    <row r="347" spans="1:8" x14ac:dyDescent="0.35">
      <c r="A347" s="2" t="s">
        <v>879</v>
      </c>
      <c r="B347" s="2" t="s">
        <v>880</v>
      </c>
      <c r="C347" s="2" t="s">
        <v>881</v>
      </c>
      <c r="D347" t="s">
        <v>5563</v>
      </c>
      <c r="E347" t="s">
        <v>6692</v>
      </c>
      <c r="F347" t="s">
        <v>12</v>
      </c>
      <c r="G347" t="s">
        <v>0</v>
      </c>
      <c r="H347" s="1">
        <f>DATE(2022,6,29)</f>
        <v>44741</v>
      </c>
    </row>
    <row r="348" spans="1:8" x14ac:dyDescent="0.35">
      <c r="A348" s="2" t="s">
        <v>882</v>
      </c>
      <c r="B348" s="2" t="s">
        <v>860</v>
      </c>
      <c r="C348" s="2" t="s">
        <v>883</v>
      </c>
      <c r="D348" t="s">
        <v>5557</v>
      </c>
      <c r="E348" t="s">
        <v>6686</v>
      </c>
      <c r="F348" t="s">
        <v>12</v>
      </c>
      <c r="G348" t="s">
        <v>0</v>
      </c>
      <c r="H348" s="1">
        <f>DATE(2022,6,29)</f>
        <v>44741</v>
      </c>
    </row>
    <row r="349" spans="1:8" x14ac:dyDescent="0.35">
      <c r="A349" s="2" t="s">
        <v>884</v>
      </c>
      <c r="B349" s="2" t="s">
        <v>885</v>
      </c>
      <c r="C349" s="2" t="s">
        <v>886</v>
      </c>
      <c r="D349" t="s">
        <v>5564</v>
      </c>
      <c r="E349" t="s">
        <v>6693</v>
      </c>
      <c r="F349" t="s">
        <v>12</v>
      </c>
      <c r="G349" t="s">
        <v>0</v>
      </c>
      <c r="H349" s="1">
        <f>DATE(2022,11,4)</f>
        <v>44869</v>
      </c>
    </row>
    <row r="350" spans="1:8" x14ac:dyDescent="0.35">
      <c r="A350" s="2" t="s">
        <v>887</v>
      </c>
      <c r="B350" s="2" t="s">
        <v>888</v>
      </c>
      <c r="C350" s="2" t="s">
        <v>889</v>
      </c>
      <c r="D350" t="s">
        <v>889</v>
      </c>
      <c r="E350" t="s">
        <v>6694</v>
      </c>
      <c r="F350" t="s">
        <v>12</v>
      </c>
      <c r="G350" t="s">
        <v>0</v>
      </c>
      <c r="H350" s="1">
        <f>DATE(2023,6,9)</f>
        <v>45086</v>
      </c>
    </row>
    <row r="351" spans="1:8" x14ac:dyDescent="0.35">
      <c r="A351" s="2" t="s">
        <v>890</v>
      </c>
      <c r="B351" s="2" t="s">
        <v>891</v>
      </c>
      <c r="C351" s="2" t="s">
        <v>892</v>
      </c>
      <c r="D351" t="s">
        <v>5565</v>
      </c>
      <c r="E351" t="s">
        <v>6695</v>
      </c>
      <c r="F351" t="s">
        <v>12</v>
      </c>
      <c r="G351" t="s">
        <v>0</v>
      </c>
      <c r="H351" s="1">
        <f>DATE(2022,6,29)</f>
        <v>44741</v>
      </c>
    </row>
    <row r="352" spans="1:8" x14ac:dyDescent="0.35">
      <c r="A352" s="2" t="s">
        <v>893</v>
      </c>
      <c r="B352" s="2" t="s">
        <v>863</v>
      </c>
      <c r="C352" s="2" t="s">
        <v>894</v>
      </c>
      <c r="D352" t="s">
        <v>5558</v>
      </c>
      <c r="E352" t="s">
        <v>6687</v>
      </c>
      <c r="F352" t="s">
        <v>12</v>
      </c>
      <c r="G352" t="s">
        <v>0</v>
      </c>
      <c r="H352" s="1">
        <f>DATE(2022,6,29)</f>
        <v>44741</v>
      </c>
    </row>
    <row r="353" spans="1:8" x14ac:dyDescent="0.35">
      <c r="A353" s="2" t="s">
        <v>895</v>
      </c>
      <c r="B353" s="2" t="s">
        <v>896</v>
      </c>
      <c r="C353" s="2" t="s">
        <v>897</v>
      </c>
      <c r="D353" t="s">
        <v>5566</v>
      </c>
      <c r="E353" t="s">
        <v>6696</v>
      </c>
      <c r="F353" t="s">
        <v>12</v>
      </c>
      <c r="G353" t="s">
        <v>0</v>
      </c>
      <c r="H353" s="1">
        <f>DATE(2023,6,9)</f>
        <v>45086</v>
      </c>
    </row>
    <row r="354" spans="1:8" x14ac:dyDescent="0.35">
      <c r="A354" s="2" t="s">
        <v>898</v>
      </c>
      <c r="B354" s="2" t="s">
        <v>899</v>
      </c>
      <c r="C354" s="2" t="s">
        <v>900</v>
      </c>
      <c r="D354" t="s">
        <v>5567</v>
      </c>
      <c r="E354" t="s">
        <v>6697</v>
      </c>
      <c r="F354" t="s">
        <v>12</v>
      </c>
      <c r="G354" t="s">
        <v>0</v>
      </c>
      <c r="H354" s="1">
        <f>DATE(2023,6,16)</f>
        <v>45093</v>
      </c>
    </row>
    <row r="355" spans="1:8" x14ac:dyDescent="0.35">
      <c r="A355" s="2" t="s">
        <v>901</v>
      </c>
      <c r="B355" s="2" t="s">
        <v>902</v>
      </c>
      <c r="C355" s="2" t="s">
        <v>903</v>
      </c>
      <c r="D355" t="s">
        <v>5568</v>
      </c>
      <c r="E355" t="s">
        <v>6698</v>
      </c>
      <c r="F355" t="s">
        <v>12</v>
      </c>
      <c r="G355" t="s">
        <v>0</v>
      </c>
      <c r="H355" s="1">
        <f>DATE(2022,6,30)</f>
        <v>44742</v>
      </c>
    </row>
    <row r="356" spans="1:8" x14ac:dyDescent="0.35">
      <c r="A356" s="2" t="s">
        <v>904</v>
      </c>
      <c r="B356" s="2" t="s">
        <v>905</v>
      </c>
      <c r="C356" s="2" t="s">
        <v>906</v>
      </c>
      <c r="D356" t="s">
        <v>5569</v>
      </c>
      <c r="E356" t="s">
        <v>6699</v>
      </c>
      <c r="F356" t="s">
        <v>12</v>
      </c>
      <c r="G356" t="s">
        <v>0</v>
      </c>
      <c r="H356" s="1">
        <f>DATE(2023,12,19)</f>
        <v>45279</v>
      </c>
    </row>
    <row r="357" spans="1:8" x14ac:dyDescent="0.35">
      <c r="A357" s="2" t="s">
        <v>907</v>
      </c>
      <c r="B357" s="2" t="s">
        <v>908</v>
      </c>
      <c r="D357" t="s">
        <v>5387</v>
      </c>
      <c r="E357" t="e">
        <v>#VALUE!</v>
      </c>
      <c r="F357" t="s">
        <v>12</v>
      </c>
      <c r="G357" t="s">
        <v>0</v>
      </c>
      <c r="H357" s="1">
        <f>DATE(2022,7,1)</f>
        <v>44743</v>
      </c>
    </row>
    <row r="358" spans="1:8" x14ac:dyDescent="0.35">
      <c r="A358" s="2" t="s">
        <v>909</v>
      </c>
      <c r="B358" s="2" t="s">
        <v>910</v>
      </c>
      <c r="D358" t="s">
        <v>5387</v>
      </c>
      <c r="E358" t="e">
        <v>#VALUE!</v>
      </c>
      <c r="F358" t="s">
        <v>12</v>
      </c>
      <c r="G358" t="s">
        <v>0</v>
      </c>
      <c r="H358" s="1">
        <f>DATE(2022,7,4)</f>
        <v>44746</v>
      </c>
    </row>
    <row r="359" spans="1:8" x14ac:dyDescent="0.35">
      <c r="A359" s="2" t="s">
        <v>911</v>
      </c>
      <c r="B359" s="2" t="s">
        <v>912</v>
      </c>
      <c r="C359" s="2" t="s">
        <v>913</v>
      </c>
      <c r="D359" t="s">
        <v>5504</v>
      </c>
      <c r="E359" t="s">
        <v>6633</v>
      </c>
      <c r="F359" t="s">
        <v>12</v>
      </c>
      <c r="G359" t="s">
        <v>0</v>
      </c>
      <c r="H359" s="1">
        <f>DATE(2022,7,4)</f>
        <v>44746</v>
      </c>
    </row>
    <row r="360" spans="1:8" x14ac:dyDescent="0.35">
      <c r="A360" s="2" t="s">
        <v>914</v>
      </c>
      <c r="B360" s="2" t="s">
        <v>915</v>
      </c>
      <c r="C360" s="2" t="s">
        <v>916</v>
      </c>
      <c r="D360" t="s">
        <v>5570</v>
      </c>
      <c r="E360" t="s">
        <v>6700</v>
      </c>
      <c r="F360" t="s">
        <v>12</v>
      </c>
      <c r="G360" t="s">
        <v>0</v>
      </c>
      <c r="H360" s="1">
        <f>DATE(2023,3,14)</f>
        <v>44999</v>
      </c>
    </row>
    <row r="361" spans="1:8" x14ac:dyDescent="0.35">
      <c r="A361" s="2" t="s">
        <v>917</v>
      </c>
      <c r="B361" s="2" t="s">
        <v>918</v>
      </c>
      <c r="C361" s="2" t="s">
        <v>919</v>
      </c>
      <c r="D361" t="s">
        <v>5571</v>
      </c>
      <c r="E361" t="s">
        <v>6701</v>
      </c>
      <c r="F361" t="s">
        <v>12</v>
      </c>
      <c r="G361" t="s">
        <v>0</v>
      </c>
      <c r="H361" s="1">
        <f>DATE(2022,7,6)</f>
        <v>44748</v>
      </c>
    </row>
    <row r="362" spans="1:8" x14ac:dyDescent="0.35">
      <c r="A362" s="2" t="s">
        <v>920</v>
      </c>
      <c r="B362" s="2" t="s">
        <v>921</v>
      </c>
      <c r="C362" s="2" t="s">
        <v>922</v>
      </c>
      <c r="D362" t="s">
        <v>5572</v>
      </c>
      <c r="E362" t="s">
        <v>6702</v>
      </c>
      <c r="F362" t="s">
        <v>12</v>
      </c>
      <c r="G362" t="s">
        <v>0</v>
      </c>
      <c r="H362" s="1">
        <f>DATE(2022,7,8)</f>
        <v>44750</v>
      </c>
    </row>
    <row r="363" spans="1:8" x14ac:dyDescent="0.35">
      <c r="A363" s="2" t="s">
        <v>923</v>
      </c>
      <c r="B363" s="2" t="s">
        <v>924</v>
      </c>
      <c r="D363" t="s">
        <v>5387</v>
      </c>
      <c r="E363" t="e">
        <v>#VALUE!</v>
      </c>
      <c r="F363" t="s">
        <v>12</v>
      </c>
      <c r="G363" t="s">
        <v>0</v>
      </c>
      <c r="H363" s="1">
        <f>DATE(2023,12,27)</f>
        <v>45287</v>
      </c>
    </row>
    <row r="364" spans="1:8" x14ac:dyDescent="0.35">
      <c r="A364" s="2" t="s">
        <v>925</v>
      </c>
      <c r="B364" s="2" t="s">
        <v>926</v>
      </c>
      <c r="C364" s="2" t="s">
        <v>927</v>
      </c>
      <c r="D364" t="s">
        <v>5573</v>
      </c>
      <c r="E364" t="s">
        <v>6703</v>
      </c>
      <c r="F364" t="s">
        <v>12</v>
      </c>
      <c r="G364" t="s">
        <v>0</v>
      </c>
      <c r="H364" s="1">
        <f>DATE(2023,4,11)</f>
        <v>45027</v>
      </c>
    </row>
    <row r="365" spans="1:8" x14ac:dyDescent="0.35">
      <c r="A365" s="2" t="s">
        <v>928</v>
      </c>
      <c r="B365" s="2" t="s">
        <v>929</v>
      </c>
      <c r="C365" s="2" t="s">
        <v>930</v>
      </c>
      <c r="D365" t="s">
        <v>5574</v>
      </c>
      <c r="E365" t="s">
        <v>6704</v>
      </c>
      <c r="F365" t="s">
        <v>12</v>
      </c>
      <c r="G365" t="s">
        <v>0</v>
      </c>
      <c r="H365" s="1">
        <f>DATE(2023,1,19)</f>
        <v>44945</v>
      </c>
    </row>
    <row r="366" spans="1:8" x14ac:dyDescent="0.35">
      <c r="A366" s="2" t="s">
        <v>931</v>
      </c>
      <c r="B366" s="2" t="s">
        <v>932</v>
      </c>
      <c r="C366" s="2" t="s">
        <v>933</v>
      </c>
      <c r="D366" t="s">
        <v>5575</v>
      </c>
      <c r="E366" t="s">
        <v>6705</v>
      </c>
      <c r="F366" t="s">
        <v>12</v>
      </c>
      <c r="G366" t="s">
        <v>0</v>
      </c>
      <c r="H366" s="1">
        <f>DATE(2022,7,9)</f>
        <v>44751</v>
      </c>
    </row>
    <row r="367" spans="1:8" x14ac:dyDescent="0.35">
      <c r="A367" s="2" t="s">
        <v>934</v>
      </c>
      <c r="B367" s="2" t="s">
        <v>935</v>
      </c>
      <c r="D367" t="s">
        <v>5387</v>
      </c>
      <c r="E367" t="e">
        <v>#VALUE!</v>
      </c>
      <c r="F367" t="s">
        <v>12</v>
      </c>
      <c r="G367" t="s">
        <v>0</v>
      </c>
      <c r="H367" s="1">
        <f>DATE(2022,7,9)</f>
        <v>44751</v>
      </c>
    </row>
    <row r="368" spans="1:8" x14ac:dyDescent="0.35">
      <c r="A368" s="2" t="s">
        <v>936</v>
      </c>
      <c r="B368" s="2" t="s">
        <v>937</v>
      </c>
      <c r="C368" s="2" t="s">
        <v>938</v>
      </c>
      <c r="D368" t="s">
        <v>5576</v>
      </c>
      <c r="E368" t="s">
        <v>6706</v>
      </c>
      <c r="F368" t="s">
        <v>12</v>
      </c>
      <c r="G368" t="s">
        <v>0</v>
      </c>
      <c r="H368" s="1">
        <f>DATE(2022,7,11)</f>
        <v>44753</v>
      </c>
    </row>
    <row r="369" spans="1:8" x14ac:dyDescent="0.35">
      <c r="A369" s="2" t="s">
        <v>939</v>
      </c>
      <c r="B369" s="2" t="s">
        <v>940</v>
      </c>
      <c r="C369" s="2" t="s">
        <v>941</v>
      </c>
      <c r="D369" t="s">
        <v>5577</v>
      </c>
      <c r="E369" t="s">
        <v>6707</v>
      </c>
      <c r="F369" t="s">
        <v>12</v>
      </c>
      <c r="G369" t="s">
        <v>0</v>
      </c>
      <c r="H369" s="1">
        <f>DATE(2022,7,13)</f>
        <v>44755</v>
      </c>
    </row>
    <row r="370" spans="1:8" x14ac:dyDescent="0.35">
      <c r="A370" s="2" t="s">
        <v>942</v>
      </c>
      <c r="B370" s="2" t="s">
        <v>943</v>
      </c>
      <c r="C370" s="2" t="s">
        <v>944</v>
      </c>
      <c r="D370" t="s">
        <v>5578</v>
      </c>
      <c r="E370" t="s">
        <v>6708</v>
      </c>
      <c r="F370" t="s">
        <v>12</v>
      </c>
      <c r="G370" t="s">
        <v>0</v>
      </c>
      <c r="H370" s="1">
        <f>DATE(2022,7,13)</f>
        <v>44755</v>
      </c>
    </row>
    <row r="371" spans="1:8" x14ac:dyDescent="0.35">
      <c r="A371" s="2" t="s">
        <v>945</v>
      </c>
      <c r="B371" s="2" t="s">
        <v>946</v>
      </c>
      <c r="C371" s="2" t="s">
        <v>947</v>
      </c>
      <c r="D371" t="s">
        <v>5579</v>
      </c>
      <c r="E371" t="s">
        <v>6709</v>
      </c>
      <c r="F371" t="s">
        <v>12</v>
      </c>
      <c r="G371" t="s">
        <v>0</v>
      </c>
      <c r="H371" s="1">
        <f>DATE(2022,7,15)</f>
        <v>44757</v>
      </c>
    </row>
    <row r="372" spans="1:8" x14ac:dyDescent="0.35">
      <c r="A372" s="2" t="s">
        <v>948</v>
      </c>
      <c r="B372" s="2" t="s">
        <v>949</v>
      </c>
      <c r="C372" s="2" t="s">
        <v>950</v>
      </c>
      <c r="D372" t="s">
        <v>5580</v>
      </c>
      <c r="E372" t="s">
        <v>6710</v>
      </c>
      <c r="F372" t="s">
        <v>12</v>
      </c>
      <c r="G372" t="s">
        <v>0</v>
      </c>
      <c r="H372" s="1">
        <f>DATE(2022,7,15)</f>
        <v>44757</v>
      </c>
    </row>
    <row r="373" spans="1:8" x14ac:dyDescent="0.35">
      <c r="A373" s="2" t="s">
        <v>951</v>
      </c>
      <c r="B373" s="2" t="s">
        <v>952</v>
      </c>
      <c r="C373" s="2" t="s">
        <v>953</v>
      </c>
      <c r="D373" t="s">
        <v>5581</v>
      </c>
      <c r="E373" t="s">
        <v>6711</v>
      </c>
      <c r="F373" t="s">
        <v>12</v>
      </c>
      <c r="G373" t="s">
        <v>0</v>
      </c>
      <c r="H373" s="1">
        <f>DATE(2022,12,20)</f>
        <v>44915</v>
      </c>
    </row>
    <row r="374" spans="1:8" x14ac:dyDescent="0.35">
      <c r="A374" s="2" t="s">
        <v>954</v>
      </c>
      <c r="B374" s="2" t="s">
        <v>955</v>
      </c>
      <c r="C374" s="2" t="s">
        <v>956</v>
      </c>
      <c r="D374" t="s">
        <v>5582</v>
      </c>
      <c r="E374" t="s">
        <v>6712</v>
      </c>
      <c r="F374" t="s">
        <v>12</v>
      </c>
      <c r="G374" t="s">
        <v>0</v>
      </c>
      <c r="H374" s="1">
        <f>DATE(2022,7,15)</f>
        <v>44757</v>
      </c>
    </row>
    <row r="375" spans="1:8" x14ac:dyDescent="0.35">
      <c r="A375" s="2" t="s">
        <v>957</v>
      </c>
      <c r="B375" s="2" t="s">
        <v>958</v>
      </c>
      <c r="C375" s="2" t="s">
        <v>959</v>
      </c>
      <c r="D375" t="s">
        <v>5583</v>
      </c>
      <c r="E375" t="s">
        <v>6713</v>
      </c>
      <c r="F375" t="s">
        <v>12</v>
      </c>
      <c r="G375" t="s">
        <v>0</v>
      </c>
      <c r="H375" s="1">
        <f>DATE(2022,7,28)</f>
        <v>44770</v>
      </c>
    </row>
    <row r="376" spans="1:8" x14ac:dyDescent="0.35">
      <c r="A376" s="2" t="s">
        <v>960</v>
      </c>
      <c r="B376" s="2" t="s">
        <v>961</v>
      </c>
      <c r="C376" s="2" t="s">
        <v>962</v>
      </c>
      <c r="D376" t="s">
        <v>5584</v>
      </c>
      <c r="E376" t="s">
        <v>6714</v>
      </c>
      <c r="F376" t="s">
        <v>12</v>
      </c>
      <c r="G376" t="s">
        <v>0</v>
      </c>
      <c r="H376" s="1">
        <f>DATE(2022,7,28)</f>
        <v>44770</v>
      </c>
    </row>
    <row r="377" spans="1:8" x14ac:dyDescent="0.35">
      <c r="A377" s="2" t="s">
        <v>963</v>
      </c>
      <c r="B377" s="2" t="s">
        <v>964</v>
      </c>
      <c r="C377" s="2" t="s">
        <v>965</v>
      </c>
      <c r="D377" t="s">
        <v>5585</v>
      </c>
      <c r="E377" t="s">
        <v>6715</v>
      </c>
      <c r="F377" t="s">
        <v>12</v>
      </c>
      <c r="G377" t="s">
        <v>0</v>
      </c>
      <c r="H377" s="1">
        <f>DATE(2022,7,25)</f>
        <v>44767</v>
      </c>
    </row>
    <row r="378" spans="1:8" x14ac:dyDescent="0.35">
      <c r="A378" s="2" t="s">
        <v>966</v>
      </c>
      <c r="B378" s="2" t="s">
        <v>967</v>
      </c>
      <c r="D378" t="s">
        <v>5387</v>
      </c>
      <c r="E378" t="e">
        <v>#VALUE!</v>
      </c>
      <c r="F378" t="s">
        <v>12</v>
      </c>
      <c r="G378" t="s">
        <v>0</v>
      </c>
      <c r="H378" s="1">
        <f>DATE(2023,12,7)</f>
        <v>45267</v>
      </c>
    </row>
    <row r="379" spans="1:8" x14ac:dyDescent="0.35">
      <c r="A379" s="2" t="s">
        <v>968</v>
      </c>
      <c r="B379" s="2" t="s">
        <v>969</v>
      </c>
      <c r="D379" t="s">
        <v>5387</v>
      </c>
      <c r="E379" t="e">
        <v>#VALUE!</v>
      </c>
      <c r="F379" t="s">
        <v>12</v>
      </c>
      <c r="G379" t="s">
        <v>0</v>
      </c>
      <c r="H379" s="1">
        <f>DATE(2022,7,25)</f>
        <v>44767</v>
      </c>
    </row>
    <row r="380" spans="1:8" x14ac:dyDescent="0.35">
      <c r="A380" s="2" t="s">
        <v>970</v>
      </c>
      <c r="B380" s="2" t="s">
        <v>971</v>
      </c>
      <c r="D380" t="s">
        <v>5387</v>
      </c>
      <c r="E380" t="e">
        <v>#VALUE!</v>
      </c>
      <c r="F380" t="s">
        <v>12</v>
      </c>
      <c r="G380" t="s">
        <v>0</v>
      </c>
      <c r="H380" s="1">
        <f>DATE(2023,12,7)</f>
        <v>45267</v>
      </c>
    </row>
    <row r="381" spans="1:8" x14ac:dyDescent="0.35">
      <c r="A381" s="2" t="s">
        <v>972</v>
      </c>
      <c r="B381" s="2" t="s">
        <v>973</v>
      </c>
      <c r="D381" t="s">
        <v>5387</v>
      </c>
      <c r="E381" t="e">
        <v>#VALUE!</v>
      </c>
      <c r="F381" t="s">
        <v>12</v>
      </c>
      <c r="G381" t="s">
        <v>0</v>
      </c>
      <c r="H381" s="1">
        <f>DATE(2023,12,7)</f>
        <v>45267</v>
      </c>
    </row>
    <row r="382" spans="1:8" x14ac:dyDescent="0.35">
      <c r="A382" s="2" t="s">
        <v>974</v>
      </c>
      <c r="B382" s="2" t="s">
        <v>975</v>
      </c>
      <c r="C382" s="2" t="s">
        <v>976</v>
      </c>
      <c r="D382" t="s">
        <v>5586</v>
      </c>
      <c r="E382" t="s">
        <v>6716</v>
      </c>
      <c r="F382" t="s">
        <v>12</v>
      </c>
      <c r="G382" t="s">
        <v>0</v>
      </c>
      <c r="H382" s="1">
        <f>DATE(2022,9,15)</f>
        <v>44819</v>
      </c>
    </row>
    <row r="383" spans="1:8" x14ac:dyDescent="0.35">
      <c r="A383" s="2" t="s">
        <v>977</v>
      </c>
      <c r="B383" s="2" t="s">
        <v>978</v>
      </c>
      <c r="D383" t="s">
        <v>5387</v>
      </c>
      <c r="E383" t="e">
        <v>#VALUE!</v>
      </c>
      <c r="F383" t="s">
        <v>12</v>
      </c>
      <c r="G383" t="s">
        <v>0</v>
      </c>
      <c r="H383" s="1">
        <f>DATE(2022,7,28)</f>
        <v>44770</v>
      </c>
    </row>
    <row r="384" spans="1:8" x14ac:dyDescent="0.35">
      <c r="A384" s="2" t="s">
        <v>979</v>
      </c>
      <c r="B384" s="2" t="s">
        <v>980</v>
      </c>
      <c r="C384" s="2" t="s">
        <v>981</v>
      </c>
      <c r="D384" t="s">
        <v>5587</v>
      </c>
      <c r="E384" t="s">
        <v>6717</v>
      </c>
      <c r="F384" t="s">
        <v>12</v>
      </c>
      <c r="G384" t="s">
        <v>0</v>
      </c>
      <c r="H384" s="1">
        <f>DATE(2022,7,27)</f>
        <v>44769</v>
      </c>
    </row>
    <row r="385" spans="1:8" x14ac:dyDescent="0.35">
      <c r="A385" s="2" t="s">
        <v>982</v>
      </c>
      <c r="B385" s="2" t="s">
        <v>983</v>
      </c>
      <c r="C385" s="2" t="s">
        <v>984</v>
      </c>
      <c r="D385" t="s">
        <v>5588</v>
      </c>
      <c r="E385" t="s">
        <v>6718</v>
      </c>
      <c r="F385" t="s">
        <v>12</v>
      </c>
      <c r="G385" t="s">
        <v>0</v>
      </c>
      <c r="H385" s="1">
        <f t="shared" ref="H385:H397" si="2">DATE(2022,7,28)</f>
        <v>44770</v>
      </c>
    </row>
    <row r="386" spans="1:8" x14ac:dyDescent="0.35">
      <c r="A386" s="2" t="s">
        <v>985</v>
      </c>
      <c r="B386" s="2" t="s">
        <v>986</v>
      </c>
      <c r="C386" s="2" t="s">
        <v>987</v>
      </c>
      <c r="D386" t="s">
        <v>5589</v>
      </c>
      <c r="E386" t="s">
        <v>6719</v>
      </c>
      <c r="F386" t="s">
        <v>12</v>
      </c>
      <c r="G386" t="s">
        <v>0</v>
      </c>
      <c r="H386" s="1">
        <f t="shared" si="2"/>
        <v>44770</v>
      </c>
    </row>
    <row r="387" spans="1:8" x14ac:dyDescent="0.35">
      <c r="A387" s="2" t="s">
        <v>988</v>
      </c>
      <c r="B387" s="2" t="s">
        <v>989</v>
      </c>
      <c r="C387" s="2" t="s">
        <v>990</v>
      </c>
      <c r="D387" t="s">
        <v>5590</v>
      </c>
      <c r="E387" t="s">
        <v>6720</v>
      </c>
      <c r="F387" t="s">
        <v>12</v>
      </c>
      <c r="G387" t="s">
        <v>0</v>
      </c>
      <c r="H387" s="1">
        <f t="shared" si="2"/>
        <v>44770</v>
      </c>
    </row>
    <row r="388" spans="1:8" x14ac:dyDescent="0.35">
      <c r="A388" s="2" t="s">
        <v>991</v>
      </c>
      <c r="B388" s="2" t="s">
        <v>992</v>
      </c>
      <c r="D388" t="s">
        <v>5387</v>
      </c>
      <c r="E388" t="e">
        <v>#VALUE!</v>
      </c>
      <c r="F388" t="s">
        <v>12</v>
      </c>
      <c r="G388" t="s">
        <v>0</v>
      </c>
      <c r="H388" s="1">
        <f t="shared" si="2"/>
        <v>44770</v>
      </c>
    </row>
    <row r="389" spans="1:8" x14ac:dyDescent="0.35">
      <c r="A389" s="2" t="s">
        <v>993</v>
      </c>
      <c r="B389" s="2" t="s">
        <v>994</v>
      </c>
      <c r="C389" s="2" t="s">
        <v>995</v>
      </c>
      <c r="D389" t="s">
        <v>5591</v>
      </c>
      <c r="E389" t="s">
        <v>6721</v>
      </c>
      <c r="F389" t="s">
        <v>12</v>
      </c>
      <c r="G389" t="s">
        <v>0</v>
      </c>
      <c r="H389" s="1">
        <f t="shared" si="2"/>
        <v>44770</v>
      </c>
    </row>
    <row r="390" spans="1:8" x14ac:dyDescent="0.35">
      <c r="A390" s="2" t="s">
        <v>996</v>
      </c>
      <c r="B390" s="2" t="s">
        <v>997</v>
      </c>
      <c r="D390" t="s">
        <v>5387</v>
      </c>
      <c r="E390" t="e">
        <v>#VALUE!</v>
      </c>
      <c r="F390" t="s">
        <v>12</v>
      </c>
      <c r="G390" t="s">
        <v>0</v>
      </c>
      <c r="H390" s="1">
        <f t="shared" si="2"/>
        <v>44770</v>
      </c>
    </row>
    <row r="391" spans="1:8" x14ac:dyDescent="0.35">
      <c r="A391" s="2" t="s">
        <v>998</v>
      </c>
      <c r="B391" s="2" t="s">
        <v>999</v>
      </c>
      <c r="C391" s="2" t="s">
        <v>1000</v>
      </c>
      <c r="D391" t="s">
        <v>5592</v>
      </c>
      <c r="E391" t="s">
        <v>6722</v>
      </c>
      <c r="F391" t="s">
        <v>12</v>
      </c>
      <c r="G391" t="s">
        <v>0</v>
      </c>
      <c r="H391" s="1">
        <f t="shared" si="2"/>
        <v>44770</v>
      </c>
    </row>
    <row r="392" spans="1:8" x14ac:dyDescent="0.35">
      <c r="A392" s="2" t="s">
        <v>1001</v>
      </c>
      <c r="B392" s="2" t="s">
        <v>1002</v>
      </c>
      <c r="D392" t="s">
        <v>5387</v>
      </c>
      <c r="E392" t="e">
        <v>#VALUE!</v>
      </c>
      <c r="F392" t="s">
        <v>12</v>
      </c>
      <c r="G392" t="s">
        <v>0</v>
      </c>
      <c r="H392" s="1">
        <f t="shared" si="2"/>
        <v>44770</v>
      </c>
    </row>
    <row r="393" spans="1:8" x14ac:dyDescent="0.35">
      <c r="A393" s="2" t="s">
        <v>1003</v>
      </c>
      <c r="B393" s="2" t="s">
        <v>1004</v>
      </c>
      <c r="C393" s="2" t="s">
        <v>1005</v>
      </c>
      <c r="D393" t="s">
        <v>5593</v>
      </c>
      <c r="E393" t="s">
        <v>6723</v>
      </c>
      <c r="F393" t="s">
        <v>12</v>
      </c>
      <c r="G393" t="s">
        <v>0</v>
      </c>
      <c r="H393" s="1">
        <f t="shared" si="2"/>
        <v>44770</v>
      </c>
    </row>
    <row r="394" spans="1:8" x14ac:dyDescent="0.35">
      <c r="A394" s="2" t="s">
        <v>1006</v>
      </c>
      <c r="B394" s="2" t="s">
        <v>1007</v>
      </c>
      <c r="D394" t="s">
        <v>5387</v>
      </c>
      <c r="E394" t="e">
        <v>#VALUE!</v>
      </c>
      <c r="F394" t="s">
        <v>12</v>
      </c>
      <c r="G394" t="s">
        <v>0</v>
      </c>
      <c r="H394" s="1">
        <f t="shared" si="2"/>
        <v>44770</v>
      </c>
    </row>
    <row r="395" spans="1:8" x14ac:dyDescent="0.35">
      <c r="A395" s="2" t="s">
        <v>1008</v>
      </c>
      <c r="B395" s="2" t="s">
        <v>1009</v>
      </c>
      <c r="C395" s="2" t="s">
        <v>1010</v>
      </c>
      <c r="D395" t="s">
        <v>5594</v>
      </c>
      <c r="E395" t="s">
        <v>6724</v>
      </c>
      <c r="F395" t="s">
        <v>12</v>
      </c>
      <c r="G395" t="s">
        <v>0</v>
      </c>
      <c r="H395" s="1">
        <f t="shared" si="2"/>
        <v>44770</v>
      </c>
    </row>
    <row r="396" spans="1:8" x14ac:dyDescent="0.35">
      <c r="A396" s="2" t="s">
        <v>1011</v>
      </c>
      <c r="B396" s="2" t="s">
        <v>1012</v>
      </c>
      <c r="C396" s="2" t="s">
        <v>1013</v>
      </c>
      <c r="D396" t="s">
        <v>5595</v>
      </c>
      <c r="E396" t="s">
        <v>6725</v>
      </c>
      <c r="F396" t="s">
        <v>12</v>
      </c>
      <c r="G396" t="s">
        <v>0</v>
      </c>
      <c r="H396" s="1">
        <f t="shared" si="2"/>
        <v>44770</v>
      </c>
    </row>
    <row r="397" spans="1:8" x14ac:dyDescent="0.35">
      <c r="A397" s="2" t="s">
        <v>1014</v>
      </c>
      <c r="B397" s="2" t="s">
        <v>1015</v>
      </c>
      <c r="C397" s="2" t="s">
        <v>1016</v>
      </c>
      <c r="D397" t="s">
        <v>5596</v>
      </c>
      <c r="E397" t="s">
        <v>6726</v>
      </c>
      <c r="F397" t="s">
        <v>12</v>
      </c>
      <c r="G397" t="s">
        <v>0</v>
      </c>
      <c r="H397" s="1">
        <f t="shared" si="2"/>
        <v>44770</v>
      </c>
    </row>
    <row r="398" spans="1:8" x14ac:dyDescent="0.35">
      <c r="A398" s="2" t="s">
        <v>1017</v>
      </c>
      <c r="B398" s="2" t="s">
        <v>1018</v>
      </c>
      <c r="C398" s="2" t="s">
        <v>1019</v>
      </c>
      <c r="D398" t="s">
        <v>5597</v>
      </c>
      <c r="E398" t="s">
        <v>6727</v>
      </c>
      <c r="F398" t="s">
        <v>12</v>
      </c>
      <c r="G398" t="s">
        <v>0</v>
      </c>
      <c r="H398" s="1">
        <f>DATE(2022,6,27)</f>
        <v>44739</v>
      </c>
    </row>
    <row r="399" spans="1:8" x14ac:dyDescent="0.35">
      <c r="A399" s="2" t="s">
        <v>1020</v>
      </c>
      <c r="B399" s="2" t="s">
        <v>1021</v>
      </c>
      <c r="C399" s="2" t="s">
        <v>1022</v>
      </c>
      <c r="D399" t="s">
        <v>5598</v>
      </c>
      <c r="E399" t="s">
        <v>6728</v>
      </c>
      <c r="F399" t="s">
        <v>12</v>
      </c>
      <c r="G399" t="s">
        <v>0</v>
      </c>
      <c r="H399" s="1">
        <f>DATE(2021,4,29)</f>
        <v>44315</v>
      </c>
    </row>
    <row r="400" spans="1:8" x14ac:dyDescent="0.35">
      <c r="A400" s="2" t="s">
        <v>1023</v>
      </c>
      <c r="B400" s="2" t="s">
        <v>1024</v>
      </c>
      <c r="D400" t="s">
        <v>5387</v>
      </c>
      <c r="E400" t="e">
        <v>#VALUE!</v>
      </c>
      <c r="F400" t="s">
        <v>12</v>
      </c>
      <c r="G400" t="s">
        <v>0</v>
      </c>
      <c r="H400" s="1">
        <f>DATE(2023,10,26)</f>
        <v>45225</v>
      </c>
    </row>
    <row r="401" spans="1:8" x14ac:dyDescent="0.35">
      <c r="A401" s="2" t="s">
        <v>1025</v>
      </c>
      <c r="B401" s="2" t="s">
        <v>1026</v>
      </c>
      <c r="D401" t="s">
        <v>5387</v>
      </c>
      <c r="E401" t="e">
        <v>#VALUE!</v>
      </c>
      <c r="F401" t="s">
        <v>12</v>
      </c>
      <c r="G401" t="s">
        <v>0</v>
      </c>
      <c r="H401" s="1">
        <f>DATE(2022,5,12)</f>
        <v>44693</v>
      </c>
    </row>
    <row r="402" spans="1:8" x14ac:dyDescent="0.35">
      <c r="A402" s="2" t="s">
        <v>1027</v>
      </c>
      <c r="B402" s="2" t="s">
        <v>1028</v>
      </c>
      <c r="C402" s="2" t="s">
        <v>1029</v>
      </c>
      <c r="D402" t="s">
        <v>5599</v>
      </c>
      <c r="E402" t="s">
        <v>6729</v>
      </c>
      <c r="F402" t="s">
        <v>12</v>
      </c>
      <c r="G402" t="s">
        <v>0</v>
      </c>
      <c r="H402" s="1">
        <f>DATE(2021,12,23)</f>
        <v>44553</v>
      </c>
    </row>
    <row r="403" spans="1:8" x14ac:dyDescent="0.35">
      <c r="A403" s="2" t="s">
        <v>1030</v>
      </c>
      <c r="B403" s="2" t="s">
        <v>1031</v>
      </c>
      <c r="D403" t="s">
        <v>5387</v>
      </c>
      <c r="E403" t="e">
        <v>#VALUE!</v>
      </c>
      <c r="F403" t="s">
        <v>12</v>
      </c>
      <c r="G403" t="s">
        <v>0</v>
      </c>
      <c r="H403" s="1">
        <f>DATE(2022,6,30)</f>
        <v>44742</v>
      </c>
    </row>
    <row r="404" spans="1:8" x14ac:dyDescent="0.35">
      <c r="A404" s="2" t="s">
        <v>1032</v>
      </c>
      <c r="B404" s="2" t="s">
        <v>1033</v>
      </c>
      <c r="C404" s="2" t="s">
        <v>1034</v>
      </c>
      <c r="D404" t="s">
        <v>5600</v>
      </c>
      <c r="E404" t="s">
        <v>6730</v>
      </c>
      <c r="F404" t="s">
        <v>12</v>
      </c>
      <c r="G404" t="s">
        <v>0</v>
      </c>
      <c r="H404" s="1">
        <f>DATE(2021,12,2)</f>
        <v>44532</v>
      </c>
    </row>
    <row r="405" spans="1:8" x14ac:dyDescent="0.35">
      <c r="A405" s="2" t="s">
        <v>1035</v>
      </c>
      <c r="B405" s="2" t="s">
        <v>1036</v>
      </c>
      <c r="C405" s="2" t="s">
        <v>1037</v>
      </c>
      <c r="D405" t="s">
        <v>5601</v>
      </c>
      <c r="E405" t="s">
        <v>6731</v>
      </c>
      <c r="F405" t="s">
        <v>12</v>
      </c>
      <c r="G405" t="s">
        <v>0</v>
      </c>
      <c r="H405" s="1">
        <f>DATE(2021,12,2)</f>
        <v>44532</v>
      </c>
    </row>
    <row r="406" spans="1:8" x14ac:dyDescent="0.35">
      <c r="A406" s="2" t="s">
        <v>1038</v>
      </c>
      <c r="B406" s="2" t="s">
        <v>1039</v>
      </c>
      <c r="C406" s="2" t="s">
        <v>1040</v>
      </c>
      <c r="D406" t="s">
        <v>5602</v>
      </c>
      <c r="E406" t="s">
        <v>6732</v>
      </c>
      <c r="F406" t="s">
        <v>12</v>
      </c>
      <c r="G406" t="s">
        <v>0</v>
      </c>
      <c r="H406" s="1">
        <f>DATE(2023,10,11)</f>
        <v>45210</v>
      </c>
    </row>
    <row r="407" spans="1:8" x14ac:dyDescent="0.35">
      <c r="A407" s="2" t="s">
        <v>1041</v>
      </c>
      <c r="B407" s="2" t="s">
        <v>1042</v>
      </c>
      <c r="C407" s="2" t="s">
        <v>1043</v>
      </c>
      <c r="D407" t="s">
        <v>5603</v>
      </c>
      <c r="E407" t="s">
        <v>6733</v>
      </c>
      <c r="F407" t="s">
        <v>12</v>
      </c>
      <c r="G407" t="s">
        <v>0</v>
      </c>
      <c r="H407" s="1">
        <f>DATE(2021,12,23)</f>
        <v>44553</v>
      </c>
    </row>
    <row r="408" spans="1:8" x14ac:dyDescent="0.35">
      <c r="A408" s="2" t="s">
        <v>1044</v>
      </c>
      <c r="B408" s="2" t="s">
        <v>1045</v>
      </c>
      <c r="C408" s="2" t="s">
        <v>1046</v>
      </c>
      <c r="D408" t="s">
        <v>5604</v>
      </c>
      <c r="E408" t="s">
        <v>6734</v>
      </c>
      <c r="F408" t="s">
        <v>12</v>
      </c>
      <c r="G408" t="s">
        <v>0</v>
      </c>
      <c r="H408" s="1">
        <f>DATE(2022,1,18)</f>
        <v>44579</v>
      </c>
    </row>
    <row r="409" spans="1:8" x14ac:dyDescent="0.35">
      <c r="A409" s="2" t="s">
        <v>1047</v>
      </c>
      <c r="B409" s="2" t="s">
        <v>1048</v>
      </c>
      <c r="C409" s="2" t="s">
        <v>1049</v>
      </c>
      <c r="D409" t="s">
        <v>5605</v>
      </c>
      <c r="E409" t="s">
        <v>6735</v>
      </c>
      <c r="F409" t="s">
        <v>12</v>
      </c>
      <c r="G409" t="s">
        <v>0</v>
      </c>
      <c r="H409" s="1">
        <f>DATE(2021,12,3)</f>
        <v>44533</v>
      </c>
    </row>
    <row r="410" spans="1:8" x14ac:dyDescent="0.35">
      <c r="A410" s="2" t="s">
        <v>1050</v>
      </c>
      <c r="B410" s="2" t="s">
        <v>1051</v>
      </c>
      <c r="D410" t="s">
        <v>5387</v>
      </c>
      <c r="E410" t="e">
        <v>#VALUE!</v>
      </c>
      <c r="F410" t="s">
        <v>12</v>
      </c>
      <c r="G410" t="s">
        <v>0</v>
      </c>
      <c r="H410" s="1">
        <f>DATE(2021,12,16)</f>
        <v>44546</v>
      </c>
    </row>
    <row r="411" spans="1:8" x14ac:dyDescent="0.35">
      <c r="A411" s="2" t="s">
        <v>1052</v>
      </c>
      <c r="B411" s="2" t="s">
        <v>1053</v>
      </c>
      <c r="C411" s="2" t="s">
        <v>1054</v>
      </c>
      <c r="D411" t="s">
        <v>5606</v>
      </c>
      <c r="E411" t="s">
        <v>6736</v>
      </c>
      <c r="F411" t="s">
        <v>12</v>
      </c>
      <c r="G411" t="s">
        <v>0</v>
      </c>
      <c r="H411" s="1">
        <f>DATE(2021,5,4)</f>
        <v>44320</v>
      </c>
    </row>
    <row r="412" spans="1:8" x14ac:dyDescent="0.35">
      <c r="A412" s="2" t="s">
        <v>1055</v>
      </c>
      <c r="B412" s="2" t="s">
        <v>1056</v>
      </c>
      <c r="D412" t="s">
        <v>5387</v>
      </c>
      <c r="E412" t="e">
        <v>#VALUE!</v>
      </c>
      <c r="F412" t="s">
        <v>12</v>
      </c>
      <c r="G412" t="s">
        <v>0</v>
      </c>
      <c r="H412" s="1">
        <f>DATE(2021,5,4)</f>
        <v>44320</v>
      </c>
    </row>
    <row r="413" spans="1:8" x14ac:dyDescent="0.35">
      <c r="A413" s="2" t="s">
        <v>1057</v>
      </c>
      <c r="B413" s="2" t="s">
        <v>1058</v>
      </c>
      <c r="C413" s="2" t="s">
        <v>1059</v>
      </c>
      <c r="D413" t="s">
        <v>5607</v>
      </c>
      <c r="E413" t="s">
        <v>6737</v>
      </c>
      <c r="F413" t="s">
        <v>12</v>
      </c>
      <c r="G413" t="s">
        <v>0</v>
      </c>
      <c r="H413" s="1">
        <f>DATE(2021,11,30)</f>
        <v>44530</v>
      </c>
    </row>
    <row r="414" spans="1:8" x14ac:dyDescent="0.35">
      <c r="A414" s="2" t="s">
        <v>1060</v>
      </c>
      <c r="B414" s="2" t="s">
        <v>1061</v>
      </c>
      <c r="D414" t="s">
        <v>5387</v>
      </c>
      <c r="E414" t="e">
        <v>#VALUE!</v>
      </c>
      <c r="F414" t="s">
        <v>12</v>
      </c>
      <c r="G414" t="s">
        <v>0</v>
      </c>
      <c r="H414" s="1">
        <f>DATE(2023,10,11)</f>
        <v>45210</v>
      </c>
    </row>
    <row r="415" spans="1:8" x14ac:dyDescent="0.35">
      <c r="A415" s="2" t="s">
        <v>1062</v>
      </c>
      <c r="B415" s="2" t="s">
        <v>1063</v>
      </c>
      <c r="C415" s="2" t="s">
        <v>1064</v>
      </c>
      <c r="D415" t="s">
        <v>5608</v>
      </c>
      <c r="E415" t="s">
        <v>6738</v>
      </c>
      <c r="F415" t="s">
        <v>12</v>
      </c>
      <c r="G415" t="s">
        <v>0</v>
      </c>
      <c r="H415" s="1">
        <f>DATE(2022,6,14)</f>
        <v>44726</v>
      </c>
    </row>
    <row r="416" spans="1:8" x14ac:dyDescent="0.35">
      <c r="A416" s="2" t="s">
        <v>1065</v>
      </c>
      <c r="B416" s="2" t="s">
        <v>1066</v>
      </c>
      <c r="C416" s="2" t="s">
        <v>1067</v>
      </c>
      <c r="D416" t="s">
        <v>5609</v>
      </c>
      <c r="E416" t="s">
        <v>6739</v>
      </c>
      <c r="F416" t="s">
        <v>12</v>
      </c>
      <c r="G416" t="s">
        <v>0</v>
      </c>
      <c r="H416" s="1">
        <f>DATE(2021,5,6)</f>
        <v>44322</v>
      </c>
    </row>
    <row r="417" spans="1:8" x14ac:dyDescent="0.35">
      <c r="A417" s="2" t="s">
        <v>1068</v>
      </c>
      <c r="B417" s="2" t="s">
        <v>1069</v>
      </c>
      <c r="C417" s="2" t="s">
        <v>1070</v>
      </c>
      <c r="D417" t="s">
        <v>5610</v>
      </c>
      <c r="E417" t="s">
        <v>6740</v>
      </c>
      <c r="F417" t="s">
        <v>12</v>
      </c>
      <c r="G417" t="s">
        <v>0</v>
      </c>
      <c r="H417" s="1">
        <f>DATE(2021,9,24)</f>
        <v>44463</v>
      </c>
    </row>
    <row r="418" spans="1:8" x14ac:dyDescent="0.35">
      <c r="A418" s="2" t="s">
        <v>1071</v>
      </c>
      <c r="B418" s="2" t="s">
        <v>1072</v>
      </c>
      <c r="C418" s="2" t="s">
        <v>1073</v>
      </c>
      <c r="D418" t="s">
        <v>5611</v>
      </c>
      <c r="E418" t="s">
        <v>6741</v>
      </c>
      <c r="F418" t="s">
        <v>12</v>
      </c>
      <c r="G418" t="s">
        <v>0</v>
      </c>
      <c r="H418" s="1">
        <f>DATE(2021,5,6)</f>
        <v>44322</v>
      </c>
    </row>
    <row r="419" spans="1:8" x14ac:dyDescent="0.35">
      <c r="A419" s="2" t="s">
        <v>1074</v>
      </c>
      <c r="B419" s="2" t="s">
        <v>1075</v>
      </c>
      <c r="D419" t="s">
        <v>5387</v>
      </c>
      <c r="E419" t="e">
        <v>#VALUE!</v>
      </c>
      <c r="F419" t="s">
        <v>12</v>
      </c>
      <c r="G419" t="s">
        <v>0</v>
      </c>
      <c r="H419" s="1">
        <f>DATE(2023,6,20)</f>
        <v>45097</v>
      </c>
    </row>
    <row r="420" spans="1:8" x14ac:dyDescent="0.35">
      <c r="A420" s="2" t="s">
        <v>1076</v>
      </c>
      <c r="B420" s="2" t="s">
        <v>1077</v>
      </c>
      <c r="D420" t="s">
        <v>5387</v>
      </c>
      <c r="E420" t="e">
        <v>#VALUE!</v>
      </c>
      <c r="F420" t="s">
        <v>12</v>
      </c>
      <c r="G420" t="s">
        <v>0</v>
      </c>
      <c r="H420" s="1">
        <f>DATE(2021,5,19)</f>
        <v>44335</v>
      </c>
    </row>
    <row r="421" spans="1:8" x14ac:dyDescent="0.35">
      <c r="A421" s="2" t="s">
        <v>1078</v>
      </c>
      <c r="B421" s="2" t="s">
        <v>1079</v>
      </c>
      <c r="C421" s="2" t="s">
        <v>1080</v>
      </c>
      <c r="D421" t="s">
        <v>5612</v>
      </c>
      <c r="E421" t="s">
        <v>6742</v>
      </c>
      <c r="F421" t="s">
        <v>12</v>
      </c>
      <c r="G421" t="s">
        <v>0</v>
      </c>
      <c r="H421" s="1">
        <f>DATE(2021,5,20)</f>
        <v>44336</v>
      </c>
    </row>
    <row r="422" spans="1:8" x14ac:dyDescent="0.35">
      <c r="A422" s="2" t="s">
        <v>1081</v>
      </c>
      <c r="B422" s="2" t="s">
        <v>1082</v>
      </c>
      <c r="C422" s="2" t="s">
        <v>1083</v>
      </c>
      <c r="D422" t="s">
        <v>5613</v>
      </c>
      <c r="E422" t="s">
        <v>6743</v>
      </c>
      <c r="F422" t="s">
        <v>12</v>
      </c>
      <c r="G422" t="s">
        <v>0</v>
      </c>
      <c r="H422" s="1">
        <f>DATE(2021,5,21)</f>
        <v>44337</v>
      </c>
    </row>
    <row r="423" spans="1:8" x14ac:dyDescent="0.35">
      <c r="A423" s="2" t="s">
        <v>1084</v>
      </c>
      <c r="B423" s="2" t="s">
        <v>1085</v>
      </c>
      <c r="C423" s="2" t="s">
        <v>1086</v>
      </c>
      <c r="D423" t="s">
        <v>5614</v>
      </c>
      <c r="E423" t="s">
        <v>6744</v>
      </c>
      <c r="F423" t="s">
        <v>12</v>
      </c>
      <c r="G423" t="s">
        <v>0</v>
      </c>
      <c r="H423" s="1">
        <f>DATE(2021,7,6)</f>
        <v>44383</v>
      </c>
    </row>
    <row r="424" spans="1:8" x14ac:dyDescent="0.35">
      <c r="A424" s="2" t="s">
        <v>1087</v>
      </c>
      <c r="B424" s="2" t="s">
        <v>1088</v>
      </c>
      <c r="D424" t="s">
        <v>5387</v>
      </c>
      <c r="E424" t="e">
        <v>#VALUE!</v>
      </c>
      <c r="F424" t="s">
        <v>12</v>
      </c>
      <c r="G424" t="s">
        <v>0</v>
      </c>
      <c r="H424" s="1">
        <f>DATE(2022,5,16)</f>
        <v>44697</v>
      </c>
    </row>
    <row r="425" spans="1:8" x14ac:dyDescent="0.35">
      <c r="A425" s="2" t="s">
        <v>1089</v>
      </c>
      <c r="B425" s="2" t="s">
        <v>1090</v>
      </c>
      <c r="C425" s="2" t="s">
        <v>1091</v>
      </c>
      <c r="D425" t="s">
        <v>5615</v>
      </c>
      <c r="E425" t="s">
        <v>6745</v>
      </c>
      <c r="F425" t="s">
        <v>12</v>
      </c>
      <c r="G425" t="s">
        <v>0</v>
      </c>
      <c r="H425" s="1">
        <f>DATE(2021,5,21)</f>
        <v>44337</v>
      </c>
    </row>
    <row r="426" spans="1:8" x14ac:dyDescent="0.35">
      <c r="A426" s="2" t="s">
        <v>1092</v>
      </c>
      <c r="B426" s="2" t="s">
        <v>1093</v>
      </c>
      <c r="C426" s="2" t="s">
        <v>1094</v>
      </c>
      <c r="D426" t="s">
        <v>5616</v>
      </c>
      <c r="E426" t="s">
        <v>6746</v>
      </c>
      <c r="F426" t="s">
        <v>12</v>
      </c>
      <c r="G426" t="s">
        <v>0</v>
      </c>
      <c r="H426" s="1">
        <f>DATE(2021,12,2)</f>
        <v>44532</v>
      </c>
    </row>
    <row r="427" spans="1:8" x14ac:dyDescent="0.35">
      <c r="A427" s="2" t="s">
        <v>1095</v>
      </c>
      <c r="B427" s="2" t="s">
        <v>1096</v>
      </c>
      <c r="C427" s="2" t="s">
        <v>1097</v>
      </c>
      <c r="D427" t="s">
        <v>5617</v>
      </c>
      <c r="E427" t="s">
        <v>6747</v>
      </c>
      <c r="F427" t="s">
        <v>12</v>
      </c>
      <c r="G427" t="s">
        <v>0</v>
      </c>
      <c r="H427" s="1">
        <f>DATE(2021,9,16)</f>
        <v>44455</v>
      </c>
    </row>
    <row r="428" spans="1:8" x14ac:dyDescent="0.35">
      <c r="A428" s="2" t="s">
        <v>1098</v>
      </c>
      <c r="B428" s="2" t="s">
        <v>1099</v>
      </c>
      <c r="D428" t="s">
        <v>5387</v>
      </c>
      <c r="E428" t="e">
        <v>#VALUE!</v>
      </c>
      <c r="F428" t="s">
        <v>12</v>
      </c>
      <c r="G428" t="s">
        <v>0</v>
      </c>
      <c r="H428" s="1">
        <f>DATE(2021,5,21)</f>
        <v>44337</v>
      </c>
    </row>
    <row r="429" spans="1:8" x14ac:dyDescent="0.35">
      <c r="A429" s="2" t="s">
        <v>1100</v>
      </c>
      <c r="B429" s="2" t="s">
        <v>1101</v>
      </c>
      <c r="C429" s="2" t="s">
        <v>1102</v>
      </c>
      <c r="D429" t="s">
        <v>5618</v>
      </c>
      <c r="E429" t="s">
        <v>6748</v>
      </c>
      <c r="F429" t="s">
        <v>12</v>
      </c>
      <c r="G429" t="s">
        <v>0</v>
      </c>
      <c r="H429" s="1">
        <f>DATE(2023,7,5)</f>
        <v>45112</v>
      </c>
    </row>
    <row r="430" spans="1:8" x14ac:dyDescent="0.35">
      <c r="A430" s="2" t="s">
        <v>1103</v>
      </c>
      <c r="B430" s="2" t="s">
        <v>1104</v>
      </c>
      <c r="C430" s="2" t="s">
        <v>1105</v>
      </c>
      <c r="D430" t="s">
        <v>5619</v>
      </c>
      <c r="E430" t="s">
        <v>6749</v>
      </c>
      <c r="F430" t="s">
        <v>12</v>
      </c>
      <c r="G430" t="s">
        <v>0</v>
      </c>
      <c r="H430" s="1">
        <f>DATE(2023,7,5)</f>
        <v>45112</v>
      </c>
    </row>
    <row r="431" spans="1:8" x14ac:dyDescent="0.35">
      <c r="A431" s="2" t="s">
        <v>1106</v>
      </c>
      <c r="B431" s="2" t="s">
        <v>1107</v>
      </c>
      <c r="C431" s="2" t="s">
        <v>1108</v>
      </c>
      <c r="D431" t="s">
        <v>5620</v>
      </c>
      <c r="E431" t="s">
        <v>6750</v>
      </c>
      <c r="F431" t="s">
        <v>12</v>
      </c>
      <c r="G431" t="s">
        <v>0</v>
      </c>
      <c r="H431" s="1">
        <f>DATE(2022,2,10)</f>
        <v>44602</v>
      </c>
    </row>
    <row r="432" spans="1:8" x14ac:dyDescent="0.35">
      <c r="A432" s="2" t="s">
        <v>1109</v>
      </c>
      <c r="B432" s="2" t="s">
        <v>1110</v>
      </c>
      <c r="C432" s="2" t="s">
        <v>1111</v>
      </c>
      <c r="D432" t="s">
        <v>5621</v>
      </c>
      <c r="E432" t="s">
        <v>6751</v>
      </c>
      <c r="F432" t="s">
        <v>12</v>
      </c>
      <c r="G432" t="s">
        <v>0</v>
      </c>
      <c r="H432" s="1">
        <f>DATE(2021,6,2)</f>
        <v>44349</v>
      </c>
    </row>
    <row r="433" spans="1:8" x14ac:dyDescent="0.35">
      <c r="A433" s="2" t="s">
        <v>1112</v>
      </c>
      <c r="B433" s="2" t="s">
        <v>1113</v>
      </c>
      <c r="C433" s="2" t="s">
        <v>1114</v>
      </c>
      <c r="D433" t="s">
        <v>5622</v>
      </c>
      <c r="E433" t="s">
        <v>6752</v>
      </c>
      <c r="F433" t="s">
        <v>12</v>
      </c>
      <c r="G433" t="s">
        <v>0</v>
      </c>
      <c r="H433" s="1">
        <f>DATE(2023,5,11)</f>
        <v>45057</v>
      </c>
    </row>
    <row r="434" spans="1:8" x14ac:dyDescent="0.35">
      <c r="A434" s="2" t="s">
        <v>1115</v>
      </c>
      <c r="B434" s="2" t="s">
        <v>1116</v>
      </c>
      <c r="C434" s="2" t="s">
        <v>1117</v>
      </c>
      <c r="D434" t="s">
        <v>5623</v>
      </c>
      <c r="E434" t="s">
        <v>6753</v>
      </c>
      <c r="F434" t="s">
        <v>12</v>
      </c>
      <c r="G434" t="s">
        <v>0</v>
      </c>
      <c r="H434" s="1">
        <f>DATE(2021,6,8)</f>
        <v>44355</v>
      </c>
    </row>
    <row r="435" spans="1:8" x14ac:dyDescent="0.35">
      <c r="A435" s="2" t="s">
        <v>1118</v>
      </c>
      <c r="B435" s="2" t="s">
        <v>1119</v>
      </c>
      <c r="D435" t="s">
        <v>5387</v>
      </c>
      <c r="E435" t="e">
        <v>#VALUE!</v>
      </c>
      <c r="F435" t="s">
        <v>12</v>
      </c>
      <c r="G435" t="s">
        <v>0</v>
      </c>
      <c r="H435" s="1">
        <f>DATE(2021,6,8)</f>
        <v>44355</v>
      </c>
    </row>
    <row r="436" spans="1:8" x14ac:dyDescent="0.35">
      <c r="A436" s="2" t="s">
        <v>1120</v>
      </c>
      <c r="B436" s="2" t="s">
        <v>1121</v>
      </c>
      <c r="D436" t="s">
        <v>5387</v>
      </c>
      <c r="E436" t="e">
        <v>#VALUE!</v>
      </c>
      <c r="F436" t="s">
        <v>12</v>
      </c>
      <c r="G436" t="s">
        <v>0</v>
      </c>
      <c r="H436" s="1">
        <f>DATE(2021,6,8)</f>
        <v>44355</v>
      </c>
    </row>
    <row r="437" spans="1:8" x14ac:dyDescent="0.35">
      <c r="A437" s="2" t="s">
        <v>1122</v>
      </c>
      <c r="B437" s="2" t="s">
        <v>1123</v>
      </c>
      <c r="C437" s="2" t="s">
        <v>1124</v>
      </c>
      <c r="D437" t="s">
        <v>5624</v>
      </c>
      <c r="E437" t="s">
        <v>6754</v>
      </c>
      <c r="F437" t="s">
        <v>12</v>
      </c>
      <c r="G437" t="s">
        <v>0</v>
      </c>
      <c r="H437" s="1">
        <f>DATE(2023,6,13)</f>
        <v>45090</v>
      </c>
    </row>
    <row r="438" spans="1:8" x14ac:dyDescent="0.35">
      <c r="A438" s="2" t="s">
        <v>1125</v>
      </c>
      <c r="B438" s="2" t="s">
        <v>1126</v>
      </c>
      <c r="D438" t="s">
        <v>5387</v>
      </c>
      <c r="E438" t="e">
        <v>#VALUE!</v>
      </c>
      <c r="F438" t="s">
        <v>12</v>
      </c>
      <c r="G438" t="s">
        <v>0</v>
      </c>
      <c r="H438" s="1">
        <f>DATE(2021,6,8)</f>
        <v>44355</v>
      </c>
    </row>
    <row r="439" spans="1:8" x14ac:dyDescent="0.35">
      <c r="A439" s="2" t="s">
        <v>1127</v>
      </c>
      <c r="B439" s="2" t="s">
        <v>1128</v>
      </c>
      <c r="D439" t="s">
        <v>5387</v>
      </c>
      <c r="E439" t="e">
        <v>#VALUE!</v>
      </c>
      <c r="F439" t="s">
        <v>12</v>
      </c>
      <c r="G439" t="s">
        <v>0</v>
      </c>
      <c r="H439" s="1">
        <f>DATE(2021,6,8)</f>
        <v>44355</v>
      </c>
    </row>
    <row r="440" spans="1:8" x14ac:dyDescent="0.35">
      <c r="A440" s="2" t="s">
        <v>1129</v>
      </c>
      <c r="B440" s="2" t="s">
        <v>1130</v>
      </c>
      <c r="C440" s="2" t="s">
        <v>1131</v>
      </c>
      <c r="D440" t="s">
        <v>5625</v>
      </c>
      <c r="E440" t="s">
        <v>6755</v>
      </c>
      <c r="F440" t="s">
        <v>12</v>
      </c>
      <c r="G440" t="s">
        <v>0</v>
      </c>
      <c r="H440" s="1">
        <f>DATE(2021,6,8)</f>
        <v>44355</v>
      </c>
    </row>
    <row r="441" spans="1:8" x14ac:dyDescent="0.35">
      <c r="A441" s="2" t="s">
        <v>1132</v>
      </c>
      <c r="B441" s="2" t="s">
        <v>1133</v>
      </c>
      <c r="C441" s="2" t="s">
        <v>1134</v>
      </c>
      <c r="D441" t="s">
        <v>5626</v>
      </c>
      <c r="E441" t="s">
        <v>6756</v>
      </c>
      <c r="F441" t="s">
        <v>12</v>
      </c>
      <c r="G441" t="s">
        <v>0</v>
      </c>
      <c r="H441" s="1">
        <f>DATE(2022,6,17)</f>
        <v>44729</v>
      </c>
    </row>
    <row r="442" spans="1:8" x14ac:dyDescent="0.35">
      <c r="A442" s="2" t="s">
        <v>1135</v>
      </c>
      <c r="B442" s="2" t="s">
        <v>1136</v>
      </c>
      <c r="D442" t="s">
        <v>5387</v>
      </c>
      <c r="E442" t="e">
        <v>#VALUE!</v>
      </c>
      <c r="F442" t="s">
        <v>12</v>
      </c>
      <c r="G442" t="s">
        <v>0</v>
      </c>
      <c r="H442" s="1">
        <f>DATE(2023,9,28)</f>
        <v>45197</v>
      </c>
    </row>
    <row r="443" spans="1:8" x14ac:dyDescent="0.35">
      <c r="A443" s="2" t="s">
        <v>1137</v>
      </c>
      <c r="B443" s="2" t="s">
        <v>1138</v>
      </c>
      <c r="D443" t="s">
        <v>5387</v>
      </c>
      <c r="E443" t="e">
        <v>#VALUE!</v>
      </c>
      <c r="F443" t="s">
        <v>12</v>
      </c>
      <c r="G443" t="s">
        <v>0</v>
      </c>
      <c r="H443" s="1">
        <f>DATE(2022,8,2)</f>
        <v>44775</v>
      </c>
    </row>
    <row r="444" spans="1:8" x14ac:dyDescent="0.35">
      <c r="A444" s="2" t="s">
        <v>1139</v>
      </c>
      <c r="B444" s="2" t="s">
        <v>1140</v>
      </c>
      <c r="C444" s="2" t="s">
        <v>1141</v>
      </c>
      <c r="D444" t="s">
        <v>5627</v>
      </c>
      <c r="E444" t="s">
        <v>6757</v>
      </c>
      <c r="F444" t="s">
        <v>12</v>
      </c>
      <c r="G444" t="s">
        <v>0</v>
      </c>
      <c r="H444" s="1">
        <f>DATE(2021,6,10)</f>
        <v>44357</v>
      </c>
    </row>
    <row r="445" spans="1:8" x14ac:dyDescent="0.35">
      <c r="A445" s="2" t="s">
        <v>1142</v>
      </c>
      <c r="B445" s="2" t="s">
        <v>1143</v>
      </c>
      <c r="D445" t="s">
        <v>5387</v>
      </c>
      <c r="E445" t="e">
        <v>#VALUE!</v>
      </c>
      <c r="F445" t="s">
        <v>12</v>
      </c>
      <c r="G445" t="s">
        <v>0</v>
      </c>
      <c r="H445" s="1">
        <f>DATE(2022,3,2)</f>
        <v>44622</v>
      </c>
    </row>
    <row r="446" spans="1:8" x14ac:dyDescent="0.35">
      <c r="A446" s="2" t="s">
        <v>1144</v>
      </c>
      <c r="B446" s="2" t="s">
        <v>1145</v>
      </c>
      <c r="C446" s="2" t="s">
        <v>1146</v>
      </c>
      <c r="D446" t="s">
        <v>5628</v>
      </c>
      <c r="E446" t="s">
        <v>6758</v>
      </c>
      <c r="F446" t="s">
        <v>12</v>
      </c>
      <c r="G446" t="s">
        <v>0</v>
      </c>
      <c r="H446" s="1">
        <f>DATE(2022,6,14)</f>
        <v>44726</v>
      </c>
    </row>
    <row r="447" spans="1:8" x14ac:dyDescent="0.35">
      <c r="A447" s="2" t="s">
        <v>1147</v>
      </c>
      <c r="B447" s="2" t="s">
        <v>1148</v>
      </c>
      <c r="C447" s="2" t="s">
        <v>1149</v>
      </c>
      <c r="D447" t="s">
        <v>5629</v>
      </c>
      <c r="E447" t="s">
        <v>6759</v>
      </c>
      <c r="F447" t="s">
        <v>12</v>
      </c>
      <c r="G447" t="s">
        <v>0</v>
      </c>
      <c r="H447" s="1">
        <f>DATE(2022,11,4)</f>
        <v>44869</v>
      </c>
    </row>
    <row r="448" spans="1:8" x14ac:dyDescent="0.35">
      <c r="A448" s="2" t="s">
        <v>1150</v>
      </c>
      <c r="B448" s="2" t="s">
        <v>1151</v>
      </c>
      <c r="D448" t="s">
        <v>5387</v>
      </c>
      <c r="E448" t="e">
        <v>#VALUE!</v>
      </c>
      <c r="F448" t="s">
        <v>12</v>
      </c>
      <c r="G448" t="s">
        <v>0</v>
      </c>
      <c r="H448" s="1">
        <f>DATE(2021,6,30)</f>
        <v>44377</v>
      </c>
    </row>
    <row r="449" spans="1:8" x14ac:dyDescent="0.35">
      <c r="A449" s="2" t="s">
        <v>1152</v>
      </c>
      <c r="B449" s="2" t="s">
        <v>1153</v>
      </c>
      <c r="C449" s="2" t="s">
        <v>1154</v>
      </c>
      <c r="D449" t="s">
        <v>5630</v>
      </c>
      <c r="E449" t="s">
        <v>6760</v>
      </c>
      <c r="F449" t="s">
        <v>12</v>
      </c>
      <c r="G449" t="s">
        <v>0</v>
      </c>
      <c r="H449" s="1">
        <f>DATE(2021,6,29)</f>
        <v>44376</v>
      </c>
    </row>
    <row r="450" spans="1:8" x14ac:dyDescent="0.35">
      <c r="A450" s="2" t="s">
        <v>1155</v>
      </c>
      <c r="B450" s="2" t="s">
        <v>1156</v>
      </c>
      <c r="D450" t="s">
        <v>5387</v>
      </c>
      <c r="E450" t="e">
        <v>#VALUE!</v>
      </c>
      <c r="F450" t="s">
        <v>12</v>
      </c>
      <c r="G450" t="s">
        <v>0</v>
      </c>
      <c r="H450" s="1">
        <f>DATE(2023,7,3)</f>
        <v>45110</v>
      </c>
    </row>
    <row r="451" spans="1:8" x14ac:dyDescent="0.35">
      <c r="A451" s="2" t="s">
        <v>1157</v>
      </c>
      <c r="B451" s="2" t="s">
        <v>1158</v>
      </c>
      <c r="D451" t="s">
        <v>5387</v>
      </c>
      <c r="E451" t="e">
        <v>#VALUE!</v>
      </c>
      <c r="F451" t="s">
        <v>12</v>
      </c>
      <c r="G451" t="s">
        <v>0</v>
      </c>
      <c r="H451" s="1">
        <f>DATE(2021,7,1)</f>
        <v>44378</v>
      </c>
    </row>
    <row r="452" spans="1:8" x14ac:dyDescent="0.35">
      <c r="A452" s="2" t="s">
        <v>1159</v>
      </c>
      <c r="B452" s="2" t="s">
        <v>1160</v>
      </c>
      <c r="C452" s="2" t="s">
        <v>1161</v>
      </c>
      <c r="D452" t="s">
        <v>5631</v>
      </c>
      <c r="E452" t="s">
        <v>6761</v>
      </c>
      <c r="F452" t="s">
        <v>12</v>
      </c>
      <c r="G452" t="s">
        <v>0</v>
      </c>
      <c r="H452" s="1">
        <f>DATE(2022,10,21)</f>
        <v>44855</v>
      </c>
    </row>
    <row r="453" spans="1:8" x14ac:dyDescent="0.35">
      <c r="A453" s="2" t="s">
        <v>1162</v>
      </c>
      <c r="B453" s="2" t="s">
        <v>1163</v>
      </c>
      <c r="C453" s="2" t="s">
        <v>1164</v>
      </c>
      <c r="D453" t="s">
        <v>5632</v>
      </c>
      <c r="E453" t="s">
        <v>6762</v>
      </c>
      <c r="F453" t="s">
        <v>12</v>
      </c>
      <c r="G453" t="s">
        <v>0</v>
      </c>
      <c r="H453" s="1">
        <f>DATE(2022,11,3)</f>
        <v>44868</v>
      </c>
    </row>
    <row r="454" spans="1:8" x14ac:dyDescent="0.35">
      <c r="A454" s="2" t="s">
        <v>1165</v>
      </c>
      <c r="B454" s="2" t="s">
        <v>1166</v>
      </c>
      <c r="C454" s="2" t="s">
        <v>1167</v>
      </c>
      <c r="D454" t="s">
        <v>5633</v>
      </c>
      <c r="E454" t="s">
        <v>6763</v>
      </c>
      <c r="F454" t="s">
        <v>12</v>
      </c>
      <c r="G454" t="s">
        <v>0</v>
      </c>
      <c r="H454" s="1">
        <f>DATE(2022,8,31)</f>
        <v>44804</v>
      </c>
    </row>
    <row r="455" spans="1:8" x14ac:dyDescent="0.35">
      <c r="A455" s="2" t="s">
        <v>1168</v>
      </c>
      <c r="B455" s="2" t="s">
        <v>1169</v>
      </c>
      <c r="D455" t="s">
        <v>5387</v>
      </c>
      <c r="E455" t="e">
        <v>#VALUE!</v>
      </c>
      <c r="F455" t="s">
        <v>12</v>
      </c>
      <c r="G455" t="s">
        <v>0</v>
      </c>
      <c r="H455" s="1">
        <f>DATE(2022,8,31)</f>
        <v>44804</v>
      </c>
    </row>
    <row r="456" spans="1:8" x14ac:dyDescent="0.35">
      <c r="A456" s="2" t="s">
        <v>1170</v>
      </c>
      <c r="B456" s="2" t="s">
        <v>768</v>
      </c>
      <c r="D456" t="s">
        <v>5387</v>
      </c>
      <c r="E456" t="e">
        <v>#VALUE!</v>
      </c>
      <c r="F456" t="s">
        <v>12</v>
      </c>
      <c r="G456" t="s">
        <v>0</v>
      </c>
      <c r="H456" s="1">
        <f>DATE(2022,8,31)</f>
        <v>44804</v>
      </c>
    </row>
    <row r="457" spans="1:8" x14ac:dyDescent="0.35">
      <c r="A457" s="2" t="s">
        <v>1171</v>
      </c>
      <c r="B457" s="2" t="s">
        <v>1172</v>
      </c>
      <c r="C457" s="2" t="s">
        <v>1173</v>
      </c>
      <c r="D457" t="s">
        <v>5634</v>
      </c>
      <c r="E457" t="s">
        <v>6764</v>
      </c>
      <c r="F457" t="s">
        <v>12</v>
      </c>
      <c r="G457" t="s">
        <v>0</v>
      </c>
      <c r="H457" s="1">
        <f>DATE(2022,8,31)</f>
        <v>44804</v>
      </c>
    </row>
    <row r="458" spans="1:8" x14ac:dyDescent="0.35">
      <c r="A458" s="2" t="s">
        <v>1174</v>
      </c>
      <c r="B458" s="2" t="s">
        <v>1175</v>
      </c>
      <c r="D458" t="s">
        <v>5387</v>
      </c>
      <c r="E458" t="e">
        <v>#VALUE!</v>
      </c>
      <c r="F458" t="s">
        <v>12</v>
      </c>
      <c r="G458" t="s">
        <v>0</v>
      </c>
      <c r="H458" s="1">
        <f>DATE(2022,6,14)</f>
        <v>44726</v>
      </c>
    </row>
    <row r="459" spans="1:8" x14ac:dyDescent="0.35">
      <c r="A459" s="2" t="s">
        <v>1176</v>
      </c>
      <c r="B459" s="2" t="s">
        <v>1177</v>
      </c>
      <c r="C459" s="2" t="s">
        <v>1178</v>
      </c>
      <c r="D459" t="s">
        <v>5635</v>
      </c>
      <c r="E459" t="s">
        <v>6765</v>
      </c>
      <c r="F459" t="s">
        <v>12</v>
      </c>
      <c r="G459" t="s">
        <v>0</v>
      </c>
      <c r="H459" s="1">
        <f>DATE(2022,7,27)</f>
        <v>44769</v>
      </c>
    </row>
    <row r="460" spans="1:8" x14ac:dyDescent="0.35">
      <c r="A460" s="2" t="s">
        <v>1179</v>
      </c>
      <c r="B460" s="2" t="s">
        <v>1180</v>
      </c>
      <c r="C460" s="2" t="s">
        <v>1181</v>
      </c>
      <c r="D460" t="s">
        <v>5636</v>
      </c>
      <c r="E460" t="s">
        <v>6766</v>
      </c>
      <c r="F460" t="s">
        <v>12</v>
      </c>
      <c r="G460" t="s">
        <v>0</v>
      </c>
      <c r="H460" s="1">
        <f>DATE(2022,8,31)</f>
        <v>44804</v>
      </c>
    </row>
    <row r="461" spans="1:8" x14ac:dyDescent="0.35">
      <c r="A461" s="2" t="s">
        <v>1182</v>
      </c>
      <c r="B461" s="2" t="s">
        <v>1183</v>
      </c>
      <c r="C461" s="2" t="s">
        <v>1184</v>
      </c>
      <c r="D461" t="s">
        <v>5637</v>
      </c>
      <c r="E461" t="s">
        <v>6767</v>
      </c>
      <c r="F461" t="s">
        <v>12</v>
      </c>
      <c r="G461" t="s">
        <v>0</v>
      </c>
      <c r="H461" s="1">
        <f>DATE(2022,6,14)</f>
        <v>44726</v>
      </c>
    </row>
    <row r="462" spans="1:8" x14ac:dyDescent="0.35">
      <c r="A462" s="2" t="s">
        <v>1185</v>
      </c>
      <c r="B462" s="2" t="s">
        <v>1186</v>
      </c>
      <c r="D462" t="s">
        <v>5387</v>
      </c>
      <c r="E462" t="e">
        <v>#VALUE!</v>
      </c>
      <c r="F462" t="s">
        <v>1187</v>
      </c>
      <c r="G462" t="s">
        <v>0</v>
      </c>
      <c r="H462" s="1">
        <f>DATE(2020,1,10)</f>
        <v>43840</v>
      </c>
    </row>
    <row r="463" spans="1:8" x14ac:dyDescent="0.35">
      <c r="A463" s="2" t="s">
        <v>1188</v>
      </c>
      <c r="B463" s="2" t="s">
        <v>1189</v>
      </c>
      <c r="D463" t="s">
        <v>5387</v>
      </c>
      <c r="E463" t="e">
        <v>#VALUE!</v>
      </c>
      <c r="F463" t="s">
        <v>12</v>
      </c>
      <c r="G463" t="s">
        <v>0</v>
      </c>
      <c r="H463" s="1">
        <f>DATE(2020,1,8)</f>
        <v>43838</v>
      </c>
    </row>
    <row r="464" spans="1:8" x14ac:dyDescent="0.35">
      <c r="A464" s="2" t="s">
        <v>1190</v>
      </c>
      <c r="B464" s="2" t="s">
        <v>1191</v>
      </c>
      <c r="C464" s="2" t="s">
        <v>1192</v>
      </c>
      <c r="D464" t="s">
        <v>5638</v>
      </c>
      <c r="E464" t="s">
        <v>6768</v>
      </c>
      <c r="F464" t="s">
        <v>12</v>
      </c>
      <c r="G464" t="s">
        <v>0</v>
      </c>
      <c r="H464" s="1">
        <f>DATE(2020,1,10)</f>
        <v>43840</v>
      </c>
    </row>
    <row r="465" spans="1:8" x14ac:dyDescent="0.35">
      <c r="A465" s="2" t="s">
        <v>1193</v>
      </c>
      <c r="B465" s="2" t="s">
        <v>1194</v>
      </c>
      <c r="D465" t="s">
        <v>5387</v>
      </c>
      <c r="E465" t="e">
        <v>#VALUE!</v>
      </c>
      <c r="F465" t="s">
        <v>12</v>
      </c>
      <c r="G465" t="s">
        <v>0</v>
      </c>
      <c r="H465" s="1">
        <f>DATE(2020,1,10)</f>
        <v>43840</v>
      </c>
    </row>
    <row r="466" spans="1:8" x14ac:dyDescent="0.35">
      <c r="A466" s="2" t="s">
        <v>1195</v>
      </c>
      <c r="B466" s="2" t="s">
        <v>1196</v>
      </c>
      <c r="D466" t="s">
        <v>5387</v>
      </c>
      <c r="E466" t="e">
        <v>#VALUE!</v>
      </c>
      <c r="F466" t="s">
        <v>12</v>
      </c>
      <c r="G466" t="s">
        <v>0</v>
      </c>
      <c r="H466" s="1">
        <f>DATE(2020,1,10)</f>
        <v>43840</v>
      </c>
    </row>
    <row r="467" spans="1:8" x14ac:dyDescent="0.35">
      <c r="A467" s="2" t="s">
        <v>1197</v>
      </c>
      <c r="B467" s="2" t="s">
        <v>1198</v>
      </c>
      <c r="D467" t="s">
        <v>5387</v>
      </c>
      <c r="E467" t="e">
        <v>#VALUE!</v>
      </c>
      <c r="F467" t="s">
        <v>12</v>
      </c>
      <c r="G467" t="s">
        <v>0</v>
      </c>
      <c r="H467" s="1">
        <f>DATE(2019,12,23)</f>
        <v>43822</v>
      </c>
    </row>
    <row r="468" spans="1:8" x14ac:dyDescent="0.35">
      <c r="A468" s="2" t="s">
        <v>1199</v>
      </c>
      <c r="B468" s="2" t="s">
        <v>1200</v>
      </c>
      <c r="C468" s="2" t="s">
        <v>1201</v>
      </c>
      <c r="D468" t="s">
        <v>5639</v>
      </c>
      <c r="E468" t="s">
        <v>6769</v>
      </c>
      <c r="F468" t="s">
        <v>12</v>
      </c>
      <c r="G468" t="s">
        <v>0</v>
      </c>
      <c r="H468" s="1">
        <f>DATE(2022,6,14)</f>
        <v>44726</v>
      </c>
    </row>
    <row r="469" spans="1:8" x14ac:dyDescent="0.35">
      <c r="A469" s="2" t="s">
        <v>1202</v>
      </c>
      <c r="B469" s="2" t="s">
        <v>1203</v>
      </c>
      <c r="D469" t="s">
        <v>5387</v>
      </c>
      <c r="E469" t="e">
        <v>#VALUE!</v>
      </c>
      <c r="F469" t="s">
        <v>12</v>
      </c>
      <c r="G469" t="s">
        <v>0</v>
      </c>
      <c r="H469" s="1">
        <f>DATE(2022,8,31)</f>
        <v>44804</v>
      </c>
    </row>
    <row r="470" spans="1:8" x14ac:dyDescent="0.35">
      <c r="A470" s="2" t="s">
        <v>1204</v>
      </c>
      <c r="B470" s="2" t="s">
        <v>181</v>
      </c>
      <c r="C470" s="2" t="s">
        <v>1205</v>
      </c>
      <c r="D470" t="s">
        <v>5415</v>
      </c>
      <c r="E470" t="s">
        <v>6545</v>
      </c>
      <c r="F470" t="s">
        <v>12</v>
      </c>
      <c r="G470" t="s">
        <v>0</v>
      </c>
      <c r="H470" s="1">
        <f>DATE(2022,8,31)</f>
        <v>44804</v>
      </c>
    </row>
    <row r="471" spans="1:8" x14ac:dyDescent="0.35">
      <c r="A471" s="2" t="s">
        <v>1206</v>
      </c>
      <c r="B471" s="2" t="s">
        <v>1207</v>
      </c>
      <c r="C471" s="2" t="s">
        <v>1208</v>
      </c>
      <c r="D471" t="s">
        <v>5640</v>
      </c>
      <c r="E471" t="s">
        <v>6770</v>
      </c>
      <c r="F471" t="s">
        <v>12</v>
      </c>
      <c r="G471" t="s">
        <v>0</v>
      </c>
      <c r="H471" s="1">
        <f>DATE(2020,1,9)</f>
        <v>43839</v>
      </c>
    </row>
    <row r="472" spans="1:8" x14ac:dyDescent="0.35">
      <c r="A472" s="2" t="s">
        <v>1209</v>
      </c>
      <c r="B472" s="2" t="s">
        <v>1210</v>
      </c>
      <c r="C472" s="2" t="s">
        <v>1211</v>
      </c>
      <c r="D472" t="s">
        <v>5641</v>
      </c>
      <c r="E472" t="s">
        <v>6771</v>
      </c>
      <c r="F472" t="s">
        <v>12</v>
      </c>
      <c r="G472" t="s">
        <v>0</v>
      </c>
      <c r="H472" s="1">
        <f>DATE(2020,1,9)</f>
        <v>43839</v>
      </c>
    </row>
    <row r="473" spans="1:8" x14ac:dyDescent="0.35">
      <c r="A473" s="2" t="s">
        <v>1212</v>
      </c>
      <c r="B473" s="2" t="s">
        <v>1213</v>
      </c>
      <c r="C473" s="2" t="s">
        <v>1214</v>
      </c>
      <c r="D473" t="s">
        <v>5642</v>
      </c>
      <c r="E473" t="s">
        <v>6772</v>
      </c>
      <c r="F473" t="s">
        <v>12</v>
      </c>
      <c r="G473" t="s">
        <v>0</v>
      </c>
      <c r="H473" s="1">
        <f>DATE(2020,1,9)</f>
        <v>43839</v>
      </c>
    </row>
    <row r="474" spans="1:8" x14ac:dyDescent="0.35">
      <c r="A474" s="2" t="s">
        <v>1215</v>
      </c>
      <c r="B474" s="2" t="s">
        <v>1216</v>
      </c>
      <c r="D474" t="s">
        <v>5387</v>
      </c>
      <c r="E474" t="e">
        <v>#VALUE!</v>
      </c>
      <c r="F474" t="s">
        <v>25</v>
      </c>
      <c r="G474" t="s">
        <v>0</v>
      </c>
      <c r="H474" s="1">
        <f>DATE(2020,12,23)</f>
        <v>44188</v>
      </c>
    </row>
    <row r="475" spans="1:8" x14ac:dyDescent="0.35">
      <c r="A475" s="2" t="s">
        <v>1217</v>
      </c>
      <c r="B475" s="2" t="s">
        <v>1218</v>
      </c>
      <c r="D475" t="s">
        <v>5387</v>
      </c>
      <c r="E475" t="e">
        <v>#VALUE!</v>
      </c>
      <c r="F475" t="s">
        <v>12</v>
      </c>
      <c r="G475" t="s">
        <v>0</v>
      </c>
      <c r="H475" s="1">
        <f>DATE(2022,6,20)</f>
        <v>44732</v>
      </c>
    </row>
    <row r="476" spans="1:8" x14ac:dyDescent="0.35">
      <c r="A476" s="2" t="s">
        <v>1219</v>
      </c>
      <c r="B476" s="2" t="s">
        <v>1220</v>
      </c>
      <c r="D476" t="s">
        <v>5387</v>
      </c>
      <c r="E476" t="e">
        <v>#VALUE!</v>
      </c>
      <c r="F476" t="s">
        <v>12</v>
      </c>
      <c r="G476" t="s">
        <v>0</v>
      </c>
      <c r="H476" s="1">
        <f>DATE(2020,1,20)</f>
        <v>43850</v>
      </c>
    </row>
    <row r="477" spans="1:8" x14ac:dyDescent="0.35">
      <c r="A477" s="2" t="s">
        <v>1221</v>
      </c>
      <c r="B477" s="2" t="s">
        <v>1172</v>
      </c>
      <c r="C477" s="2" t="s">
        <v>1222</v>
      </c>
      <c r="D477" t="s">
        <v>5634</v>
      </c>
      <c r="E477" t="s">
        <v>6764</v>
      </c>
      <c r="F477" t="s">
        <v>12</v>
      </c>
      <c r="G477" t="s">
        <v>0</v>
      </c>
      <c r="H477" s="1">
        <f>DATE(2022,8,31)</f>
        <v>44804</v>
      </c>
    </row>
    <row r="478" spans="1:8" x14ac:dyDescent="0.35">
      <c r="A478" s="2" t="s">
        <v>1223</v>
      </c>
      <c r="B478" s="2" t="s">
        <v>1224</v>
      </c>
      <c r="D478" t="s">
        <v>5387</v>
      </c>
      <c r="E478" t="e">
        <v>#VALUE!</v>
      </c>
      <c r="F478" t="s">
        <v>12</v>
      </c>
      <c r="G478" t="s">
        <v>0</v>
      </c>
      <c r="H478" s="1">
        <f>DATE(2022,8,31)</f>
        <v>44804</v>
      </c>
    </row>
    <row r="479" spans="1:8" x14ac:dyDescent="0.35">
      <c r="A479" s="2" t="s">
        <v>1225</v>
      </c>
      <c r="B479" s="2" t="s">
        <v>1226</v>
      </c>
      <c r="D479" t="s">
        <v>5387</v>
      </c>
      <c r="E479" t="e">
        <v>#VALUE!</v>
      </c>
      <c r="F479" t="s">
        <v>12</v>
      </c>
      <c r="G479" t="s">
        <v>0</v>
      </c>
      <c r="H479" s="1">
        <f>DATE(2020,1,17)</f>
        <v>43847</v>
      </c>
    </row>
    <row r="480" spans="1:8" x14ac:dyDescent="0.35">
      <c r="A480" s="2" t="s">
        <v>1227</v>
      </c>
      <c r="B480" s="2" t="s">
        <v>1228</v>
      </c>
      <c r="D480" t="s">
        <v>5387</v>
      </c>
      <c r="E480" t="e">
        <v>#VALUE!</v>
      </c>
      <c r="F480" t="s">
        <v>12</v>
      </c>
      <c r="G480" t="s">
        <v>0</v>
      </c>
      <c r="H480" s="1">
        <f>DATE(2020,1,17)</f>
        <v>43847</v>
      </c>
    </row>
    <row r="481" spans="1:8" x14ac:dyDescent="0.35">
      <c r="A481" s="2" t="s">
        <v>1229</v>
      </c>
      <c r="B481" s="2" t="s">
        <v>1230</v>
      </c>
      <c r="D481" t="s">
        <v>5387</v>
      </c>
      <c r="E481" t="e">
        <v>#VALUE!</v>
      </c>
      <c r="F481" t="s">
        <v>12</v>
      </c>
      <c r="G481" t="s">
        <v>0</v>
      </c>
      <c r="H481" s="1">
        <f>DATE(2020,1,20)</f>
        <v>43850</v>
      </c>
    </row>
    <row r="482" spans="1:8" x14ac:dyDescent="0.35">
      <c r="A482" s="2" t="s">
        <v>1231</v>
      </c>
      <c r="B482" s="2" t="s">
        <v>768</v>
      </c>
      <c r="C482" s="2" t="s">
        <v>1232</v>
      </c>
      <c r="D482" t="s">
        <v>5535</v>
      </c>
      <c r="E482" t="s">
        <v>6664</v>
      </c>
      <c r="F482" t="s">
        <v>12</v>
      </c>
      <c r="G482" t="s">
        <v>0</v>
      </c>
      <c r="H482" s="1">
        <f>DATE(2020,1,20)</f>
        <v>43850</v>
      </c>
    </row>
    <row r="483" spans="1:8" x14ac:dyDescent="0.35">
      <c r="A483" s="2" t="s">
        <v>1233</v>
      </c>
      <c r="B483" s="2" t="s">
        <v>727</v>
      </c>
      <c r="C483" s="2" t="s">
        <v>1234</v>
      </c>
      <c r="D483" t="s">
        <v>5531</v>
      </c>
      <c r="E483" t="s">
        <v>6660</v>
      </c>
      <c r="F483" t="s">
        <v>12</v>
      </c>
      <c r="G483" t="s">
        <v>0</v>
      </c>
      <c r="H483" s="1">
        <f>DATE(2020,2,5)</f>
        <v>43866</v>
      </c>
    </row>
    <row r="484" spans="1:8" x14ac:dyDescent="0.35">
      <c r="A484" s="2" t="s">
        <v>1235</v>
      </c>
      <c r="B484" s="2" t="s">
        <v>1228</v>
      </c>
      <c r="D484" t="s">
        <v>5387</v>
      </c>
      <c r="E484" t="e">
        <v>#VALUE!</v>
      </c>
      <c r="F484" t="s">
        <v>12</v>
      </c>
      <c r="G484" t="s">
        <v>0</v>
      </c>
      <c r="H484" s="1">
        <f>DATE(2020,2,5)</f>
        <v>43866</v>
      </c>
    </row>
    <row r="485" spans="1:8" x14ac:dyDescent="0.35">
      <c r="A485" s="2" t="s">
        <v>1236</v>
      </c>
      <c r="B485" s="2" t="s">
        <v>1237</v>
      </c>
      <c r="D485" t="s">
        <v>5387</v>
      </c>
      <c r="E485" t="e">
        <v>#VALUE!</v>
      </c>
      <c r="F485" t="s">
        <v>12</v>
      </c>
      <c r="G485" t="s">
        <v>0</v>
      </c>
      <c r="H485" s="1">
        <f>DATE(2022,8,31)</f>
        <v>44804</v>
      </c>
    </row>
    <row r="486" spans="1:8" x14ac:dyDescent="0.35">
      <c r="A486" s="2" t="s">
        <v>1238</v>
      </c>
      <c r="B486" s="2" t="s">
        <v>1239</v>
      </c>
      <c r="C486" s="2" t="s">
        <v>1240</v>
      </c>
      <c r="D486" t="s">
        <v>5643</v>
      </c>
      <c r="E486" t="s">
        <v>6773</v>
      </c>
      <c r="F486" t="s">
        <v>12</v>
      </c>
      <c r="G486" t="s">
        <v>0</v>
      </c>
      <c r="H486" s="1">
        <f>DATE(2023,1,11)</f>
        <v>44937</v>
      </c>
    </row>
    <row r="487" spans="1:8" x14ac:dyDescent="0.35">
      <c r="A487" s="2" t="s">
        <v>1241</v>
      </c>
      <c r="B487" s="2" t="s">
        <v>1242</v>
      </c>
      <c r="D487" t="s">
        <v>5387</v>
      </c>
      <c r="E487" t="e">
        <v>#VALUE!</v>
      </c>
      <c r="F487" t="s">
        <v>12</v>
      </c>
      <c r="G487" t="s">
        <v>0</v>
      </c>
      <c r="H487" s="1">
        <f>DATE(2022,8,31)</f>
        <v>44804</v>
      </c>
    </row>
    <row r="488" spans="1:8" x14ac:dyDescent="0.35">
      <c r="A488" s="2" t="s">
        <v>1243</v>
      </c>
      <c r="B488" s="2" t="s">
        <v>1244</v>
      </c>
      <c r="D488" t="s">
        <v>5387</v>
      </c>
      <c r="E488" t="e">
        <v>#VALUE!</v>
      </c>
      <c r="F488" t="s">
        <v>1245</v>
      </c>
      <c r="G488" t="s">
        <v>0</v>
      </c>
      <c r="H488" s="1">
        <f>DATE(2022,8,31)</f>
        <v>44804</v>
      </c>
    </row>
    <row r="489" spans="1:8" x14ac:dyDescent="0.35">
      <c r="A489" s="2" t="s">
        <v>1246</v>
      </c>
      <c r="B489" s="2" t="s">
        <v>1247</v>
      </c>
      <c r="C489" s="2" t="s">
        <v>1248</v>
      </c>
      <c r="D489" t="s">
        <v>5644</v>
      </c>
      <c r="E489" t="s">
        <v>6774</v>
      </c>
      <c r="F489" t="s">
        <v>12</v>
      </c>
      <c r="G489" t="s">
        <v>0</v>
      </c>
      <c r="H489" s="1">
        <f>DATE(2022,12,28)</f>
        <v>44923</v>
      </c>
    </row>
    <row r="490" spans="1:8" x14ac:dyDescent="0.35">
      <c r="A490" s="2" t="s">
        <v>1249</v>
      </c>
      <c r="B490" s="2" t="s">
        <v>1250</v>
      </c>
      <c r="D490" t="s">
        <v>5387</v>
      </c>
      <c r="E490" t="e">
        <v>#VALUE!</v>
      </c>
      <c r="F490" t="s">
        <v>12</v>
      </c>
      <c r="G490" t="s">
        <v>0</v>
      </c>
      <c r="H490" s="1">
        <f>DATE(2023,7,6)</f>
        <v>45113</v>
      </c>
    </row>
    <row r="491" spans="1:8" x14ac:dyDescent="0.35">
      <c r="A491" s="2" t="s">
        <v>1251</v>
      </c>
      <c r="B491" s="2" t="s">
        <v>1252</v>
      </c>
      <c r="D491" t="s">
        <v>5387</v>
      </c>
      <c r="E491" t="e">
        <v>#VALUE!</v>
      </c>
      <c r="F491" t="s">
        <v>12</v>
      </c>
      <c r="G491" t="s">
        <v>0</v>
      </c>
      <c r="H491" s="1">
        <f>DATE(2022,8,31)</f>
        <v>44804</v>
      </c>
    </row>
    <row r="492" spans="1:8" x14ac:dyDescent="0.35">
      <c r="A492" s="2" t="s">
        <v>1253</v>
      </c>
      <c r="B492" s="2" t="s">
        <v>1254</v>
      </c>
      <c r="C492" s="2" t="s">
        <v>1255</v>
      </c>
      <c r="D492" t="s">
        <v>5645</v>
      </c>
      <c r="E492" t="s">
        <v>6775</v>
      </c>
      <c r="F492" t="s">
        <v>12</v>
      </c>
      <c r="G492" t="s">
        <v>0</v>
      </c>
      <c r="H492" s="1">
        <f>DATE(2022,6,14)</f>
        <v>44726</v>
      </c>
    </row>
    <row r="493" spans="1:8" x14ac:dyDescent="0.35">
      <c r="A493" s="2" t="s">
        <v>1256</v>
      </c>
      <c r="B493" s="2" t="s">
        <v>1257</v>
      </c>
      <c r="C493" s="2" t="s">
        <v>1258</v>
      </c>
      <c r="D493" t="s">
        <v>5646</v>
      </c>
      <c r="E493" t="s">
        <v>6776</v>
      </c>
      <c r="F493" t="s">
        <v>12</v>
      </c>
      <c r="G493" t="s">
        <v>0</v>
      </c>
      <c r="H493" s="1">
        <f>DATE(2022,6,7)</f>
        <v>44719</v>
      </c>
    </row>
    <row r="494" spans="1:8" x14ac:dyDescent="0.35">
      <c r="A494" s="2" t="s">
        <v>1259</v>
      </c>
      <c r="B494" s="2" t="s">
        <v>1260</v>
      </c>
      <c r="D494" t="s">
        <v>5387</v>
      </c>
      <c r="E494" t="e">
        <v>#VALUE!</v>
      </c>
      <c r="F494" t="s">
        <v>12</v>
      </c>
      <c r="G494" t="s">
        <v>0</v>
      </c>
      <c r="H494" s="1">
        <f>DATE(2022,8,31)</f>
        <v>44804</v>
      </c>
    </row>
    <row r="495" spans="1:8" x14ac:dyDescent="0.35">
      <c r="A495" s="2" t="s">
        <v>1261</v>
      </c>
      <c r="B495" s="2" t="s">
        <v>1262</v>
      </c>
      <c r="C495" s="2" t="s">
        <v>1263</v>
      </c>
      <c r="D495" t="s">
        <v>5647</v>
      </c>
      <c r="E495" t="s">
        <v>6777</v>
      </c>
      <c r="F495" t="s">
        <v>12</v>
      </c>
      <c r="G495" t="s">
        <v>0</v>
      </c>
      <c r="H495" s="1">
        <f>DATE(2024,1,23)</f>
        <v>45314</v>
      </c>
    </row>
    <row r="496" spans="1:8" x14ac:dyDescent="0.35">
      <c r="A496" s="2" t="s">
        <v>1264</v>
      </c>
      <c r="B496" s="2" t="s">
        <v>1265</v>
      </c>
      <c r="D496" t="s">
        <v>5387</v>
      </c>
      <c r="E496" t="e">
        <v>#VALUE!</v>
      </c>
      <c r="F496" t="s">
        <v>50</v>
      </c>
      <c r="G496" t="s">
        <v>0</v>
      </c>
      <c r="H496" s="1">
        <f>DATE(2023,1,2)</f>
        <v>44928</v>
      </c>
    </row>
    <row r="497" spans="1:8" x14ac:dyDescent="0.35">
      <c r="A497" s="2" t="s">
        <v>1266</v>
      </c>
      <c r="B497" s="2" t="s">
        <v>1267</v>
      </c>
      <c r="D497" t="s">
        <v>5387</v>
      </c>
      <c r="E497" t="e">
        <v>#VALUE!</v>
      </c>
      <c r="F497" t="s">
        <v>50</v>
      </c>
      <c r="G497" t="s">
        <v>0</v>
      </c>
      <c r="H497" s="1">
        <f>DATE(2021,6,6)</f>
        <v>44353</v>
      </c>
    </row>
    <row r="498" spans="1:8" x14ac:dyDescent="0.35">
      <c r="A498" s="2" t="s">
        <v>1268</v>
      </c>
      <c r="B498" s="2" t="s">
        <v>1269</v>
      </c>
      <c r="D498" t="s">
        <v>5387</v>
      </c>
      <c r="E498" t="e">
        <v>#VALUE!</v>
      </c>
      <c r="F498" t="s">
        <v>50</v>
      </c>
      <c r="G498" t="s">
        <v>0</v>
      </c>
      <c r="H498" s="1">
        <f>DATE(2022,11,4)</f>
        <v>44869</v>
      </c>
    </row>
    <row r="499" spans="1:8" x14ac:dyDescent="0.35">
      <c r="A499" s="2" t="s">
        <v>1270</v>
      </c>
      <c r="B499" s="2" t="s">
        <v>1271</v>
      </c>
      <c r="D499" t="s">
        <v>5387</v>
      </c>
      <c r="E499" t="e">
        <v>#VALUE!</v>
      </c>
      <c r="F499" t="s">
        <v>50</v>
      </c>
      <c r="G499" t="s">
        <v>0</v>
      </c>
      <c r="H499" s="1">
        <f>DATE(2020,5,18)</f>
        <v>43969</v>
      </c>
    </row>
    <row r="500" spans="1:8" x14ac:dyDescent="0.35">
      <c r="A500" s="2" t="s">
        <v>1272</v>
      </c>
      <c r="B500" s="2" t="s">
        <v>1273</v>
      </c>
      <c r="D500" t="s">
        <v>5387</v>
      </c>
      <c r="E500" t="e">
        <v>#VALUE!</v>
      </c>
      <c r="F500" t="s">
        <v>50</v>
      </c>
      <c r="G500" t="s">
        <v>0</v>
      </c>
      <c r="H500" s="1">
        <f>DATE(2020,5,18)</f>
        <v>43969</v>
      </c>
    </row>
    <row r="501" spans="1:8" x14ac:dyDescent="0.35">
      <c r="A501" s="2" t="s">
        <v>1274</v>
      </c>
      <c r="B501" s="2" t="s">
        <v>1275</v>
      </c>
      <c r="D501" t="s">
        <v>5387</v>
      </c>
      <c r="E501" t="e">
        <v>#VALUE!</v>
      </c>
      <c r="F501" t="s">
        <v>1245</v>
      </c>
      <c r="G501" t="s">
        <v>0</v>
      </c>
      <c r="H501" s="1">
        <f>DATE(2020,5,5)</f>
        <v>43956</v>
      </c>
    </row>
    <row r="502" spans="1:8" x14ac:dyDescent="0.35">
      <c r="A502" s="2" t="s">
        <v>1276</v>
      </c>
      <c r="B502" s="2" t="s">
        <v>1277</v>
      </c>
      <c r="D502" t="s">
        <v>5387</v>
      </c>
      <c r="E502" t="e">
        <v>#VALUE!</v>
      </c>
      <c r="F502" t="s">
        <v>50</v>
      </c>
      <c r="G502" t="s">
        <v>0</v>
      </c>
      <c r="H502" s="1">
        <f>DATE(2022,7,11)</f>
        <v>44753</v>
      </c>
    </row>
    <row r="503" spans="1:8" x14ac:dyDescent="0.35">
      <c r="A503" s="2" t="s">
        <v>1278</v>
      </c>
      <c r="B503" s="2" t="s">
        <v>1279</v>
      </c>
      <c r="D503" t="s">
        <v>5387</v>
      </c>
      <c r="E503" t="e">
        <v>#VALUE!</v>
      </c>
      <c r="F503" t="s">
        <v>1280</v>
      </c>
      <c r="G503" t="s">
        <v>0</v>
      </c>
      <c r="H503" s="1">
        <f>DATE(2022,12,12)</f>
        <v>44907</v>
      </c>
    </row>
    <row r="504" spans="1:8" x14ac:dyDescent="0.35">
      <c r="A504" s="2" t="s">
        <v>1281</v>
      </c>
      <c r="B504" s="2" t="s">
        <v>1282</v>
      </c>
      <c r="C504" s="2" t="s">
        <v>1283</v>
      </c>
      <c r="D504" t="s">
        <v>5648</v>
      </c>
      <c r="E504" t="s">
        <v>6778</v>
      </c>
      <c r="F504" t="s">
        <v>12</v>
      </c>
      <c r="G504" t="s">
        <v>0</v>
      </c>
      <c r="H504" s="1">
        <f>DATE(2022,6,2)</f>
        <v>44714</v>
      </c>
    </row>
    <row r="505" spans="1:8" x14ac:dyDescent="0.35">
      <c r="A505" s="2" t="s">
        <v>1284</v>
      </c>
      <c r="B505" s="2" t="s">
        <v>1285</v>
      </c>
      <c r="C505" s="2" t="s">
        <v>1286</v>
      </c>
      <c r="D505" t="s">
        <v>5649</v>
      </c>
      <c r="E505" t="s">
        <v>6779</v>
      </c>
      <c r="F505" t="s">
        <v>12</v>
      </c>
      <c r="G505" t="s">
        <v>0</v>
      </c>
      <c r="H505" s="1">
        <f>DATE(2022,6,14)</f>
        <v>44726</v>
      </c>
    </row>
    <row r="506" spans="1:8" x14ac:dyDescent="0.35">
      <c r="A506" s="2" t="s">
        <v>1287</v>
      </c>
      <c r="B506" s="2" t="s">
        <v>1288</v>
      </c>
      <c r="C506" s="2" t="s">
        <v>1289</v>
      </c>
      <c r="D506" t="s">
        <v>5650</v>
      </c>
      <c r="E506" t="s">
        <v>6780</v>
      </c>
      <c r="F506" t="s">
        <v>12</v>
      </c>
      <c r="G506" t="s">
        <v>0</v>
      </c>
      <c r="H506" s="1">
        <f>DATE(2023,9,29)</f>
        <v>45198</v>
      </c>
    </row>
    <row r="507" spans="1:8" x14ac:dyDescent="0.35">
      <c r="A507" s="2" t="s">
        <v>1290</v>
      </c>
      <c r="B507" s="2" t="s">
        <v>1291</v>
      </c>
      <c r="D507" t="s">
        <v>5387</v>
      </c>
      <c r="E507" t="e">
        <v>#VALUE!</v>
      </c>
      <c r="F507" t="s">
        <v>12</v>
      </c>
      <c r="G507" t="s">
        <v>0</v>
      </c>
      <c r="H507" s="1">
        <f>DATE(2022,8,31)</f>
        <v>44804</v>
      </c>
    </row>
    <row r="508" spans="1:8" x14ac:dyDescent="0.35">
      <c r="A508" s="2" t="s">
        <v>1292</v>
      </c>
      <c r="B508" s="2" t="s">
        <v>1293</v>
      </c>
      <c r="D508" t="s">
        <v>5387</v>
      </c>
      <c r="E508" t="e">
        <v>#VALUE!</v>
      </c>
      <c r="F508" t="s">
        <v>12</v>
      </c>
      <c r="G508" t="s">
        <v>0</v>
      </c>
      <c r="H508" s="1">
        <f>DATE(2022,8,31)</f>
        <v>44804</v>
      </c>
    </row>
    <row r="509" spans="1:8" x14ac:dyDescent="0.35">
      <c r="A509" s="2" t="s">
        <v>1294</v>
      </c>
      <c r="B509" s="2" t="s">
        <v>1295</v>
      </c>
      <c r="C509" s="2" t="s">
        <v>1296</v>
      </c>
      <c r="D509" t="s">
        <v>5651</v>
      </c>
      <c r="E509" t="s">
        <v>6781</v>
      </c>
      <c r="F509" t="s">
        <v>12</v>
      </c>
      <c r="G509" t="s">
        <v>0</v>
      </c>
      <c r="H509" s="1">
        <f>DATE(2021,11,30)</f>
        <v>44530</v>
      </c>
    </row>
    <row r="510" spans="1:8" x14ac:dyDescent="0.35">
      <c r="A510" s="2" t="s">
        <v>1297</v>
      </c>
      <c r="B510" s="2" t="s">
        <v>1298</v>
      </c>
      <c r="D510" t="s">
        <v>5387</v>
      </c>
      <c r="E510" t="e">
        <v>#VALUE!</v>
      </c>
      <c r="F510" t="s">
        <v>12</v>
      </c>
      <c r="G510" t="s">
        <v>0</v>
      </c>
      <c r="H510" s="1">
        <f>DATE(2022,8,31)</f>
        <v>44804</v>
      </c>
    </row>
    <row r="511" spans="1:8" x14ac:dyDescent="0.35">
      <c r="A511" s="2" t="s">
        <v>1299</v>
      </c>
      <c r="B511" s="2" t="s">
        <v>1300</v>
      </c>
      <c r="D511" t="s">
        <v>5387</v>
      </c>
      <c r="E511" t="e">
        <v>#VALUE!</v>
      </c>
      <c r="F511" t="s">
        <v>12</v>
      </c>
      <c r="G511" t="s">
        <v>0</v>
      </c>
      <c r="H511" s="1">
        <f>DATE(2022,8,31)</f>
        <v>44804</v>
      </c>
    </row>
    <row r="512" spans="1:8" x14ac:dyDescent="0.35">
      <c r="A512" s="2" t="s">
        <v>1301</v>
      </c>
      <c r="B512" s="2" t="s">
        <v>1302</v>
      </c>
      <c r="D512" t="s">
        <v>5387</v>
      </c>
      <c r="E512" t="e">
        <v>#VALUE!</v>
      </c>
      <c r="F512" t="s">
        <v>12</v>
      </c>
      <c r="G512" t="s">
        <v>0</v>
      </c>
      <c r="H512" s="1">
        <f>DATE(2022,8,31)</f>
        <v>44804</v>
      </c>
    </row>
    <row r="513" spans="1:8" x14ac:dyDescent="0.35">
      <c r="A513" s="2" t="s">
        <v>1303</v>
      </c>
      <c r="B513" s="2" t="s">
        <v>1304</v>
      </c>
      <c r="C513" s="2" t="s">
        <v>1305</v>
      </c>
      <c r="D513" t="s">
        <v>5652</v>
      </c>
      <c r="E513" t="s">
        <v>6782</v>
      </c>
      <c r="F513" t="s">
        <v>12</v>
      </c>
      <c r="G513" t="s">
        <v>0</v>
      </c>
      <c r="H513" s="1">
        <f>DATE(2022,11,10)</f>
        <v>44875</v>
      </c>
    </row>
    <row r="514" spans="1:8" x14ac:dyDescent="0.35">
      <c r="A514" s="2" t="s">
        <v>1306</v>
      </c>
      <c r="B514" s="2" t="s">
        <v>1307</v>
      </c>
      <c r="C514" s="2" t="s">
        <v>1308</v>
      </c>
      <c r="D514" t="s">
        <v>5653</v>
      </c>
      <c r="E514" t="s">
        <v>6783</v>
      </c>
      <c r="F514" t="s">
        <v>12</v>
      </c>
      <c r="G514" t="s">
        <v>0</v>
      </c>
      <c r="H514" s="1">
        <f>DATE(2022,1,19)</f>
        <v>44580</v>
      </c>
    </row>
    <row r="515" spans="1:8" x14ac:dyDescent="0.35">
      <c r="A515" s="2" t="s">
        <v>1309</v>
      </c>
      <c r="B515" s="2" t="s">
        <v>1310</v>
      </c>
      <c r="D515" t="s">
        <v>5387</v>
      </c>
      <c r="E515" t="e">
        <v>#VALUE!</v>
      </c>
      <c r="F515" t="s">
        <v>12</v>
      </c>
      <c r="G515" t="s">
        <v>0</v>
      </c>
      <c r="H515" s="1">
        <f>DATE(2023,5,23)</f>
        <v>45069</v>
      </c>
    </row>
    <row r="516" spans="1:8" x14ac:dyDescent="0.35">
      <c r="A516" s="2" t="s">
        <v>1311</v>
      </c>
      <c r="B516" s="2" t="s">
        <v>1312</v>
      </c>
      <c r="C516" s="2" t="s">
        <v>1313</v>
      </c>
      <c r="D516" t="s">
        <v>5654</v>
      </c>
      <c r="E516" t="s">
        <v>6784</v>
      </c>
      <c r="F516" t="s">
        <v>12</v>
      </c>
      <c r="G516" t="s">
        <v>0</v>
      </c>
      <c r="H516" s="1">
        <f>DATE(2022,8,31)</f>
        <v>44804</v>
      </c>
    </row>
    <row r="517" spans="1:8" x14ac:dyDescent="0.35">
      <c r="A517" s="2" t="s">
        <v>1314</v>
      </c>
      <c r="B517" s="2" t="s">
        <v>1315</v>
      </c>
      <c r="C517" s="2" t="s">
        <v>1316</v>
      </c>
      <c r="D517" t="s">
        <v>5655</v>
      </c>
      <c r="E517" t="s">
        <v>6785</v>
      </c>
      <c r="F517" t="s">
        <v>12</v>
      </c>
      <c r="G517" t="s">
        <v>0</v>
      </c>
      <c r="H517" s="1">
        <f>DATE(2021,9,14)</f>
        <v>44453</v>
      </c>
    </row>
    <row r="518" spans="1:8" x14ac:dyDescent="0.35">
      <c r="A518" s="2" t="s">
        <v>1317</v>
      </c>
      <c r="B518" s="2" t="s">
        <v>1318</v>
      </c>
      <c r="C518" s="2" t="s">
        <v>1319</v>
      </c>
      <c r="D518" t="s">
        <v>5656</v>
      </c>
      <c r="E518" t="s">
        <v>6786</v>
      </c>
      <c r="F518" t="s">
        <v>12</v>
      </c>
      <c r="G518" t="s">
        <v>0</v>
      </c>
      <c r="H518" s="1">
        <f>DATE(2021,9,14)</f>
        <v>44453</v>
      </c>
    </row>
    <row r="519" spans="1:8" x14ac:dyDescent="0.35">
      <c r="A519" s="2" t="s">
        <v>1320</v>
      </c>
      <c r="B519" s="2" t="s">
        <v>1321</v>
      </c>
      <c r="C519" s="2" t="s">
        <v>1322</v>
      </c>
      <c r="D519" t="s">
        <v>5657</v>
      </c>
      <c r="E519" t="s">
        <v>6787</v>
      </c>
      <c r="F519" t="s">
        <v>12</v>
      </c>
      <c r="G519" t="s">
        <v>0</v>
      </c>
      <c r="H519" s="1">
        <f>DATE(2021,9,14)</f>
        <v>44453</v>
      </c>
    </row>
    <row r="520" spans="1:8" x14ac:dyDescent="0.35">
      <c r="A520" s="2" t="s">
        <v>1323</v>
      </c>
      <c r="B520" s="2" t="s">
        <v>1324</v>
      </c>
      <c r="C520" s="2" t="s">
        <v>1325</v>
      </c>
      <c r="D520" t="s">
        <v>5658</v>
      </c>
      <c r="E520" t="s">
        <v>6788</v>
      </c>
      <c r="F520" t="s">
        <v>12</v>
      </c>
      <c r="G520" t="s">
        <v>0</v>
      </c>
      <c r="H520" s="1">
        <f>DATE(2022,9,6)</f>
        <v>44810</v>
      </c>
    </row>
    <row r="521" spans="1:8" x14ac:dyDescent="0.35">
      <c r="A521" s="2" t="s">
        <v>1326</v>
      </c>
      <c r="B521" s="2" t="s">
        <v>1327</v>
      </c>
      <c r="C521" s="2" t="s">
        <v>1328</v>
      </c>
      <c r="D521" t="s">
        <v>5659</v>
      </c>
      <c r="E521" t="s">
        <v>6789</v>
      </c>
      <c r="F521" t="s">
        <v>12</v>
      </c>
      <c r="G521" t="s">
        <v>0</v>
      </c>
      <c r="H521" s="1">
        <f>DATE(2021,9,14)</f>
        <v>44453</v>
      </c>
    </row>
    <row r="522" spans="1:8" x14ac:dyDescent="0.35">
      <c r="A522" s="2" t="s">
        <v>1329</v>
      </c>
      <c r="B522" s="2" t="s">
        <v>1330</v>
      </c>
      <c r="C522" s="2" t="s">
        <v>1331</v>
      </c>
      <c r="D522" t="s">
        <v>5660</v>
      </c>
      <c r="E522" t="s">
        <v>6790</v>
      </c>
      <c r="F522" t="s">
        <v>12</v>
      </c>
      <c r="G522" t="s">
        <v>0</v>
      </c>
      <c r="H522" s="1">
        <f>DATE(2023,10,23)</f>
        <v>45222</v>
      </c>
    </row>
    <row r="523" spans="1:8" x14ac:dyDescent="0.35">
      <c r="A523" s="2" t="s">
        <v>1332</v>
      </c>
      <c r="B523" s="2" t="s">
        <v>1333</v>
      </c>
      <c r="C523" s="2" t="s">
        <v>1334</v>
      </c>
      <c r="D523" t="s">
        <v>5661</v>
      </c>
      <c r="E523" t="s">
        <v>6791</v>
      </c>
      <c r="F523" t="s">
        <v>12</v>
      </c>
      <c r="G523" t="s">
        <v>0</v>
      </c>
      <c r="H523" s="1">
        <f>DATE(2020,6,10)</f>
        <v>43992</v>
      </c>
    </row>
    <row r="524" spans="1:8" x14ac:dyDescent="0.35">
      <c r="A524" s="2" t="s">
        <v>1335</v>
      </c>
      <c r="B524" s="2" t="s">
        <v>1336</v>
      </c>
      <c r="C524" s="2" t="s">
        <v>1337</v>
      </c>
      <c r="D524" t="s">
        <v>5662</v>
      </c>
      <c r="E524" t="s">
        <v>6792</v>
      </c>
      <c r="F524" t="s">
        <v>12</v>
      </c>
      <c r="G524" t="s">
        <v>0</v>
      </c>
      <c r="H524" s="1">
        <f>DATE(2022,5,31)</f>
        <v>44712</v>
      </c>
    </row>
    <row r="525" spans="1:8" x14ac:dyDescent="0.35">
      <c r="A525" s="2" t="s">
        <v>1338</v>
      </c>
      <c r="B525" s="2" t="s">
        <v>1339</v>
      </c>
      <c r="C525" s="2" t="s">
        <v>1340</v>
      </c>
      <c r="D525" t="s">
        <v>5663</v>
      </c>
      <c r="E525" t="s">
        <v>6793</v>
      </c>
      <c r="F525" t="s">
        <v>12</v>
      </c>
      <c r="G525" t="s">
        <v>0</v>
      </c>
      <c r="H525" s="1">
        <f>DATE(2022,8,30)</f>
        <v>44803</v>
      </c>
    </row>
    <row r="526" spans="1:8" x14ac:dyDescent="0.35">
      <c r="A526" s="2" t="s">
        <v>1341</v>
      </c>
      <c r="B526" s="2" t="s">
        <v>1342</v>
      </c>
      <c r="D526" t="s">
        <v>5387</v>
      </c>
      <c r="E526" t="e">
        <v>#VALUE!</v>
      </c>
      <c r="F526" t="s">
        <v>12</v>
      </c>
      <c r="G526" t="s">
        <v>0</v>
      </c>
      <c r="H526" s="1">
        <f>DATE(2022,11,3)</f>
        <v>44868</v>
      </c>
    </row>
    <row r="527" spans="1:8" x14ac:dyDescent="0.35">
      <c r="A527" s="2" t="s">
        <v>1343</v>
      </c>
      <c r="B527" s="2" t="s">
        <v>1344</v>
      </c>
      <c r="C527" s="2" t="s">
        <v>1345</v>
      </c>
      <c r="D527" t="s">
        <v>5556</v>
      </c>
      <c r="E527" t="s">
        <v>6685</v>
      </c>
      <c r="F527" t="s">
        <v>12</v>
      </c>
      <c r="G527" t="s">
        <v>0</v>
      </c>
      <c r="H527" s="1">
        <f>DATE(2023,11,29)</f>
        <v>45259</v>
      </c>
    </row>
    <row r="528" spans="1:8" x14ac:dyDescent="0.35">
      <c r="A528" s="2" t="s">
        <v>1346</v>
      </c>
      <c r="B528" s="2" t="s">
        <v>1347</v>
      </c>
      <c r="C528" s="2" t="s">
        <v>1348</v>
      </c>
      <c r="D528" t="s">
        <v>5664</v>
      </c>
      <c r="E528" t="s">
        <v>6794</v>
      </c>
      <c r="F528" t="s">
        <v>12</v>
      </c>
      <c r="G528" t="s">
        <v>0</v>
      </c>
      <c r="H528" s="1">
        <f>DATE(2023,3,14)</f>
        <v>44999</v>
      </c>
    </row>
    <row r="529" spans="1:8" x14ac:dyDescent="0.35">
      <c r="A529" s="2" t="s">
        <v>1349</v>
      </c>
      <c r="B529" s="2" t="s">
        <v>1350</v>
      </c>
      <c r="D529" t="s">
        <v>5387</v>
      </c>
      <c r="E529" t="e">
        <v>#VALUE!</v>
      </c>
      <c r="F529" t="s">
        <v>12</v>
      </c>
      <c r="G529" t="s">
        <v>0</v>
      </c>
      <c r="H529" s="1">
        <f>DATE(2022,4,4)</f>
        <v>44655</v>
      </c>
    </row>
    <row r="530" spans="1:8" x14ac:dyDescent="0.35">
      <c r="A530" s="2" t="s">
        <v>1351</v>
      </c>
      <c r="B530" s="2" t="s">
        <v>1352</v>
      </c>
      <c r="D530" t="s">
        <v>5387</v>
      </c>
      <c r="E530" t="e">
        <v>#VALUE!</v>
      </c>
      <c r="F530" t="s">
        <v>12</v>
      </c>
      <c r="G530" t="s">
        <v>0</v>
      </c>
      <c r="H530" s="1">
        <f>DATE(2022,4,4)</f>
        <v>44655</v>
      </c>
    </row>
    <row r="531" spans="1:8" x14ac:dyDescent="0.35">
      <c r="A531" s="2" t="s">
        <v>1353</v>
      </c>
      <c r="B531" s="2" t="s">
        <v>1354</v>
      </c>
      <c r="C531" s="2" t="s">
        <v>1355</v>
      </c>
      <c r="D531" t="s">
        <v>5665</v>
      </c>
      <c r="E531" t="s">
        <v>6795</v>
      </c>
      <c r="F531" t="s">
        <v>12</v>
      </c>
      <c r="G531" t="s">
        <v>0</v>
      </c>
      <c r="H531" s="1">
        <f>DATE(2022,10,5)</f>
        <v>44839</v>
      </c>
    </row>
    <row r="532" spans="1:8" x14ac:dyDescent="0.35">
      <c r="A532" s="2" t="s">
        <v>1356</v>
      </c>
      <c r="B532" s="2" t="s">
        <v>1357</v>
      </c>
      <c r="D532" t="s">
        <v>5387</v>
      </c>
      <c r="E532" t="e">
        <v>#VALUE!</v>
      </c>
      <c r="F532" t="s">
        <v>12</v>
      </c>
      <c r="G532" t="s">
        <v>0</v>
      </c>
      <c r="H532" s="1">
        <f>DATE(2022,4,5)</f>
        <v>44656</v>
      </c>
    </row>
    <row r="533" spans="1:8" x14ac:dyDescent="0.35">
      <c r="A533" s="2" t="s">
        <v>1358</v>
      </c>
      <c r="B533" s="2" t="s">
        <v>1200</v>
      </c>
      <c r="D533" t="s">
        <v>5387</v>
      </c>
      <c r="E533" t="e">
        <v>#VALUE!</v>
      </c>
      <c r="F533" t="s">
        <v>12</v>
      </c>
      <c r="G533" t="s">
        <v>0</v>
      </c>
      <c r="H533" s="1">
        <f>DATE(2022,4,5)</f>
        <v>44656</v>
      </c>
    </row>
    <row r="534" spans="1:8" x14ac:dyDescent="0.35">
      <c r="A534" s="2" t="s">
        <v>1359</v>
      </c>
      <c r="B534" s="2" t="s">
        <v>1200</v>
      </c>
      <c r="C534" s="2" t="s">
        <v>1360</v>
      </c>
      <c r="D534" t="s">
        <v>5666</v>
      </c>
      <c r="E534" t="s">
        <v>6796</v>
      </c>
      <c r="F534" t="s">
        <v>12</v>
      </c>
      <c r="G534" t="s">
        <v>0</v>
      </c>
      <c r="H534" s="1">
        <f>DATE(2022,4,5)</f>
        <v>44656</v>
      </c>
    </row>
    <row r="535" spans="1:8" x14ac:dyDescent="0.35">
      <c r="A535" s="2" t="s">
        <v>1361</v>
      </c>
      <c r="B535" s="2" t="s">
        <v>1362</v>
      </c>
      <c r="C535" s="2" t="s">
        <v>1363</v>
      </c>
      <c r="D535" t="s">
        <v>5667</v>
      </c>
      <c r="E535" t="s">
        <v>6797</v>
      </c>
      <c r="F535" t="s">
        <v>12</v>
      </c>
      <c r="G535" t="s">
        <v>0</v>
      </c>
      <c r="H535" s="1">
        <f>DATE(2022,7,26)</f>
        <v>44768</v>
      </c>
    </row>
    <row r="536" spans="1:8" x14ac:dyDescent="0.35">
      <c r="A536" s="2" t="s">
        <v>1364</v>
      </c>
      <c r="B536" s="2" t="s">
        <v>1365</v>
      </c>
      <c r="C536" s="2" t="s">
        <v>1366</v>
      </c>
      <c r="D536" t="s">
        <v>5668</v>
      </c>
      <c r="E536" t="s">
        <v>6798</v>
      </c>
      <c r="F536" t="s">
        <v>12</v>
      </c>
      <c r="G536" t="s">
        <v>0</v>
      </c>
      <c r="H536" s="1">
        <f>DATE(2022,7,19)</f>
        <v>44761</v>
      </c>
    </row>
    <row r="537" spans="1:8" x14ac:dyDescent="0.35">
      <c r="A537" s="2" t="s">
        <v>1367</v>
      </c>
      <c r="B537" s="2" t="s">
        <v>1368</v>
      </c>
      <c r="C537" s="2" t="s">
        <v>1369</v>
      </c>
      <c r="D537" t="s">
        <v>5669</v>
      </c>
      <c r="E537" t="s">
        <v>6799</v>
      </c>
      <c r="F537" t="s">
        <v>12</v>
      </c>
      <c r="G537" t="s">
        <v>0</v>
      </c>
      <c r="H537" s="1">
        <f>DATE(2023,11,13)</f>
        <v>45243</v>
      </c>
    </row>
    <row r="538" spans="1:8" x14ac:dyDescent="0.35">
      <c r="A538" s="2" t="s">
        <v>1370</v>
      </c>
      <c r="B538" s="2" t="s">
        <v>1371</v>
      </c>
      <c r="C538" s="2" t="s">
        <v>1372</v>
      </c>
      <c r="D538" t="s">
        <v>5670</v>
      </c>
      <c r="E538" t="s">
        <v>6800</v>
      </c>
      <c r="F538" t="s">
        <v>12</v>
      </c>
      <c r="G538" t="s">
        <v>0</v>
      </c>
      <c r="H538" s="1">
        <f>DATE(2022,7,21)</f>
        <v>44763</v>
      </c>
    </row>
    <row r="539" spans="1:8" x14ac:dyDescent="0.35">
      <c r="A539" s="2" t="s">
        <v>1373</v>
      </c>
      <c r="B539" s="2" t="s">
        <v>1374</v>
      </c>
      <c r="C539" s="2" t="s">
        <v>1375</v>
      </c>
      <c r="D539" t="s">
        <v>5671</v>
      </c>
      <c r="E539" t="s">
        <v>6801</v>
      </c>
      <c r="F539" t="s">
        <v>12</v>
      </c>
      <c r="G539" t="s">
        <v>0</v>
      </c>
      <c r="H539" s="1">
        <f>DATE(2022,4,6)</f>
        <v>44657</v>
      </c>
    </row>
    <row r="540" spans="1:8" x14ac:dyDescent="0.35">
      <c r="A540" s="2" t="s">
        <v>1376</v>
      </c>
      <c r="B540" s="2" t="s">
        <v>1377</v>
      </c>
      <c r="D540" t="s">
        <v>5387</v>
      </c>
      <c r="E540" t="e">
        <v>#VALUE!</v>
      </c>
      <c r="F540" t="s">
        <v>12</v>
      </c>
      <c r="G540" t="s">
        <v>0</v>
      </c>
      <c r="H540" s="1">
        <f>DATE(2022,4,6)</f>
        <v>44657</v>
      </c>
    </row>
    <row r="541" spans="1:8" x14ac:dyDescent="0.35">
      <c r="A541" s="2" t="s">
        <v>1378</v>
      </c>
      <c r="B541" s="2" t="s">
        <v>1379</v>
      </c>
      <c r="C541" s="2" t="s">
        <v>1380</v>
      </c>
      <c r="D541" t="s">
        <v>5672</v>
      </c>
      <c r="E541" t="s">
        <v>6802</v>
      </c>
      <c r="F541" t="s">
        <v>12</v>
      </c>
      <c r="G541" t="s">
        <v>0</v>
      </c>
      <c r="H541" s="1">
        <f>DATE(2022,7,13)</f>
        <v>44755</v>
      </c>
    </row>
    <row r="542" spans="1:8" x14ac:dyDescent="0.35">
      <c r="A542" s="2" t="s">
        <v>1381</v>
      </c>
      <c r="B542" s="2" t="s">
        <v>1382</v>
      </c>
      <c r="C542" s="2" t="s">
        <v>1383</v>
      </c>
      <c r="D542" t="s">
        <v>5673</v>
      </c>
      <c r="E542" t="s">
        <v>6803</v>
      </c>
      <c r="F542" t="s">
        <v>12</v>
      </c>
      <c r="G542" t="s">
        <v>0</v>
      </c>
      <c r="H542" s="1">
        <f>DATE(2023,6,26)</f>
        <v>45103</v>
      </c>
    </row>
    <row r="543" spans="1:8" x14ac:dyDescent="0.35">
      <c r="A543" s="2" t="s">
        <v>1384</v>
      </c>
      <c r="B543" s="2" t="s">
        <v>1385</v>
      </c>
      <c r="C543" s="2" t="s">
        <v>1386</v>
      </c>
      <c r="D543" t="s">
        <v>5674</v>
      </c>
      <c r="E543" t="s">
        <v>6804</v>
      </c>
      <c r="F543" t="s">
        <v>12</v>
      </c>
      <c r="G543" t="s">
        <v>0</v>
      </c>
      <c r="H543" s="1">
        <f>DATE(2022,4,7)</f>
        <v>44658</v>
      </c>
    </row>
    <row r="544" spans="1:8" x14ac:dyDescent="0.35">
      <c r="A544" s="2" t="s">
        <v>1387</v>
      </c>
      <c r="B544" s="2" t="s">
        <v>1388</v>
      </c>
      <c r="C544" s="2" t="s">
        <v>1389</v>
      </c>
      <c r="D544" t="s">
        <v>5675</v>
      </c>
      <c r="E544" t="s">
        <v>6805</v>
      </c>
      <c r="F544" t="s">
        <v>12</v>
      </c>
      <c r="G544" t="s">
        <v>0</v>
      </c>
      <c r="H544" s="1">
        <f>DATE(2022,4,7)</f>
        <v>44658</v>
      </c>
    </row>
    <row r="545" spans="1:8" x14ac:dyDescent="0.35">
      <c r="A545" s="2" t="s">
        <v>1390</v>
      </c>
      <c r="B545" s="2" t="s">
        <v>1391</v>
      </c>
      <c r="C545" s="2" t="s">
        <v>1392</v>
      </c>
      <c r="D545" t="s">
        <v>5676</v>
      </c>
      <c r="E545" t="s">
        <v>6806</v>
      </c>
      <c r="F545" t="s">
        <v>12</v>
      </c>
      <c r="G545" t="s">
        <v>0</v>
      </c>
      <c r="H545" s="1">
        <f>DATE(2022,4,11)</f>
        <v>44662</v>
      </c>
    </row>
    <row r="546" spans="1:8" x14ac:dyDescent="0.35">
      <c r="A546" s="2" t="s">
        <v>1393</v>
      </c>
      <c r="B546" s="2" t="s">
        <v>1394</v>
      </c>
      <c r="C546" s="2" t="s">
        <v>1395</v>
      </c>
      <c r="D546" t="s">
        <v>5677</v>
      </c>
      <c r="E546" t="s">
        <v>6807</v>
      </c>
      <c r="F546" t="s">
        <v>12</v>
      </c>
      <c r="G546" t="s">
        <v>0</v>
      </c>
      <c r="H546" s="1">
        <f>DATE(2022,4,11)</f>
        <v>44662</v>
      </c>
    </row>
    <row r="547" spans="1:8" x14ac:dyDescent="0.35">
      <c r="A547" s="2" t="s">
        <v>1396</v>
      </c>
      <c r="B547" s="2" t="s">
        <v>1397</v>
      </c>
      <c r="C547" s="2" t="s">
        <v>1398</v>
      </c>
      <c r="D547" t="s">
        <v>5678</v>
      </c>
      <c r="E547" t="s">
        <v>6808</v>
      </c>
      <c r="F547" t="s">
        <v>12</v>
      </c>
      <c r="G547" t="s">
        <v>0</v>
      </c>
      <c r="H547" s="1">
        <f>DATE(2022,4,11)</f>
        <v>44662</v>
      </c>
    </row>
    <row r="548" spans="1:8" x14ac:dyDescent="0.35">
      <c r="A548" s="2" t="s">
        <v>1399</v>
      </c>
      <c r="B548" s="2" t="s">
        <v>1400</v>
      </c>
      <c r="C548" s="2" t="s">
        <v>1401</v>
      </c>
      <c r="D548" t="s">
        <v>5531</v>
      </c>
      <c r="E548" t="s">
        <v>6660</v>
      </c>
      <c r="F548" t="s">
        <v>12</v>
      </c>
      <c r="G548" t="s">
        <v>0</v>
      </c>
      <c r="H548" s="1">
        <f>DATE(2022,4,12)</f>
        <v>44663</v>
      </c>
    </row>
    <row r="549" spans="1:8" x14ac:dyDescent="0.35">
      <c r="A549" s="2" t="s">
        <v>1402</v>
      </c>
      <c r="B549" s="2" t="s">
        <v>1403</v>
      </c>
      <c r="D549" t="s">
        <v>5387</v>
      </c>
      <c r="E549" t="e">
        <v>#VALUE!</v>
      </c>
      <c r="F549" t="s">
        <v>12</v>
      </c>
      <c r="G549" t="s">
        <v>0</v>
      </c>
      <c r="H549" s="1">
        <f>DATE(2022,4,13)</f>
        <v>44664</v>
      </c>
    </row>
    <row r="550" spans="1:8" x14ac:dyDescent="0.35">
      <c r="A550" s="2" t="s">
        <v>1404</v>
      </c>
      <c r="B550" s="2" t="s">
        <v>1405</v>
      </c>
      <c r="C550" s="2" t="s">
        <v>247</v>
      </c>
      <c r="D550" t="s">
        <v>5427</v>
      </c>
      <c r="E550" t="s">
        <v>6557</v>
      </c>
      <c r="F550" t="s">
        <v>12</v>
      </c>
      <c r="G550" t="s">
        <v>0</v>
      </c>
      <c r="H550" s="1">
        <f>DATE(2022,10,7)</f>
        <v>44841</v>
      </c>
    </row>
    <row r="551" spans="1:8" x14ac:dyDescent="0.35">
      <c r="A551" s="2" t="s">
        <v>1406</v>
      </c>
      <c r="B551" s="2" t="s">
        <v>1407</v>
      </c>
      <c r="C551" s="2" t="s">
        <v>1408</v>
      </c>
      <c r="D551" t="s">
        <v>5679</v>
      </c>
      <c r="E551" t="s">
        <v>6809</v>
      </c>
      <c r="F551" t="s">
        <v>12</v>
      </c>
      <c r="G551" t="s">
        <v>0</v>
      </c>
      <c r="H551" s="1">
        <f>DATE(2022,6,15)</f>
        <v>44727</v>
      </c>
    </row>
    <row r="552" spans="1:8" x14ac:dyDescent="0.35">
      <c r="A552" s="2" t="s">
        <v>1409</v>
      </c>
      <c r="B552" s="2" t="s">
        <v>1410</v>
      </c>
      <c r="C552" s="2" t="s">
        <v>1411</v>
      </c>
      <c r="D552" t="s">
        <v>5680</v>
      </c>
      <c r="E552" t="s">
        <v>6810</v>
      </c>
      <c r="F552" t="s">
        <v>12</v>
      </c>
      <c r="G552" t="s">
        <v>0</v>
      </c>
      <c r="H552" s="1">
        <f>DATE(2022,6,15)</f>
        <v>44727</v>
      </c>
    </row>
    <row r="553" spans="1:8" x14ac:dyDescent="0.35">
      <c r="A553" s="2" t="s">
        <v>1412</v>
      </c>
      <c r="B553" s="2" t="s">
        <v>1413</v>
      </c>
      <c r="C553" s="2" t="s">
        <v>1414</v>
      </c>
      <c r="D553" t="s">
        <v>5681</v>
      </c>
      <c r="E553" t="s">
        <v>6811</v>
      </c>
      <c r="F553" t="s">
        <v>12</v>
      </c>
      <c r="G553" t="s">
        <v>0</v>
      </c>
      <c r="H553" s="1">
        <f>DATE(2024,1,5)</f>
        <v>45296</v>
      </c>
    </row>
    <row r="554" spans="1:8" x14ac:dyDescent="0.35">
      <c r="A554" s="2" t="s">
        <v>1415</v>
      </c>
      <c r="B554" s="2" t="s">
        <v>1416</v>
      </c>
      <c r="C554" s="2" t="s">
        <v>1417</v>
      </c>
      <c r="D554" t="s">
        <v>5682</v>
      </c>
      <c r="E554" t="s">
        <v>6812</v>
      </c>
      <c r="F554" t="s">
        <v>12</v>
      </c>
      <c r="G554" t="s">
        <v>0</v>
      </c>
      <c r="H554" s="1">
        <f>DATE(2022,6,15)</f>
        <v>44727</v>
      </c>
    </row>
    <row r="555" spans="1:8" x14ac:dyDescent="0.35">
      <c r="A555" s="2" t="s">
        <v>1418</v>
      </c>
      <c r="B555" s="2" t="s">
        <v>1419</v>
      </c>
      <c r="C555" s="2" t="s">
        <v>1420</v>
      </c>
      <c r="D555" t="s">
        <v>5683</v>
      </c>
      <c r="E555" t="s">
        <v>6813</v>
      </c>
      <c r="F555" t="s">
        <v>12</v>
      </c>
      <c r="G555" t="s">
        <v>0</v>
      </c>
      <c r="H555" s="1">
        <f>DATE(2023,3,14)</f>
        <v>44999</v>
      </c>
    </row>
    <row r="556" spans="1:8" x14ac:dyDescent="0.35">
      <c r="A556" s="2" t="s">
        <v>1421</v>
      </c>
      <c r="B556" s="2" t="s">
        <v>1422</v>
      </c>
      <c r="C556" s="2" t="s">
        <v>1423</v>
      </c>
      <c r="D556" t="s">
        <v>5684</v>
      </c>
      <c r="E556" t="s">
        <v>6814</v>
      </c>
      <c r="F556" t="s">
        <v>12</v>
      </c>
      <c r="G556" t="s">
        <v>0</v>
      </c>
      <c r="H556" s="1">
        <f>DATE(2022,6,15)</f>
        <v>44727</v>
      </c>
    </row>
    <row r="557" spans="1:8" x14ac:dyDescent="0.35">
      <c r="A557" s="2" t="s">
        <v>1424</v>
      </c>
      <c r="B557" s="2" t="s">
        <v>1425</v>
      </c>
      <c r="C557" s="2" t="s">
        <v>1426</v>
      </c>
      <c r="D557" t="s">
        <v>5685</v>
      </c>
      <c r="E557" t="s">
        <v>6815</v>
      </c>
      <c r="F557" t="s">
        <v>12</v>
      </c>
      <c r="G557" t="s">
        <v>0</v>
      </c>
      <c r="H557" s="1">
        <f>DATE(2022,6,15)</f>
        <v>44727</v>
      </c>
    </row>
    <row r="558" spans="1:8" x14ac:dyDescent="0.35">
      <c r="A558" s="2" t="s">
        <v>1427</v>
      </c>
      <c r="B558" s="2" t="s">
        <v>1428</v>
      </c>
      <c r="C558" s="2" t="s">
        <v>1429</v>
      </c>
      <c r="D558" t="s">
        <v>5686</v>
      </c>
      <c r="E558" t="s">
        <v>6816</v>
      </c>
      <c r="F558" t="s">
        <v>12</v>
      </c>
      <c r="G558" t="s">
        <v>0</v>
      </c>
      <c r="H558" s="1">
        <f>DATE(2022,6,15)</f>
        <v>44727</v>
      </c>
    </row>
    <row r="559" spans="1:8" x14ac:dyDescent="0.35">
      <c r="A559" s="2" t="s">
        <v>1430</v>
      </c>
      <c r="B559" s="2" t="s">
        <v>1431</v>
      </c>
      <c r="C559" s="2" t="s">
        <v>1432</v>
      </c>
      <c r="D559" t="s">
        <v>5687</v>
      </c>
      <c r="E559" t="s">
        <v>6817</v>
      </c>
      <c r="F559" t="s">
        <v>12</v>
      </c>
      <c r="G559" t="s">
        <v>0</v>
      </c>
      <c r="H559" s="1">
        <f>DATE(2023,3,14)</f>
        <v>44999</v>
      </c>
    </row>
    <row r="560" spans="1:8" x14ac:dyDescent="0.35">
      <c r="A560" s="2" t="s">
        <v>1433</v>
      </c>
      <c r="B560" s="2" t="s">
        <v>1434</v>
      </c>
      <c r="D560" t="s">
        <v>5387</v>
      </c>
      <c r="E560" t="e">
        <v>#VALUE!</v>
      </c>
      <c r="F560" t="s">
        <v>12</v>
      </c>
      <c r="G560" t="s">
        <v>0</v>
      </c>
      <c r="H560" s="1">
        <f t="shared" ref="H560:H565" si="3">DATE(2022,6,15)</f>
        <v>44727</v>
      </c>
    </row>
    <row r="561" spans="1:8" x14ac:dyDescent="0.35">
      <c r="A561" s="2" t="s">
        <v>1435</v>
      </c>
      <c r="B561" s="2" t="s">
        <v>1436</v>
      </c>
      <c r="C561" s="2" t="s">
        <v>1437</v>
      </c>
      <c r="D561" t="s">
        <v>5688</v>
      </c>
      <c r="E561" t="s">
        <v>6818</v>
      </c>
      <c r="F561" t="s">
        <v>12</v>
      </c>
      <c r="G561" t="s">
        <v>0</v>
      </c>
      <c r="H561" s="1">
        <f t="shared" si="3"/>
        <v>44727</v>
      </c>
    </row>
    <row r="562" spans="1:8" x14ac:dyDescent="0.35">
      <c r="A562" s="2" t="s">
        <v>1438</v>
      </c>
      <c r="B562" s="2" t="s">
        <v>1439</v>
      </c>
      <c r="D562" t="s">
        <v>5387</v>
      </c>
      <c r="E562" t="e">
        <v>#VALUE!</v>
      </c>
      <c r="F562" t="s">
        <v>12</v>
      </c>
      <c r="G562" t="s">
        <v>0</v>
      </c>
      <c r="H562" s="1">
        <f t="shared" si="3"/>
        <v>44727</v>
      </c>
    </row>
    <row r="563" spans="1:8" x14ac:dyDescent="0.35">
      <c r="A563" s="2" t="s">
        <v>1440</v>
      </c>
      <c r="B563" s="2" t="s">
        <v>1441</v>
      </c>
      <c r="D563" t="s">
        <v>5387</v>
      </c>
      <c r="E563" t="e">
        <v>#VALUE!</v>
      </c>
      <c r="F563" t="s">
        <v>12</v>
      </c>
      <c r="G563" t="s">
        <v>0</v>
      </c>
      <c r="H563" s="1">
        <f t="shared" si="3"/>
        <v>44727</v>
      </c>
    </row>
    <row r="564" spans="1:8" x14ac:dyDescent="0.35">
      <c r="A564" s="2" t="s">
        <v>1442</v>
      </c>
      <c r="B564" s="2" t="s">
        <v>1443</v>
      </c>
      <c r="C564" s="2" t="s">
        <v>1444</v>
      </c>
      <c r="D564" t="s">
        <v>5689</v>
      </c>
      <c r="E564" t="s">
        <v>6819</v>
      </c>
      <c r="F564" t="s">
        <v>12</v>
      </c>
      <c r="G564" t="s">
        <v>0</v>
      </c>
      <c r="H564" s="1">
        <f t="shared" si="3"/>
        <v>44727</v>
      </c>
    </row>
    <row r="565" spans="1:8" x14ac:dyDescent="0.35">
      <c r="A565" s="2" t="s">
        <v>1445</v>
      </c>
      <c r="B565" s="2" t="s">
        <v>1446</v>
      </c>
      <c r="C565" s="2" t="s">
        <v>1447</v>
      </c>
      <c r="D565" t="s">
        <v>5690</v>
      </c>
      <c r="E565" t="s">
        <v>6820</v>
      </c>
      <c r="F565" t="s">
        <v>12</v>
      </c>
      <c r="G565" t="s">
        <v>0</v>
      </c>
      <c r="H565" s="1">
        <f t="shared" si="3"/>
        <v>44727</v>
      </c>
    </row>
    <row r="566" spans="1:8" x14ac:dyDescent="0.35">
      <c r="A566" s="2" t="s">
        <v>1448</v>
      </c>
      <c r="B566" s="2" t="s">
        <v>1449</v>
      </c>
      <c r="C566" s="2" t="s">
        <v>1450</v>
      </c>
      <c r="D566" t="s">
        <v>5691</v>
      </c>
      <c r="E566" t="s">
        <v>6821</v>
      </c>
      <c r="F566" t="s">
        <v>12</v>
      </c>
      <c r="G566" t="s">
        <v>0</v>
      </c>
      <c r="H566" s="1">
        <f>DATE(2023,3,14)</f>
        <v>44999</v>
      </c>
    </row>
    <row r="567" spans="1:8" x14ac:dyDescent="0.35">
      <c r="A567" s="2" t="s">
        <v>1451</v>
      </c>
      <c r="B567" s="2" t="s">
        <v>1452</v>
      </c>
      <c r="C567" s="2" t="s">
        <v>1453</v>
      </c>
      <c r="D567" t="s">
        <v>5692</v>
      </c>
      <c r="E567" t="s">
        <v>6822</v>
      </c>
      <c r="F567" t="s">
        <v>12</v>
      </c>
      <c r="G567" t="s">
        <v>0</v>
      </c>
      <c r="H567" s="1">
        <f>DATE(2022,4,15)</f>
        <v>44666</v>
      </c>
    </row>
    <row r="568" spans="1:8" x14ac:dyDescent="0.35">
      <c r="A568" s="2" t="s">
        <v>1454</v>
      </c>
      <c r="B568" s="2" t="s">
        <v>1455</v>
      </c>
      <c r="D568" t="s">
        <v>5387</v>
      </c>
      <c r="E568" t="e">
        <v>#VALUE!</v>
      </c>
      <c r="F568" t="s">
        <v>12</v>
      </c>
      <c r="G568" t="s">
        <v>0</v>
      </c>
      <c r="H568" s="1">
        <f>DATE(2023,11,29)</f>
        <v>45259</v>
      </c>
    </row>
    <row r="569" spans="1:8" x14ac:dyDescent="0.35">
      <c r="A569" s="2" t="s">
        <v>1456</v>
      </c>
      <c r="B569" s="2" t="s">
        <v>1457</v>
      </c>
      <c r="D569" t="s">
        <v>5387</v>
      </c>
      <c r="E569" t="e">
        <v>#VALUE!</v>
      </c>
      <c r="F569" t="s">
        <v>12</v>
      </c>
      <c r="G569" t="s">
        <v>0</v>
      </c>
      <c r="H569" s="1">
        <f>DATE(2023,11,29)</f>
        <v>45259</v>
      </c>
    </row>
    <row r="570" spans="1:8" x14ac:dyDescent="0.35">
      <c r="A570" s="2" t="s">
        <v>1458</v>
      </c>
      <c r="B570" s="2" t="s">
        <v>1459</v>
      </c>
      <c r="D570" t="s">
        <v>5387</v>
      </c>
      <c r="E570" t="e">
        <v>#VALUE!</v>
      </c>
      <c r="F570" t="s">
        <v>12</v>
      </c>
      <c r="G570" t="s">
        <v>0</v>
      </c>
      <c r="H570" s="1">
        <f>DATE(2022,6,15)</f>
        <v>44727</v>
      </c>
    </row>
    <row r="571" spans="1:8" x14ac:dyDescent="0.35">
      <c r="A571" s="2" t="s">
        <v>1460</v>
      </c>
      <c r="B571" s="2" t="s">
        <v>1461</v>
      </c>
      <c r="C571" s="2" t="s">
        <v>1462</v>
      </c>
      <c r="D571" t="s">
        <v>5693</v>
      </c>
      <c r="E571" t="s">
        <v>6823</v>
      </c>
      <c r="F571" t="s">
        <v>12</v>
      </c>
      <c r="G571" t="s">
        <v>0</v>
      </c>
      <c r="H571" s="1">
        <f>DATE(2022,6,15)</f>
        <v>44727</v>
      </c>
    </row>
    <row r="572" spans="1:8" x14ac:dyDescent="0.35">
      <c r="A572" s="2" t="s">
        <v>1463</v>
      </c>
      <c r="B572" s="2" t="s">
        <v>1464</v>
      </c>
      <c r="C572" s="2" t="s">
        <v>1465</v>
      </c>
      <c r="D572" t="s">
        <v>5694</v>
      </c>
      <c r="E572" t="s">
        <v>6824</v>
      </c>
      <c r="F572" t="s">
        <v>12</v>
      </c>
      <c r="G572" t="s">
        <v>0</v>
      </c>
      <c r="H572" s="1">
        <f>DATE(2022,6,15)</f>
        <v>44727</v>
      </c>
    </row>
    <row r="573" spans="1:8" x14ac:dyDescent="0.35">
      <c r="A573" s="2" t="s">
        <v>1466</v>
      </c>
      <c r="B573" s="2" t="s">
        <v>1467</v>
      </c>
      <c r="C573" s="2" t="s">
        <v>1468</v>
      </c>
      <c r="D573" t="s">
        <v>5695</v>
      </c>
      <c r="E573" t="s">
        <v>6825</v>
      </c>
      <c r="F573" t="s">
        <v>12</v>
      </c>
      <c r="G573" t="s">
        <v>0</v>
      </c>
      <c r="H573" s="1">
        <f>DATE(2023,3,14)</f>
        <v>44999</v>
      </c>
    </row>
    <row r="574" spans="1:8" x14ac:dyDescent="0.35">
      <c r="A574" s="2" t="s">
        <v>1469</v>
      </c>
      <c r="B574" s="2" t="s">
        <v>1470</v>
      </c>
      <c r="C574" s="2" t="s">
        <v>1471</v>
      </c>
      <c r="D574" t="s">
        <v>5696</v>
      </c>
      <c r="E574" t="s">
        <v>6826</v>
      </c>
      <c r="F574" t="s">
        <v>12</v>
      </c>
      <c r="G574" t="s">
        <v>0</v>
      </c>
      <c r="H574" s="1">
        <f>DATE(2022,4,19)</f>
        <v>44670</v>
      </c>
    </row>
    <row r="575" spans="1:8" x14ac:dyDescent="0.35">
      <c r="A575" s="2" t="s">
        <v>1472</v>
      </c>
      <c r="B575" s="2" t="s">
        <v>1473</v>
      </c>
      <c r="C575" s="2" t="s">
        <v>1474</v>
      </c>
      <c r="D575" t="s">
        <v>5697</v>
      </c>
      <c r="E575" t="s">
        <v>6827</v>
      </c>
      <c r="F575" t="s">
        <v>12</v>
      </c>
      <c r="G575" t="s">
        <v>0</v>
      </c>
      <c r="H575" s="1">
        <f t="shared" ref="H575:H580" si="4">DATE(2022,6,15)</f>
        <v>44727</v>
      </c>
    </row>
    <row r="576" spans="1:8" x14ac:dyDescent="0.35">
      <c r="A576" s="2" t="s">
        <v>1475</v>
      </c>
      <c r="B576" s="2" t="s">
        <v>1476</v>
      </c>
      <c r="D576" t="s">
        <v>5387</v>
      </c>
      <c r="E576" t="e">
        <v>#VALUE!</v>
      </c>
      <c r="F576" t="s">
        <v>12</v>
      </c>
      <c r="G576" t="s">
        <v>0</v>
      </c>
      <c r="H576" s="1">
        <f t="shared" si="4"/>
        <v>44727</v>
      </c>
    </row>
    <row r="577" spans="1:8" x14ac:dyDescent="0.35">
      <c r="A577" s="2" t="s">
        <v>1477</v>
      </c>
      <c r="B577" s="2" t="s">
        <v>1478</v>
      </c>
      <c r="C577" s="2" t="s">
        <v>1479</v>
      </c>
      <c r="D577" t="s">
        <v>5698</v>
      </c>
      <c r="E577" t="s">
        <v>6828</v>
      </c>
      <c r="F577" t="s">
        <v>12</v>
      </c>
      <c r="G577" t="s">
        <v>0</v>
      </c>
      <c r="H577" s="1">
        <f t="shared" si="4"/>
        <v>44727</v>
      </c>
    </row>
    <row r="578" spans="1:8" x14ac:dyDescent="0.35">
      <c r="A578" s="2" t="s">
        <v>1480</v>
      </c>
      <c r="B578" s="2" t="s">
        <v>1481</v>
      </c>
      <c r="D578" t="s">
        <v>5387</v>
      </c>
      <c r="E578" t="e">
        <v>#VALUE!</v>
      </c>
      <c r="F578" t="s">
        <v>12</v>
      </c>
      <c r="G578" t="s">
        <v>0</v>
      </c>
      <c r="H578" s="1">
        <f t="shared" si="4"/>
        <v>44727</v>
      </c>
    </row>
    <row r="579" spans="1:8" x14ac:dyDescent="0.35">
      <c r="A579" s="2" t="s">
        <v>1482</v>
      </c>
      <c r="B579" s="2" t="s">
        <v>1483</v>
      </c>
      <c r="C579" s="2" t="s">
        <v>1484</v>
      </c>
      <c r="D579" t="s">
        <v>5699</v>
      </c>
      <c r="E579" t="s">
        <v>6829</v>
      </c>
      <c r="F579" t="s">
        <v>12</v>
      </c>
      <c r="G579" t="s">
        <v>0</v>
      </c>
      <c r="H579" s="1">
        <f t="shared" si="4"/>
        <v>44727</v>
      </c>
    </row>
    <row r="580" spans="1:8" x14ac:dyDescent="0.35">
      <c r="A580" s="2" t="s">
        <v>1485</v>
      </c>
      <c r="B580" s="2" t="s">
        <v>1486</v>
      </c>
      <c r="C580" s="2" t="s">
        <v>1487</v>
      </c>
      <c r="D580" t="s">
        <v>5700</v>
      </c>
      <c r="E580" t="s">
        <v>6830</v>
      </c>
      <c r="F580" t="s">
        <v>12</v>
      </c>
      <c r="G580" t="s">
        <v>0</v>
      </c>
      <c r="H580" s="1">
        <f t="shared" si="4"/>
        <v>44727</v>
      </c>
    </row>
    <row r="581" spans="1:8" x14ac:dyDescent="0.35">
      <c r="A581" s="2" t="s">
        <v>1488</v>
      </c>
      <c r="B581" s="2" t="s">
        <v>1489</v>
      </c>
      <c r="C581" s="2" t="s">
        <v>1490</v>
      </c>
      <c r="D581" t="s">
        <v>5701</v>
      </c>
      <c r="E581" t="s">
        <v>6831</v>
      </c>
      <c r="F581" t="s">
        <v>12</v>
      </c>
      <c r="G581" t="s">
        <v>0</v>
      </c>
      <c r="H581" s="1">
        <f>DATE(2023,3,14)</f>
        <v>44999</v>
      </c>
    </row>
    <row r="582" spans="1:8" x14ac:dyDescent="0.35">
      <c r="A582" s="2" t="s">
        <v>1491</v>
      </c>
      <c r="B582" s="2" t="s">
        <v>1492</v>
      </c>
      <c r="C582" s="2" t="s">
        <v>1493</v>
      </c>
      <c r="D582" t="s">
        <v>5702</v>
      </c>
      <c r="E582" t="s">
        <v>6832</v>
      </c>
      <c r="F582" t="s">
        <v>12</v>
      </c>
      <c r="G582" t="s">
        <v>0</v>
      </c>
      <c r="H582" s="1">
        <f>DATE(2022,6,15)</f>
        <v>44727</v>
      </c>
    </row>
    <row r="583" spans="1:8" x14ac:dyDescent="0.35">
      <c r="A583" s="2" t="s">
        <v>1494</v>
      </c>
      <c r="B583" s="2" t="s">
        <v>1495</v>
      </c>
      <c r="C583" s="2" t="s">
        <v>1496</v>
      </c>
      <c r="D583" t="s">
        <v>5703</v>
      </c>
      <c r="E583" t="s">
        <v>6833</v>
      </c>
      <c r="F583" t="s">
        <v>12</v>
      </c>
      <c r="G583" t="s">
        <v>0</v>
      </c>
      <c r="H583" s="1">
        <f>DATE(2022,6,15)</f>
        <v>44727</v>
      </c>
    </row>
    <row r="584" spans="1:8" x14ac:dyDescent="0.35">
      <c r="A584" s="2" t="s">
        <v>1497</v>
      </c>
      <c r="B584" s="2" t="s">
        <v>1498</v>
      </c>
      <c r="C584" s="2" t="s">
        <v>1499</v>
      </c>
      <c r="D584" t="s">
        <v>5704</v>
      </c>
      <c r="E584" t="s">
        <v>6834</v>
      </c>
      <c r="F584" t="s">
        <v>12</v>
      </c>
      <c r="G584" t="s">
        <v>0</v>
      </c>
      <c r="H584" s="1">
        <f>DATE(2022,6,15)</f>
        <v>44727</v>
      </c>
    </row>
    <row r="585" spans="1:8" x14ac:dyDescent="0.35">
      <c r="A585" s="2" t="s">
        <v>1500</v>
      </c>
      <c r="B585" s="2" t="s">
        <v>1501</v>
      </c>
      <c r="C585" s="2" t="s">
        <v>1502</v>
      </c>
      <c r="D585" t="s">
        <v>5705</v>
      </c>
      <c r="E585" t="s">
        <v>6835</v>
      </c>
      <c r="F585" t="s">
        <v>12</v>
      </c>
      <c r="G585" t="s">
        <v>0</v>
      </c>
      <c r="H585" s="1">
        <f>DATE(2023,3,14)</f>
        <v>44999</v>
      </c>
    </row>
    <row r="586" spans="1:8" x14ac:dyDescent="0.35">
      <c r="A586" s="2" t="s">
        <v>1503</v>
      </c>
      <c r="B586" s="2" t="s">
        <v>1504</v>
      </c>
      <c r="C586" s="2" t="s">
        <v>1505</v>
      </c>
      <c r="D586" t="s">
        <v>5706</v>
      </c>
      <c r="E586" t="s">
        <v>6836</v>
      </c>
      <c r="F586" t="s">
        <v>12</v>
      </c>
      <c r="G586" t="s">
        <v>0</v>
      </c>
      <c r="H586" s="1">
        <f t="shared" ref="H586:H598" si="5">DATE(2022,6,15)</f>
        <v>44727</v>
      </c>
    </row>
    <row r="587" spans="1:8" x14ac:dyDescent="0.35">
      <c r="A587" s="2" t="s">
        <v>1506</v>
      </c>
      <c r="B587" s="2" t="s">
        <v>1507</v>
      </c>
      <c r="D587" t="s">
        <v>5387</v>
      </c>
      <c r="E587" t="e">
        <v>#VALUE!</v>
      </c>
      <c r="F587" t="s">
        <v>12</v>
      </c>
      <c r="G587" t="s">
        <v>0</v>
      </c>
      <c r="H587" s="1">
        <f t="shared" si="5"/>
        <v>44727</v>
      </c>
    </row>
    <row r="588" spans="1:8" x14ac:dyDescent="0.35">
      <c r="A588" s="2" t="s">
        <v>1508</v>
      </c>
      <c r="B588" s="2" t="s">
        <v>1509</v>
      </c>
      <c r="C588" s="2" t="s">
        <v>1510</v>
      </c>
      <c r="D588" t="s">
        <v>5707</v>
      </c>
      <c r="E588" t="s">
        <v>6837</v>
      </c>
      <c r="F588" t="s">
        <v>12</v>
      </c>
      <c r="G588" t="s">
        <v>0</v>
      </c>
      <c r="H588" s="1">
        <f t="shared" si="5"/>
        <v>44727</v>
      </c>
    </row>
    <row r="589" spans="1:8" x14ac:dyDescent="0.35">
      <c r="A589" s="2" t="s">
        <v>1511</v>
      </c>
      <c r="B589" s="2" t="s">
        <v>1512</v>
      </c>
      <c r="C589" s="2" t="s">
        <v>1513</v>
      </c>
      <c r="D589" t="s">
        <v>5708</v>
      </c>
      <c r="E589" t="s">
        <v>6838</v>
      </c>
      <c r="F589" t="s">
        <v>12</v>
      </c>
      <c r="G589" t="s">
        <v>0</v>
      </c>
      <c r="H589" s="1">
        <f t="shared" si="5"/>
        <v>44727</v>
      </c>
    </row>
    <row r="590" spans="1:8" x14ac:dyDescent="0.35">
      <c r="A590" s="2" t="s">
        <v>1514</v>
      </c>
      <c r="B590" s="2" t="s">
        <v>1515</v>
      </c>
      <c r="C590" s="2" t="s">
        <v>1516</v>
      </c>
      <c r="D590" t="s">
        <v>5709</v>
      </c>
      <c r="E590" t="s">
        <v>6839</v>
      </c>
      <c r="F590" t="s">
        <v>12</v>
      </c>
      <c r="G590" t="s">
        <v>0</v>
      </c>
      <c r="H590" s="1">
        <f t="shared" si="5"/>
        <v>44727</v>
      </c>
    </row>
    <row r="591" spans="1:8" x14ac:dyDescent="0.35">
      <c r="A591" s="2" t="s">
        <v>1517</v>
      </c>
      <c r="B591" s="2" t="s">
        <v>1518</v>
      </c>
      <c r="C591" s="2" t="s">
        <v>1519</v>
      </c>
      <c r="D591" t="s">
        <v>5710</v>
      </c>
      <c r="E591" t="s">
        <v>6840</v>
      </c>
      <c r="F591" t="s">
        <v>12</v>
      </c>
      <c r="G591" t="s">
        <v>0</v>
      </c>
      <c r="H591" s="1">
        <f t="shared" si="5"/>
        <v>44727</v>
      </c>
    </row>
    <row r="592" spans="1:8" x14ac:dyDescent="0.35">
      <c r="A592" s="2" t="s">
        <v>1520</v>
      </c>
      <c r="B592" s="2" t="s">
        <v>1521</v>
      </c>
      <c r="C592" s="2" t="s">
        <v>1522</v>
      </c>
      <c r="D592" t="s">
        <v>5711</v>
      </c>
      <c r="E592" t="s">
        <v>6841</v>
      </c>
      <c r="F592" t="s">
        <v>12</v>
      </c>
      <c r="G592" t="s">
        <v>0</v>
      </c>
      <c r="H592" s="1">
        <f t="shared" si="5"/>
        <v>44727</v>
      </c>
    </row>
    <row r="593" spans="1:8" x14ac:dyDescent="0.35">
      <c r="A593" s="2" t="s">
        <v>1523</v>
      </c>
      <c r="B593" s="2" t="s">
        <v>1524</v>
      </c>
      <c r="C593" s="2" t="s">
        <v>1525</v>
      </c>
      <c r="D593" t="s">
        <v>5712</v>
      </c>
      <c r="E593" t="s">
        <v>6842</v>
      </c>
      <c r="F593" t="s">
        <v>12</v>
      </c>
      <c r="G593" t="s">
        <v>0</v>
      </c>
      <c r="H593" s="1">
        <f t="shared" si="5"/>
        <v>44727</v>
      </c>
    </row>
    <row r="594" spans="1:8" x14ac:dyDescent="0.35">
      <c r="A594" s="2" t="s">
        <v>1526</v>
      </c>
      <c r="B594" s="2" t="s">
        <v>1527</v>
      </c>
      <c r="C594" s="2" t="s">
        <v>1528</v>
      </c>
      <c r="D594" t="s">
        <v>5713</v>
      </c>
      <c r="E594" t="s">
        <v>6843</v>
      </c>
      <c r="F594" t="s">
        <v>12</v>
      </c>
      <c r="G594" t="s">
        <v>0</v>
      </c>
      <c r="H594" s="1">
        <f t="shared" si="5"/>
        <v>44727</v>
      </c>
    </row>
    <row r="595" spans="1:8" x14ac:dyDescent="0.35">
      <c r="A595" s="2" t="s">
        <v>1529</v>
      </c>
      <c r="B595" s="2" t="s">
        <v>1530</v>
      </c>
      <c r="C595" s="2" t="s">
        <v>1531</v>
      </c>
      <c r="D595" t="s">
        <v>5714</v>
      </c>
      <c r="E595" t="s">
        <v>6844</v>
      </c>
      <c r="F595" t="s">
        <v>12</v>
      </c>
      <c r="G595" t="s">
        <v>0</v>
      </c>
      <c r="H595" s="1">
        <f t="shared" si="5"/>
        <v>44727</v>
      </c>
    </row>
    <row r="596" spans="1:8" x14ac:dyDescent="0.35">
      <c r="A596" s="2" t="s">
        <v>1532</v>
      </c>
      <c r="B596" s="2" t="s">
        <v>1533</v>
      </c>
      <c r="C596" s="2" t="s">
        <v>1534</v>
      </c>
      <c r="D596" t="s">
        <v>5715</v>
      </c>
      <c r="E596" t="s">
        <v>6845</v>
      </c>
      <c r="F596" t="s">
        <v>12</v>
      </c>
      <c r="G596" t="s">
        <v>0</v>
      </c>
      <c r="H596" s="1">
        <f t="shared" si="5"/>
        <v>44727</v>
      </c>
    </row>
    <row r="597" spans="1:8" x14ac:dyDescent="0.35">
      <c r="A597" s="2" t="s">
        <v>1535</v>
      </c>
      <c r="B597" s="2" t="s">
        <v>1536</v>
      </c>
      <c r="C597" s="2" t="s">
        <v>1537</v>
      </c>
      <c r="D597" t="s">
        <v>5716</v>
      </c>
      <c r="E597" t="s">
        <v>6846</v>
      </c>
      <c r="F597" t="s">
        <v>12</v>
      </c>
      <c r="G597" t="s">
        <v>0</v>
      </c>
      <c r="H597" s="1">
        <f t="shared" si="5"/>
        <v>44727</v>
      </c>
    </row>
    <row r="598" spans="1:8" x14ac:dyDescent="0.35">
      <c r="A598" s="2" t="s">
        <v>1538</v>
      </c>
      <c r="B598" s="2" t="s">
        <v>1539</v>
      </c>
      <c r="C598" s="2" t="s">
        <v>1540</v>
      </c>
      <c r="D598" t="s">
        <v>5717</v>
      </c>
      <c r="E598" t="s">
        <v>6847</v>
      </c>
      <c r="F598" t="s">
        <v>12</v>
      </c>
      <c r="G598" t="s">
        <v>0</v>
      </c>
      <c r="H598" s="1">
        <f t="shared" si="5"/>
        <v>44727</v>
      </c>
    </row>
    <row r="599" spans="1:8" x14ac:dyDescent="0.35">
      <c r="A599" s="2" t="s">
        <v>1541</v>
      </c>
      <c r="B599" s="2" t="s">
        <v>1542</v>
      </c>
      <c r="C599" s="2" t="s">
        <v>1543</v>
      </c>
      <c r="D599" t="s">
        <v>5718</v>
      </c>
      <c r="E599" t="s">
        <v>6848</v>
      </c>
      <c r="F599" t="s">
        <v>12</v>
      </c>
      <c r="G599" t="s">
        <v>0</v>
      </c>
      <c r="H599" s="1">
        <f>DATE(2023,3,14)</f>
        <v>44999</v>
      </c>
    </row>
    <row r="600" spans="1:8" x14ac:dyDescent="0.35">
      <c r="A600" s="2" t="s">
        <v>1544</v>
      </c>
      <c r="B600" s="2" t="s">
        <v>1545</v>
      </c>
      <c r="C600" s="2" t="s">
        <v>1546</v>
      </c>
      <c r="D600" t="s">
        <v>5719</v>
      </c>
      <c r="E600" t="s">
        <v>6849</v>
      </c>
      <c r="F600" t="s">
        <v>12</v>
      </c>
      <c r="G600" t="s">
        <v>0</v>
      </c>
      <c r="H600" s="1">
        <f t="shared" ref="H600:H606" si="6">DATE(2022,6,15)</f>
        <v>44727</v>
      </c>
    </row>
    <row r="601" spans="1:8" x14ac:dyDescent="0.35">
      <c r="A601" s="2" t="s">
        <v>1547</v>
      </c>
      <c r="B601" s="2" t="s">
        <v>1548</v>
      </c>
      <c r="C601" s="2" t="s">
        <v>1549</v>
      </c>
      <c r="D601" t="s">
        <v>5720</v>
      </c>
      <c r="E601" t="s">
        <v>6850</v>
      </c>
      <c r="F601" t="s">
        <v>12</v>
      </c>
      <c r="G601" t="s">
        <v>0</v>
      </c>
      <c r="H601" s="1">
        <f t="shared" si="6"/>
        <v>44727</v>
      </c>
    </row>
    <row r="602" spans="1:8" x14ac:dyDescent="0.35">
      <c r="A602" s="2" t="s">
        <v>1550</v>
      </c>
      <c r="B602" s="2" t="s">
        <v>1551</v>
      </c>
      <c r="C602" s="2" t="s">
        <v>1552</v>
      </c>
      <c r="D602" t="s">
        <v>5721</v>
      </c>
      <c r="E602" t="s">
        <v>6851</v>
      </c>
      <c r="F602" t="s">
        <v>12</v>
      </c>
      <c r="G602" t="s">
        <v>0</v>
      </c>
      <c r="H602" s="1">
        <f t="shared" si="6"/>
        <v>44727</v>
      </c>
    </row>
    <row r="603" spans="1:8" x14ac:dyDescent="0.35">
      <c r="A603" s="2" t="s">
        <v>1553</v>
      </c>
      <c r="B603" s="2" t="s">
        <v>1554</v>
      </c>
      <c r="D603" t="s">
        <v>5387</v>
      </c>
      <c r="E603" t="e">
        <v>#VALUE!</v>
      </c>
      <c r="F603" t="s">
        <v>12</v>
      </c>
      <c r="G603" t="s">
        <v>0</v>
      </c>
      <c r="H603" s="1">
        <f t="shared" si="6"/>
        <v>44727</v>
      </c>
    </row>
    <row r="604" spans="1:8" x14ac:dyDescent="0.35">
      <c r="A604" s="2" t="s">
        <v>1555</v>
      </c>
      <c r="B604" s="2" t="s">
        <v>1556</v>
      </c>
      <c r="C604" s="2" t="s">
        <v>1557</v>
      </c>
      <c r="D604" t="s">
        <v>5722</v>
      </c>
      <c r="E604" t="s">
        <v>6852</v>
      </c>
      <c r="F604" t="s">
        <v>12</v>
      </c>
      <c r="G604" t="s">
        <v>0</v>
      </c>
      <c r="H604" s="1">
        <f t="shared" si="6"/>
        <v>44727</v>
      </c>
    </row>
    <row r="605" spans="1:8" x14ac:dyDescent="0.35">
      <c r="A605" s="2" t="s">
        <v>1558</v>
      </c>
      <c r="B605" s="2" t="s">
        <v>1559</v>
      </c>
      <c r="C605" s="2" t="s">
        <v>1560</v>
      </c>
      <c r="D605" t="s">
        <v>5723</v>
      </c>
      <c r="E605" t="s">
        <v>6853</v>
      </c>
      <c r="F605" t="s">
        <v>12</v>
      </c>
      <c r="G605" t="s">
        <v>0</v>
      </c>
      <c r="H605" s="1">
        <f t="shared" si="6"/>
        <v>44727</v>
      </c>
    </row>
    <row r="606" spans="1:8" x14ac:dyDescent="0.35">
      <c r="A606" s="2" t="s">
        <v>1561</v>
      </c>
      <c r="B606" s="2" t="s">
        <v>1562</v>
      </c>
      <c r="C606" s="2" t="s">
        <v>1563</v>
      </c>
      <c r="D606" t="s">
        <v>5724</v>
      </c>
      <c r="E606" t="s">
        <v>6854</v>
      </c>
      <c r="F606" t="s">
        <v>12</v>
      </c>
      <c r="G606" t="s">
        <v>0</v>
      </c>
      <c r="H606" s="1">
        <f t="shared" si="6"/>
        <v>44727</v>
      </c>
    </row>
    <row r="607" spans="1:8" x14ac:dyDescent="0.35">
      <c r="A607" s="2" t="s">
        <v>1564</v>
      </c>
      <c r="B607" s="2" t="s">
        <v>1565</v>
      </c>
      <c r="C607" s="2" t="s">
        <v>1566</v>
      </c>
      <c r="D607" t="s">
        <v>5725</v>
      </c>
      <c r="E607" t="s">
        <v>6855</v>
      </c>
      <c r="F607" t="s">
        <v>12</v>
      </c>
      <c r="G607" t="s">
        <v>0</v>
      </c>
      <c r="H607" s="1">
        <f>DATE(2023,7,12)</f>
        <v>45119</v>
      </c>
    </row>
    <row r="608" spans="1:8" x14ac:dyDescent="0.35">
      <c r="A608" s="2" t="s">
        <v>1567</v>
      </c>
      <c r="B608" s="2" t="s">
        <v>1568</v>
      </c>
      <c r="C608" s="2" t="s">
        <v>1569</v>
      </c>
      <c r="D608" t="s">
        <v>5726</v>
      </c>
      <c r="E608" t="s">
        <v>6856</v>
      </c>
      <c r="F608" t="s">
        <v>12</v>
      </c>
      <c r="G608" t="s">
        <v>0</v>
      </c>
      <c r="H608" s="1">
        <f t="shared" ref="H608:H615" si="7">DATE(2022,6,15)</f>
        <v>44727</v>
      </c>
    </row>
    <row r="609" spans="1:8" x14ac:dyDescent="0.35">
      <c r="A609" s="2" t="s">
        <v>1570</v>
      </c>
      <c r="B609" s="2" t="s">
        <v>1571</v>
      </c>
      <c r="C609" s="2" t="s">
        <v>1572</v>
      </c>
      <c r="D609" t="s">
        <v>5727</v>
      </c>
      <c r="E609" t="s">
        <v>6857</v>
      </c>
      <c r="F609" t="s">
        <v>12</v>
      </c>
      <c r="G609" t="s">
        <v>0</v>
      </c>
      <c r="H609" s="1">
        <f t="shared" si="7"/>
        <v>44727</v>
      </c>
    </row>
    <row r="610" spans="1:8" x14ac:dyDescent="0.35">
      <c r="A610" s="2" t="s">
        <v>1573</v>
      </c>
      <c r="B610" s="2" t="s">
        <v>1574</v>
      </c>
      <c r="D610" t="s">
        <v>5387</v>
      </c>
      <c r="E610" t="e">
        <v>#VALUE!</v>
      </c>
      <c r="F610" t="s">
        <v>12</v>
      </c>
      <c r="G610" t="s">
        <v>0</v>
      </c>
      <c r="H610" s="1">
        <f t="shared" si="7"/>
        <v>44727</v>
      </c>
    </row>
    <row r="611" spans="1:8" x14ac:dyDescent="0.35">
      <c r="A611" s="2" t="s">
        <v>1575</v>
      </c>
      <c r="B611" s="2" t="s">
        <v>1576</v>
      </c>
      <c r="C611" s="2" t="s">
        <v>1577</v>
      </c>
      <c r="D611" t="s">
        <v>5728</v>
      </c>
      <c r="E611" t="s">
        <v>6858</v>
      </c>
      <c r="F611" t="s">
        <v>12</v>
      </c>
      <c r="G611" t="s">
        <v>0</v>
      </c>
      <c r="H611" s="1">
        <f t="shared" si="7"/>
        <v>44727</v>
      </c>
    </row>
    <row r="612" spans="1:8" x14ac:dyDescent="0.35">
      <c r="A612" s="2" t="s">
        <v>1578</v>
      </c>
      <c r="B612" s="2" t="s">
        <v>1579</v>
      </c>
      <c r="C612" s="2" t="s">
        <v>1580</v>
      </c>
      <c r="D612" t="s">
        <v>5729</v>
      </c>
      <c r="E612" t="s">
        <v>6859</v>
      </c>
      <c r="F612" t="s">
        <v>12</v>
      </c>
      <c r="G612" t="s">
        <v>0</v>
      </c>
      <c r="H612" s="1">
        <f t="shared" si="7"/>
        <v>44727</v>
      </c>
    </row>
    <row r="613" spans="1:8" x14ac:dyDescent="0.35">
      <c r="A613" s="2" t="s">
        <v>1581</v>
      </c>
      <c r="B613" s="2" t="s">
        <v>1582</v>
      </c>
      <c r="C613" s="2" t="s">
        <v>1583</v>
      </c>
      <c r="D613" t="s">
        <v>5730</v>
      </c>
      <c r="E613" t="s">
        <v>6860</v>
      </c>
      <c r="F613" t="s">
        <v>12</v>
      </c>
      <c r="G613" t="s">
        <v>0</v>
      </c>
      <c r="H613" s="1">
        <f t="shared" si="7"/>
        <v>44727</v>
      </c>
    </row>
    <row r="614" spans="1:8" x14ac:dyDescent="0.35">
      <c r="A614" s="2" t="s">
        <v>1584</v>
      </c>
      <c r="B614" s="2" t="s">
        <v>1585</v>
      </c>
      <c r="C614" s="2" t="s">
        <v>1586</v>
      </c>
      <c r="D614" t="s">
        <v>5731</v>
      </c>
      <c r="E614" t="s">
        <v>6861</v>
      </c>
      <c r="F614" t="s">
        <v>12</v>
      </c>
      <c r="G614" t="s">
        <v>0</v>
      </c>
      <c r="H614" s="1">
        <f t="shared" si="7"/>
        <v>44727</v>
      </c>
    </row>
    <row r="615" spans="1:8" x14ac:dyDescent="0.35">
      <c r="A615" s="2" t="s">
        <v>1587</v>
      </c>
      <c r="B615" s="2" t="s">
        <v>1588</v>
      </c>
      <c r="C615" s="2" t="s">
        <v>1589</v>
      </c>
      <c r="D615" t="s">
        <v>5732</v>
      </c>
      <c r="E615" t="s">
        <v>6862</v>
      </c>
      <c r="F615" t="s">
        <v>12</v>
      </c>
      <c r="G615" t="s">
        <v>0</v>
      </c>
      <c r="H615" s="1">
        <f t="shared" si="7"/>
        <v>44727</v>
      </c>
    </row>
    <row r="616" spans="1:8" x14ac:dyDescent="0.35">
      <c r="A616" s="2" t="s">
        <v>1590</v>
      </c>
      <c r="B616" s="2" t="s">
        <v>1591</v>
      </c>
      <c r="C616" s="2" t="s">
        <v>1592</v>
      </c>
      <c r="D616" t="s">
        <v>5733</v>
      </c>
      <c r="E616" t="s">
        <v>6863</v>
      </c>
      <c r="F616" t="s">
        <v>12</v>
      </c>
      <c r="G616" t="s">
        <v>0</v>
      </c>
      <c r="H616" s="1">
        <f>DATE(2023,3,9)</f>
        <v>44994</v>
      </c>
    </row>
    <row r="617" spans="1:8" x14ac:dyDescent="0.35">
      <c r="A617" s="2" t="s">
        <v>1593</v>
      </c>
      <c r="B617" s="2" t="s">
        <v>1594</v>
      </c>
      <c r="C617" s="2" t="s">
        <v>1595</v>
      </c>
      <c r="D617" t="s">
        <v>5734</v>
      </c>
      <c r="E617" t="s">
        <v>6864</v>
      </c>
      <c r="F617" t="s">
        <v>12</v>
      </c>
      <c r="G617" t="s">
        <v>0</v>
      </c>
      <c r="H617" s="1">
        <f>DATE(2023,3,9)</f>
        <v>44994</v>
      </c>
    </row>
    <row r="618" spans="1:8" x14ac:dyDescent="0.35">
      <c r="A618" s="2" t="s">
        <v>1596</v>
      </c>
      <c r="B618" s="2" t="s">
        <v>1597</v>
      </c>
      <c r="C618" s="2" t="s">
        <v>1598</v>
      </c>
      <c r="D618" t="s">
        <v>5735</v>
      </c>
      <c r="E618" t="s">
        <v>6865</v>
      </c>
      <c r="F618" t="s">
        <v>12</v>
      </c>
      <c r="G618" t="s">
        <v>0</v>
      </c>
      <c r="H618" s="1">
        <f>DATE(2022,6,15)</f>
        <v>44727</v>
      </c>
    </row>
    <row r="619" spans="1:8" x14ac:dyDescent="0.35">
      <c r="A619" s="2" t="s">
        <v>1599</v>
      </c>
      <c r="B619" s="2" t="s">
        <v>1600</v>
      </c>
      <c r="C619" s="2" t="s">
        <v>1601</v>
      </c>
      <c r="D619" t="s">
        <v>5736</v>
      </c>
      <c r="E619" t="s">
        <v>6866</v>
      </c>
      <c r="F619" t="s">
        <v>12</v>
      </c>
      <c r="G619" t="s">
        <v>0</v>
      </c>
      <c r="H619" s="1">
        <f>DATE(2022,4,20)</f>
        <v>44671</v>
      </c>
    </row>
    <row r="620" spans="1:8" x14ac:dyDescent="0.35">
      <c r="A620" s="2" t="s">
        <v>1602</v>
      </c>
      <c r="B620" s="2" t="s">
        <v>1603</v>
      </c>
      <c r="D620" t="s">
        <v>5387</v>
      </c>
      <c r="E620" t="e">
        <v>#VALUE!</v>
      </c>
      <c r="F620" t="s">
        <v>12</v>
      </c>
      <c r="G620" t="s">
        <v>0</v>
      </c>
      <c r="H620" s="1">
        <f>DATE(2022,4,20)</f>
        <v>44671</v>
      </c>
    </row>
    <row r="621" spans="1:8" x14ac:dyDescent="0.35">
      <c r="A621" s="2" t="s">
        <v>1604</v>
      </c>
      <c r="B621" s="2" t="s">
        <v>1605</v>
      </c>
      <c r="C621" s="2" t="s">
        <v>1606</v>
      </c>
      <c r="D621" t="s">
        <v>5737</v>
      </c>
      <c r="E621" t="s">
        <v>6867</v>
      </c>
      <c r="F621" t="s">
        <v>12</v>
      </c>
      <c r="G621" t="s">
        <v>0</v>
      </c>
      <c r="H621" s="1">
        <f>DATE(2022,4,20)</f>
        <v>44671</v>
      </c>
    </row>
    <row r="622" spans="1:8" x14ac:dyDescent="0.35">
      <c r="A622" s="2" t="s">
        <v>1607</v>
      </c>
      <c r="B622" s="2" t="s">
        <v>1608</v>
      </c>
      <c r="C622" s="2" t="s">
        <v>1609</v>
      </c>
      <c r="D622" t="s">
        <v>5738</v>
      </c>
      <c r="E622" t="s">
        <v>6868</v>
      </c>
      <c r="F622" t="s">
        <v>12</v>
      </c>
      <c r="G622" t="s">
        <v>0</v>
      </c>
      <c r="H622" s="1">
        <f>DATE(2022,6,15)</f>
        <v>44727</v>
      </c>
    </row>
    <row r="623" spans="1:8" x14ac:dyDescent="0.35">
      <c r="A623" s="2" t="s">
        <v>1610</v>
      </c>
      <c r="B623" s="2" t="s">
        <v>1611</v>
      </c>
      <c r="D623" t="s">
        <v>5387</v>
      </c>
      <c r="E623" t="e">
        <v>#VALUE!</v>
      </c>
      <c r="F623" t="s">
        <v>12</v>
      </c>
      <c r="G623" t="s">
        <v>0</v>
      </c>
      <c r="H623" s="1">
        <f>DATE(2022,4,20)</f>
        <v>44671</v>
      </c>
    </row>
    <row r="624" spans="1:8" x14ac:dyDescent="0.35">
      <c r="A624" s="2" t="s">
        <v>1612</v>
      </c>
      <c r="B624" s="2" t="s">
        <v>1613</v>
      </c>
      <c r="C624" s="2" t="s">
        <v>1614</v>
      </c>
      <c r="D624" t="s">
        <v>5739</v>
      </c>
      <c r="E624" t="s">
        <v>6869</v>
      </c>
      <c r="F624" t="s">
        <v>12</v>
      </c>
      <c r="G624" t="s">
        <v>0</v>
      </c>
      <c r="H624" s="1">
        <f>DATE(2023,5,23)</f>
        <v>45069</v>
      </c>
    </row>
    <row r="625" spans="1:8" x14ac:dyDescent="0.35">
      <c r="A625" s="2" t="s">
        <v>1615</v>
      </c>
      <c r="B625" s="2" t="s">
        <v>1616</v>
      </c>
      <c r="C625" s="2" t="s">
        <v>1617</v>
      </c>
      <c r="D625" t="s">
        <v>5740</v>
      </c>
      <c r="E625" t="s">
        <v>6870</v>
      </c>
      <c r="F625" t="s">
        <v>12</v>
      </c>
      <c r="G625" t="s">
        <v>0</v>
      </c>
      <c r="H625" s="1">
        <f>DATE(2022,4,22)</f>
        <v>44673</v>
      </c>
    </row>
    <row r="626" spans="1:8" x14ac:dyDescent="0.35">
      <c r="A626" s="2" t="s">
        <v>1618</v>
      </c>
      <c r="B626" s="2" t="s">
        <v>1619</v>
      </c>
      <c r="D626" t="s">
        <v>5387</v>
      </c>
      <c r="E626" t="e">
        <v>#VALUE!</v>
      </c>
      <c r="F626" t="s">
        <v>12</v>
      </c>
      <c r="G626" t="s">
        <v>0</v>
      </c>
      <c r="H626" s="1">
        <f>DATE(2023,12,7)</f>
        <v>45267</v>
      </c>
    </row>
    <row r="627" spans="1:8" x14ac:dyDescent="0.35">
      <c r="A627" s="2" t="s">
        <v>1620</v>
      </c>
      <c r="B627" s="2" t="s">
        <v>1621</v>
      </c>
      <c r="C627" s="2" t="s">
        <v>1622</v>
      </c>
      <c r="D627" t="s">
        <v>5741</v>
      </c>
      <c r="E627" t="s">
        <v>6871</v>
      </c>
      <c r="F627" t="s">
        <v>12</v>
      </c>
      <c r="G627" t="s">
        <v>0</v>
      </c>
      <c r="H627" s="1">
        <f>DATE(2024,1,5)</f>
        <v>45296</v>
      </c>
    </row>
    <row r="628" spans="1:8" x14ac:dyDescent="0.35">
      <c r="A628" s="2" t="s">
        <v>1623</v>
      </c>
      <c r="B628" s="2" t="s">
        <v>1624</v>
      </c>
      <c r="C628" s="2" t="s">
        <v>1625</v>
      </c>
      <c r="D628" t="s">
        <v>5742</v>
      </c>
      <c r="E628" t="s">
        <v>6872</v>
      </c>
      <c r="F628" t="s">
        <v>12</v>
      </c>
      <c r="G628" t="s">
        <v>0</v>
      </c>
      <c r="H628" s="1">
        <f>DATE(2023,3,14)</f>
        <v>44999</v>
      </c>
    </row>
    <row r="629" spans="1:8" x14ac:dyDescent="0.35">
      <c r="A629" s="2" t="s">
        <v>1626</v>
      </c>
      <c r="B629" s="2" t="s">
        <v>1627</v>
      </c>
      <c r="C629" s="2" t="s">
        <v>1628</v>
      </c>
      <c r="D629" t="s">
        <v>5743</v>
      </c>
      <c r="E629" t="s">
        <v>6873</v>
      </c>
      <c r="F629" t="s">
        <v>12</v>
      </c>
      <c r="G629" t="s">
        <v>0</v>
      </c>
      <c r="H629" s="1">
        <f>DATE(2022,5,4)</f>
        <v>44685</v>
      </c>
    </row>
    <row r="630" spans="1:8" x14ac:dyDescent="0.35">
      <c r="A630" s="2" t="s">
        <v>1629</v>
      </c>
      <c r="B630" s="2" t="s">
        <v>1630</v>
      </c>
      <c r="D630" t="s">
        <v>5387</v>
      </c>
      <c r="E630" t="e">
        <v>#VALUE!</v>
      </c>
      <c r="F630" t="s">
        <v>12</v>
      </c>
      <c r="G630" t="s">
        <v>0</v>
      </c>
      <c r="H630" s="1">
        <f>DATE(2022,5,4)</f>
        <v>44685</v>
      </c>
    </row>
    <row r="631" spans="1:8" x14ac:dyDescent="0.35">
      <c r="A631" s="2" t="s">
        <v>1631</v>
      </c>
      <c r="B631" s="2" t="s">
        <v>1632</v>
      </c>
      <c r="C631" s="2" t="s">
        <v>1633</v>
      </c>
      <c r="D631" t="s">
        <v>5744</v>
      </c>
      <c r="E631" t="s">
        <v>6874</v>
      </c>
      <c r="F631" t="s">
        <v>12</v>
      </c>
      <c r="G631" t="s">
        <v>0</v>
      </c>
      <c r="H631" s="1">
        <f>DATE(2022,5,5)</f>
        <v>44686</v>
      </c>
    </row>
    <row r="632" spans="1:8" x14ac:dyDescent="0.35">
      <c r="A632" s="2" t="s">
        <v>1634</v>
      </c>
      <c r="B632" s="2" t="s">
        <v>1635</v>
      </c>
      <c r="C632" s="2" t="s">
        <v>1636</v>
      </c>
      <c r="D632" t="s">
        <v>5745</v>
      </c>
      <c r="E632" t="s">
        <v>6875</v>
      </c>
      <c r="F632" t="s">
        <v>12</v>
      </c>
      <c r="G632" t="s">
        <v>0</v>
      </c>
      <c r="H632" s="1">
        <f>DATE(2022,5,5)</f>
        <v>44686</v>
      </c>
    </row>
    <row r="633" spans="1:8" x14ac:dyDescent="0.35">
      <c r="A633" s="2" t="s">
        <v>1637</v>
      </c>
      <c r="B633" s="2" t="s">
        <v>1638</v>
      </c>
      <c r="C633" s="2" t="s">
        <v>1639</v>
      </c>
      <c r="D633" t="s">
        <v>5746</v>
      </c>
      <c r="E633" t="s">
        <v>6876</v>
      </c>
      <c r="F633" t="s">
        <v>12</v>
      </c>
      <c r="G633" t="s">
        <v>0</v>
      </c>
      <c r="H633" s="1">
        <f>DATE(2023,10,30)</f>
        <v>45229</v>
      </c>
    </row>
    <row r="634" spans="1:8" x14ac:dyDescent="0.35">
      <c r="A634" s="2" t="s">
        <v>1640</v>
      </c>
      <c r="B634" s="2" t="s">
        <v>1641</v>
      </c>
      <c r="C634" s="2" t="s">
        <v>1642</v>
      </c>
      <c r="D634" t="s">
        <v>5747</v>
      </c>
      <c r="E634" t="s">
        <v>6877</v>
      </c>
      <c r="F634" t="s">
        <v>12</v>
      </c>
      <c r="G634" t="s">
        <v>0</v>
      </c>
      <c r="H634" s="1">
        <f>DATE(2023,7,3)</f>
        <v>45110</v>
      </c>
    </row>
    <row r="635" spans="1:8" x14ac:dyDescent="0.35">
      <c r="A635" s="2" t="s">
        <v>1643</v>
      </c>
      <c r="B635" s="2" t="s">
        <v>1644</v>
      </c>
      <c r="C635" s="2" t="s">
        <v>1645</v>
      </c>
      <c r="D635" t="s">
        <v>5748</v>
      </c>
      <c r="E635" t="s">
        <v>6878</v>
      </c>
      <c r="F635" t="s">
        <v>12</v>
      </c>
      <c r="G635" t="s">
        <v>0</v>
      </c>
      <c r="H635" s="1">
        <f t="shared" ref="H635:H643" si="8">DATE(2022,5,9)</f>
        <v>44690</v>
      </c>
    </row>
    <row r="636" spans="1:8" x14ac:dyDescent="0.35">
      <c r="A636" s="2" t="s">
        <v>1646</v>
      </c>
      <c r="B636" s="2" t="s">
        <v>1647</v>
      </c>
      <c r="C636" s="2" t="s">
        <v>1648</v>
      </c>
      <c r="D636" t="s">
        <v>5749</v>
      </c>
      <c r="E636" t="s">
        <v>6879</v>
      </c>
      <c r="F636" t="s">
        <v>12</v>
      </c>
      <c r="G636" t="s">
        <v>0</v>
      </c>
      <c r="H636" s="1">
        <f t="shared" si="8"/>
        <v>44690</v>
      </c>
    </row>
    <row r="637" spans="1:8" x14ac:dyDescent="0.35">
      <c r="A637" s="2" t="s">
        <v>1649</v>
      </c>
      <c r="B637" s="2" t="s">
        <v>1650</v>
      </c>
      <c r="C637" s="2" t="s">
        <v>1651</v>
      </c>
      <c r="D637" t="s">
        <v>5750</v>
      </c>
      <c r="E637" t="s">
        <v>6880</v>
      </c>
      <c r="F637" t="s">
        <v>12</v>
      </c>
      <c r="G637" t="s">
        <v>0</v>
      </c>
      <c r="H637" s="1">
        <f t="shared" si="8"/>
        <v>44690</v>
      </c>
    </row>
    <row r="638" spans="1:8" x14ac:dyDescent="0.35">
      <c r="A638" s="2" t="s">
        <v>1652</v>
      </c>
      <c r="B638" s="2" t="s">
        <v>1653</v>
      </c>
      <c r="C638" s="2" t="s">
        <v>1654</v>
      </c>
      <c r="D638" t="s">
        <v>5751</v>
      </c>
      <c r="E638" t="s">
        <v>6881</v>
      </c>
      <c r="F638" t="s">
        <v>12</v>
      </c>
      <c r="G638" t="s">
        <v>0</v>
      </c>
      <c r="H638" s="1">
        <f t="shared" si="8"/>
        <v>44690</v>
      </c>
    </row>
    <row r="639" spans="1:8" x14ac:dyDescent="0.35">
      <c r="A639" s="2" t="s">
        <v>1655</v>
      </c>
      <c r="B639" s="2" t="s">
        <v>1656</v>
      </c>
      <c r="C639" s="2" t="s">
        <v>1657</v>
      </c>
      <c r="D639" t="s">
        <v>5752</v>
      </c>
      <c r="E639" t="s">
        <v>6882</v>
      </c>
      <c r="F639" t="s">
        <v>12</v>
      </c>
      <c r="G639" t="s">
        <v>0</v>
      </c>
      <c r="H639" s="1">
        <f t="shared" si="8"/>
        <v>44690</v>
      </c>
    </row>
    <row r="640" spans="1:8" x14ac:dyDescent="0.35">
      <c r="A640" s="2" t="s">
        <v>1658</v>
      </c>
      <c r="B640" s="2" t="s">
        <v>1659</v>
      </c>
      <c r="C640" s="2" t="s">
        <v>1660</v>
      </c>
      <c r="D640" t="s">
        <v>5753</v>
      </c>
      <c r="E640" t="s">
        <v>6883</v>
      </c>
      <c r="F640" t="s">
        <v>12</v>
      </c>
      <c r="G640" t="s">
        <v>0</v>
      </c>
      <c r="H640" s="1">
        <f t="shared" si="8"/>
        <v>44690</v>
      </c>
    </row>
    <row r="641" spans="1:8" x14ac:dyDescent="0.35">
      <c r="A641" s="2" t="s">
        <v>1661</v>
      </c>
      <c r="B641" s="2" t="s">
        <v>1662</v>
      </c>
      <c r="C641" s="2" t="s">
        <v>1663</v>
      </c>
      <c r="D641" t="s">
        <v>5754</v>
      </c>
      <c r="E641" t="s">
        <v>6884</v>
      </c>
      <c r="F641" t="s">
        <v>12</v>
      </c>
      <c r="G641" t="s">
        <v>0</v>
      </c>
      <c r="H641" s="1">
        <f t="shared" si="8"/>
        <v>44690</v>
      </c>
    </row>
    <row r="642" spans="1:8" x14ac:dyDescent="0.35">
      <c r="A642" s="2" t="s">
        <v>1664</v>
      </c>
      <c r="B642" s="2" t="s">
        <v>1665</v>
      </c>
      <c r="C642" s="2" t="s">
        <v>1666</v>
      </c>
      <c r="D642" t="s">
        <v>5755</v>
      </c>
      <c r="E642" t="s">
        <v>6885</v>
      </c>
      <c r="F642" t="s">
        <v>12</v>
      </c>
      <c r="G642" t="s">
        <v>0</v>
      </c>
      <c r="H642" s="1">
        <f t="shared" si="8"/>
        <v>44690</v>
      </c>
    </row>
    <row r="643" spans="1:8" x14ac:dyDescent="0.35">
      <c r="A643" s="2" t="s">
        <v>1667</v>
      </c>
      <c r="B643" s="2" t="s">
        <v>1668</v>
      </c>
      <c r="C643" s="2" t="s">
        <v>1669</v>
      </c>
      <c r="D643" t="s">
        <v>5756</v>
      </c>
      <c r="E643" t="s">
        <v>6886</v>
      </c>
      <c r="F643" t="s">
        <v>12</v>
      </c>
      <c r="G643" t="s">
        <v>0</v>
      </c>
      <c r="H643" s="1">
        <f t="shared" si="8"/>
        <v>44690</v>
      </c>
    </row>
    <row r="644" spans="1:8" x14ac:dyDescent="0.35">
      <c r="A644" s="2" t="s">
        <v>1670</v>
      </c>
      <c r="B644" s="2" t="s">
        <v>1671</v>
      </c>
      <c r="C644" s="2" t="s">
        <v>1672</v>
      </c>
      <c r="D644" t="s">
        <v>5757</v>
      </c>
      <c r="E644" t="s">
        <v>6887</v>
      </c>
      <c r="F644" t="s">
        <v>12</v>
      </c>
      <c r="G644" t="s">
        <v>0</v>
      </c>
      <c r="H644" s="1">
        <f>DATE(2023,10,30)</f>
        <v>45229</v>
      </c>
    </row>
    <row r="645" spans="1:8" x14ac:dyDescent="0.35">
      <c r="A645" s="2" t="s">
        <v>1673</v>
      </c>
      <c r="B645" s="2" t="s">
        <v>1674</v>
      </c>
      <c r="C645" s="2" t="s">
        <v>1675</v>
      </c>
      <c r="D645" t="s">
        <v>5758</v>
      </c>
      <c r="E645" t="s">
        <v>6888</v>
      </c>
      <c r="F645" t="s">
        <v>12</v>
      </c>
      <c r="G645" t="s">
        <v>0</v>
      </c>
      <c r="H645" s="1">
        <f>DATE(2022,5,9)</f>
        <v>44690</v>
      </c>
    </row>
    <row r="646" spans="1:8" x14ac:dyDescent="0.35">
      <c r="A646" s="2" t="s">
        <v>1676</v>
      </c>
      <c r="B646" s="2" t="s">
        <v>1677</v>
      </c>
      <c r="C646" s="2" t="s">
        <v>1678</v>
      </c>
      <c r="D646" t="s">
        <v>5759</v>
      </c>
      <c r="E646" t="s">
        <v>6889</v>
      </c>
      <c r="F646" t="s">
        <v>12</v>
      </c>
      <c r="G646" t="s">
        <v>0</v>
      </c>
      <c r="H646" s="1">
        <f>DATE(2022,5,9)</f>
        <v>44690</v>
      </c>
    </row>
    <row r="647" spans="1:8" x14ac:dyDescent="0.35">
      <c r="A647" s="2" t="s">
        <v>1679</v>
      </c>
      <c r="B647" s="2" t="s">
        <v>1680</v>
      </c>
      <c r="C647" s="2" t="s">
        <v>1681</v>
      </c>
      <c r="D647" t="s">
        <v>5760</v>
      </c>
      <c r="E647" t="s">
        <v>6890</v>
      </c>
      <c r="F647" t="s">
        <v>12</v>
      </c>
      <c r="G647" t="s">
        <v>0</v>
      </c>
      <c r="H647" s="1">
        <f>DATE(2022,7,22)</f>
        <v>44764</v>
      </c>
    </row>
    <row r="648" spans="1:8" x14ac:dyDescent="0.35">
      <c r="A648" s="2" t="s">
        <v>1682</v>
      </c>
      <c r="B648" s="2" t="s">
        <v>1683</v>
      </c>
      <c r="C648" s="2" t="s">
        <v>1684</v>
      </c>
      <c r="D648" t="s">
        <v>5761</v>
      </c>
      <c r="E648" t="s">
        <v>6891</v>
      </c>
      <c r="F648" t="s">
        <v>12</v>
      </c>
      <c r="G648" t="s">
        <v>0</v>
      </c>
      <c r="H648" s="1">
        <f>DATE(2022,10,14)</f>
        <v>44848</v>
      </c>
    </row>
    <row r="649" spans="1:8" x14ac:dyDescent="0.35">
      <c r="A649" s="2" t="s">
        <v>1685</v>
      </c>
      <c r="B649" s="2" t="s">
        <v>1686</v>
      </c>
      <c r="C649" s="2" t="s">
        <v>1687</v>
      </c>
      <c r="D649" t="s">
        <v>5762</v>
      </c>
      <c r="E649" t="s">
        <v>6892</v>
      </c>
      <c r="F649" t="s">
        <v>12</v>
      </c>
      <c r="G649" t="s">
        <v>0</v>
      </c>
      <c r="H649" s="1">
        <f>DATE(2022,10,14)</f>
        <v>44848</v>
      </c>
    </row>
    <row r="650" spans="1:8" x14ac:dyDescent="0.35">
      <c r="A650" s="2" t="s">
        <v>1688</v>
      </c>
      <c r="B650" s="2" t="s">
        <v>1689</v>
      </c>
      <c r="C650" s="2" t="s">
        <v>1690</v>
      </c>
      <c r="D650" t="s">
        <v>5763</v>
      </c>
      <c r="E650" t="s">
        <v>6893</v>
      </c>
      <c r="F650" t="s">
        <v>12</v>
      </c>
      <c r="G650" t="s">
        <v>0</v>
      </c>
      <c r="H650" s="1">
        <f>DATE(2022,10,14)</f>
        <v>44848</v>
      </c>
    </row>
    <row r="651" spans="1:8" x14ac:dyDescent="0.35">
      <c r="A651" s="2" t="s">
        <v>1691</v>
      </c>
      <c r="B651" s="2" t="s">
        <v>1692</v>
      </c>
      <c r="C651" s="2" t="s">
        <v>1693</v>
      </c>
      <c r="D651" t="s">
        <v>5764</v>
      </c>
      <c r="E651" t="s">
        <v>6894</v>
      </c>
      <c r="F651" t="s">
        <v>12</v>
      </c>
      <c r="G651" t="s">
        <v>0</v>
      </c>
      <c r="H651" s="1">
        <f>DATE(2022,5,17)</f>
        <v>44698</v>
      </c>
    </row>
    <row r="652" spans="1:8" x14ac:dyDescent="0.35">
      <c r="A652" s="2" t="s">
        <v>1694</v>
      </c>
      <c r="B652" s="2" t="s">
        <v>1695</v>
      </c>
      <c r="C652" s="2" t="s">
        <v>1696</v>
      </c>
      <c r="D652" t="s">
        <v>5765</v>
      </c>
      <c r="E652" t="s">
        <v>6895</v>
      </c>
      <c r="F652" t="s">
        <v>12</v>
      </c>
      <c r="G652" t="s">
        <v>0</v>
      </c>
      <c r="H652" s="1">
        <f>DATE(2022,6,15)</f>
        <v>44727</v>
      </c>
    </row>
    <row r="653" spans="1:8" x14ac:dyDescent="0.35">
      <c r="A653" s="2" t="s">
        <v>1697</v>
      </c>
      <c r="B653" s="2" t="s">
        <v>1698</v>
      </c>
      <c r="D653" t="s">
        <v>5387</v>
      </c>
      <c r="E653" t="e">
        <v>#VALUE!</v>
      </c>
      <c r="F653" t="s">
        <v>12</v>
      </c>
      <c r="G653" t="s">
        <v>0</v>
      </c>
      <c r="H653" s="1">
        <f>DATE(2022,5,17)</f>
        <v>44698</v>
      </c>
    </row>
    <row r="654" spans="1:8" x14ac:dyDescent="0.35">
      <c r="A654" s="2" t="s">
        <v>1699</v>
      </c>
      <c r="B654" s="2" t="s">
        <v>1700</v>
      </c>
      <c r="D654" t="s">
        <v>5387</v>
      </c>
      <c r="E654" t="e">
        <v>#VALUE!</v>
      </c>
      <c r="F654" t="s">
        <v>12</v>
      </c>
      <c r="G654" t="s">
        <v>0</v>
      </c>
      <c r="H654" s="1">
        <f>DATE(2022,11,9)</f>
        <v>44874</v>
      </c>
    </row>
    <row r="655" spans="1:8" x14ac:dyDescent="0.35">
      <c r="A655" s="2" t="s">
        <v>1701</v>
      </c>
      <c r="B655" s="2" t="s">
        <v>1702</v>
      </c>
      <c r="C655" s="2" t="s">
        <v>1703</v>
      </c>
      <c r="D655" t="s">
        <v>5766</v>
      </c>
      <c r="E655" t="s">
        <v>6896</v>
      </c>
      <c r="F655" t="s">
        <v>12</v>
      </c>
      <c r="G655" t="s">
        <v>0</v>
      </c>
      <c r="H655" s="1">
        <f>DATE(2022,2,1)</f>
        <v>44593</v>
      </c>
    </row>
    <row r="656" spans="1:8" x14ac:dyDescent="0.35">
      <c r="A656" s="2" t="s">
        <v>1704</v>
      </c>
      <c r="B656" s="2" t="s">
        <v>1705</v>
      </c>
      <c r="C656" s="2" t="s">
        <v>1706</v>
      </c>
      <c r="D656" t="s">
        <v>5767</v>
      </c>
      <c r="E656" t="s">
        <v>6897</v>
      </c>
      <c r="F656" t="s">
        <v>12</v>
      </c>
      <c r="G656" t="s">
        <v>0</v>
      </c>
      <c r="H656" s="1">
        <f>DATE(2022,4,4)</f>
        <v>44655</v>
      </c>
    </row>
    <row r="657" spans="1:8" x14ac:dyDescent="0.35">
      <c r="A657" s="2" t="s">
        <v>1707</v>
      </c>
      <c r="B657" s="2" t="s">
        <v>1708</v>
      </c>
      <c r="C657" s="2" t="s">
        <v>1709</v>
      </c>
      <c r="D657" t="s">
        <v>5768</v>
      </c>
      <c r="E657" t="s">
        <v>6898</v>
      </c>
      <c r="F657" t="s">
        <v>12</v>
      </c>
      <c r="G657" t="s">
        <v>0</v>
      </c>
      <c r="H657" s="1">
        <f>DATE(2023,9,28)</f>
        <v>45197</v>
      </c>
    </row>
    <row r="658" spans="1:8" x14ac:dyDescent="0.35">
      <c r="A658" s="2" t="s">
        <v>1710</v>
      </c>
      <c r="B658" s="2" t="s">
        <v>1711</v>
      </c>
      <c r="C658" s="2" t="s">
        <v>1712</v>
      </c>
      <c r="D658" t="s">
        <v>5769</v>
      </c>
      <c r="E658" t="s">
        <v>6899</v>
      </c>
      <c r="F658" t="s">
        <v>12</v>
      </c>
      <c r="G658" t="s">
        <v>0</v>
      </c>
      <c r="H658" s="1">
        <f>DATE(2023,3,7)</f>
        <v>44992</v>
      </c>
    </row>
    <row r="659" spans="1:8" x14ac:dyDescent="0.35">
      <c r="A659" s="2" t="s">
        <v>1713</v>
      </c>
      <c r="B659" s="2" t="s">
        <v>1714</v>
      </c>
      <c r="C659" s="2" t="s">
        <v>1715</v>
      </c>
      <c r="D659" t="s">
        <v>5770</v>
      </c>
      <c r="E659" t="s">
        <v>6900</v>
      </c>
      <c r="F659" t="s">
        <v>12</v>
      </c>
      <c r="G659" t="s">
        <v>0</v>
      </c>
      <c r="H659" s="1">
        <f>DATE(2022,2,3)</f>
        <v>44595</v>
      </c>
    </row>
    <row r="660" spans="1:8" x14ac:dyDescent="0.35">
      <c r="A660" s="2" t="s">
        <v>1716</v>
      </c>
      <c r="B660" s="2" t="s">
        <v>1717</v>
      </c>
      <c r="D660" t="s">
        <v>5387</v>
      </c>
      <c r="E660" t="e">
        <v>#VALUE!</v>
      </c>
      <c r="F660" t="s">
        <v>12</v>
      </c>
      <c r="G660" t="s">
        <v>0</v>
      </c>
      <c r="H660" s="1">
        <f>DATE(2022,2,3)</f>
        <v>44595</v>
      </c>
    </row>
    <row r="661" spans="1:8" x14ac:dyDescent="0.35">
      <c r="A661" s="2" t="s">
        <v>1718</v>
      </c>
      <c r="B661" s="2" t="s">
        <v>1719</v>
      </c>
      <c r="C661" s="2" t="s">
        <v>1720</v>
      </c>
      <c r="D661" t="s">
        <v>5771</v>
      </c>
      <c r="E661" t="s">
        <v>6901</v>
      </c>
      <c r="F661" t="s">
        <v>12</v>
      </c>
      <c r="G661" t="s">
        <v>0</v>
      </c>
      <c r="H661" s="1">
        <f>DATE(2022,3,9)</f>
        <v>44629</v>
      </c>
    </row>
    <row r="662" spans="1:8" x14ac:dyDescent="0.35">
      <c r="A662" s="2" t="s">
        <v>1721</v>
      </c>
      <c r="B662" s="2" t="s">
        <v>1722</v>
      </c>
      <c r="D662" t="s">
        <v>5387</v>
      </c>
      <c r="E662" t="e">
        <v>#VALUE!</v>
      </c>
      <c r="F662" t="s">
        <v>12</v>
      </c>
      <c r="G662" t="s">
        <v>0</v>
      </c>
      <c r="H662" s="1">
        <f>DATE(2022,6,14)</f>
        <v>44726</v>
      </c>
    </row>
    <row r="663" spans="1:8" x14ac:dyDescent="0.35">
      <c r="A663" s="2" t="s">
        <v>1723</v>
      </c>
      <c r="B663" s="2" t="s">
        <v>1724</v>
      </c>
      <c r="D663" t="s">
        <v>5387</v>
      </c>
      <c r="E663" t="e">
        <v>#VALUE!</v>
      </c>
      <c r="F663" t="s">
        <v>12</v>
      </c>
      <c r="G663" t="s">
        <v>0</v>
      </c>
      <c r="H663" s="1">
        <f>DATE(2022,2,3)</f>
        <v>44595</v>
      </c>
    </row>
    <row r="664" spans="1:8" x14ac:dyDescent="0.35">
      <c r="A664" s="2" t="s">
        <v>1725</v>
      </c>
      <c r="B664" s="2" t="s">
        <v>1726</v>
      </c>
      <c r="D664" t="s">
        <v>5387</v>
      </c>
      <c r="E664" t="e">
        <v>#VALUE!</v>
      </c>
      <c r="F664" t="s">
        <v>12</v>
      </c>
      <c r="G664" t="s">
        <v>0</v>
      </c>
      <c r="H664" s="1">
        <f>DATE(2023,11,9)</f>
        <v>45239</v>
      </c>
    </row>
    <row r="665" spans="1:8" x14ac:dyDescent="0.35">
      <c r="A665" s="2" t="s">
        <v>1727</v>
      </c>
      <c r="B665" s="2" t="s">
        <v>1728</v>
      </c>
      <c r="C665" s="2" t="s">
        <v>1729</v>
      </c>
      <c r="D665" t="s">
        <v>5772</v>
      </c>
      <c r="E665" t="s">
        <v>6902</v>
      </c>
      <c r="F665" t="s">
        <v>12</v>
      </c>
      <c r="G665" t="s">
        <v>0</v>
      </c>
      <c r="H665" s="1">
        <f>DATE(2023,3,14)</f>
        <v>44999</v>
      </c>
    </row>
    <row r="666" spans="1:8" x14ac:dyDescent="0.35">
      <c r="A666" s="2" t="s">
        <v>1730</v>
      </c>
      <c r="B666" s="2" t="s">
        <v>1731</v>
      </c>
      <c r="D666" t="s">
        <v>5387</v>
      </c>
      <c r="E666" t="e">
        <v>#VALUE!</v>
      </c>
      <c r="F666" t="s">
        <v>12</v>
      </c>
      <c r="G666" t="s">
        <v>0</v>
      </c>
      <c r="H666" s="1">
        <f>DATE(2023,11,22)</f>
        <v>45252</v>
      </c>
    </row>
    <row r="667" spans="1:8" x14ac:dyDescent="0.35">
      <c r="A667" s="2" t="s">
        <v>1732</v>
      </c>
      <c r="B667" s="2" t="s">
        <v>1733</v>
      </c>
      <c r="D667" t="s">
        <v>5387</v>
      </c>
      <c r="E667" t="e">
        <v>#VALUE!</v>
      </c>
      <c r="F667" t="s">
        <v>12</v>
      </c>
      <c r="G667" t="s">
        <v>0</v>
      </c>
      <c r="H667" s="1">
        <f>DATE(2023,9,29)</f>
        <v>45198</v>
      </c>
    </row>
    <row r="668" spans="1:8" x14ac:dyDescent="0.35">
      <c r="A668" s="2" t="s">
        <v>1734</v>
      </c>
      <c r="B668" s="2" t="s">
        <v>1735</v>
      </c>
      <c r="C668" s="2" t="s">
        <v>1736</v>
      </c>
      <c r="D668" t="s">
        <v>5773</v>
      </c>
      <c r="E668" t="s">
        <v>6903</v>
      </c>
      <c r="F668" t="s">
        <v>12</v>
      </c>
      <c r="G668" t="s">
        <v>0</v>
      </c>
      <c r="H668" s="1">
        <f>DATE(2022,2,11)</f>
        <v>44603</v>
      </c>
    </row>
    <row r="669" spans="1:8" x14ac:dyDescent="0.35">
      <c r="A669" s="2" t="s">
        <v>1737</v>
      </c>
      <c r="B669" s="2" t="s">
        <v>1738</v>
      </c>
      <c r="C669" s="2" t="s">
        <v>1739</v>
      </c>
      <c r="D669" t="s">
        <v>5774</v>
      </c>
      <c r="E669" t="s">
        <v>6904</v>
      </c>
      <c r="F669" t="s">
        <v>12</v>
      </c>
      <c r="G669" t="s">
        <v>0</v>
      </c>
      <c r="H669" s="1">
        <f>DATE(2022,2,13)</f>
        <v>44605</v>
      </c>
    </row>
    <row r="670" spans="1:8" x14ac:dyDescent="0.35">
      <c r="A670" s="2" t="s">
        <v>1740</v>
      </c>
      <c r="B670" s="2" t="s">
        <v>1741</v>
      </c>
      <c r="C670" s="2" t="s">
        <v>1742</v>
      </c>
      <c r="D670" t="s">
        <v>5775</v>
      </c>
      <c r="E670" t="s">
        <v>6905</v>
      </c>
      <c r="F670" t="s">
        <v>12</v>
      </c>
      <c r="G670" t="s">
        <v>0</v>
      </c>
      <c r="H670" s="1">
        <f>DATE(2022,2,13)</f>
        <v>44605</v>
      </c>
    </row>
    <row r="671" spans="1:8" x14ac:dyDescent="0.35">
      <c r="A671" s="2" t="s">
        <v>1743</v>
      </c>
      <c r="B671" s="2" t="s">
        <v>1744</v>
      </c>
      <c r="C671" s="2" t="s">
        <v>1745</v>
      </c>
      <c r="D671" t="s">
        <v>5776</v>
      </c>
      <c r="E671" t="s">
        <v>6906</v>
      </c>
      <c r="F671" t="s">
        <v>12</v>
      </c>
      <c r="G671" t="s">
        <v>0</v>
      </c>
      <c r="H671" s="1">
        <f>DATE(2022,5,30)</f>
        <v>44711</v>
      </c>
    </row>
    <row r="672" spans="1:8" x14ac:dyDescent="0.35">
      <c r="A672" s="2" t="s">
        <v>1746</v>
      </c>
      <c r="B672" s="2" t="s">
        <v>1747</v>
      </c>
      <c r="C672" s="2" t="s">
        <v>1748</v>
      </c>
      <c r="D672" t="s">
        <v>5777</v>
      </c>
      <c r="E672" t="s">
        <v>6907</v>
      </c>
      <c r="F672" t="s">
        <v>12</v>
      </c>
      <c r="G672" t="s">
        <v>0</v>
      </c>
      <c r="H672" s="1">
        <f>DATE(2022,2,13)</f>
        <v>44605</v>
      </c>
    </row>
    <row r="673" spans="1:8" x14ac:dyDescent="0.35">
      <c r="A673" s="2" t="s">
        <v>1749</v>
      </c>
      <c r="B673" s="2" t="s">
        <v>1750</v>
      </c>
      <c r="C673" s="2" t="s">
        <v>1751</v>
      </c>
      <c r="D673" t="s">
        <v>5778</v>
      </c>
      <c r="E673" t="s">
        <v>6908</v>
      </c>
      <c r="F673" t="s">
        <v>12</v>
      </c>
      <c r="G673" t="s">
        <v>0</v>
      </c>
      <c r="H673" s="1">
        <f>DATE(2022,2,13)</f>
        <v>44605</v>
      </c>
    </row>
    <row r="674" spans="1:8" x14ac:dyDescent="0.35">
      <c r="A674" s="2" t="s">
        <v>1752</v>
      </c>
      <c r="B674" s="2" t="s">
        <v>1753</v>
      </c>
      <c r="C674" s="2" t="s">
        <v>1754</v>
      </c>
      <c r="D674" t="s">
        <v>5779</v>
      </c>
      <c r="E674" t="s">
        <v>6909</v>
      </c>
      <c r="F674" t="s">
        <v>12</v>
      </c>
      <c r="G674" t="s">
        <v>0</v>
      </c>
      <c r="H674" s="1">
        <f>DATE(2022,2,13)</f>
        <v>44605</v>
      </c>
    </row>
    <row r="675" spans="1:8" x14ac:dyDescent="0.35">
      <c r="A675" s="2" t="s">
        <v>1755</v>
      </c>
      <c r="B675" s="2" t="s">
        <v>1756</v>
      </c>
      <c r="C675" s="2" t="s">
        <v>1757</v>
      </c>
      <c r="D675" t="s">
        <v>5780</v>
      </c>
      <c r="E675" t="s">
        <v>6910</v>
      </c>
      <c r="F675" t="s">
        <v>12</v>
      </c>
      <c r="G675" t="s">
        <v>0</v>
      </c>
      <c r="H675" s="1">
        <f>DATE(2022,2,13)</f>
        <v>44605</v>
      </c>
    </row>
    <row r="676" spans="1:8" x14ac:dyDescent="0.35">
      <c r="A676" s="2" t="s">
        <v>1758</v>
      </c>
      <c r="B676" s="2" t="s">
        <v>1759</v>
      </c>
      <c r="C676" s="2" t="s">
        <v>1760</v>
      </c>
      <c r="D676" t="s">
        <v>5781</v>
      </c>
      <c r="E676" t="s">
        <v>6911</v>
      </c>
      <c r="F676" t="s">
        <v>12</v>
      </c>
      <c r="G676" t="s">
        <v>0</v>
      </c>
      <c r="H676" s="1">
        <f>DATE(2022,2,13)</f>
        <v>44605</v>
      </c>
    </row>
    <row r="677" spans="1:8" x14ac:dyDescent="0.35">
      <c r="A677" s="2" t="s">
        <v>1761</v>
      </c>
      <c r="B677" s="2" t="s">
        <v>1762</v>
      </c>
      <c r="C677" s="2" t="s">
        <v>1763</v>
      </c>
      <c r="D677" t="s">
        <v>5782</v>
      </c>
      <c r="E677" t="s">
        <v>6912</v>
      </c>
      <c r="F677" t="s">
        <v>12</v>
      </c>
      <c r="G677" t="s">
        <v>0</v>
      </c>
      <c r="H677" s="1">
        <f>DATE(2022,11,4)</f>
        <v>44869</v>
      </c>
    </row>
    <row r="678" spans="1:8" x14ac:dyDescent="0.35">
      <c r="A678" s="2" t="s">
        <v>1764</v>
      </c>
      <c r="B678" s="2" t="s">
        <v>1765</v>
      </c>
      <c r="D678" t="s">
        <v>5387</v>
      </c>
      <c r="E678" t="e">
        <v>#VALUE!</v>
      </c>
      <c r="F678" t="s">
        <v>12</v>
      </c>
      <c r="G678" t="s">
        <v>0</v>
      </c>
      <c r="H678" s="1">
        <f>DATE(2022,2,14)</f>
        <v>44606</v>
      </c>
    </row>
    <row r="679" spans="1:8" x14ac:dyDescent="0.35">
      <c r="A679" s="2" t="s">
        <v>1766</v>
      </c>
      <c r="B679" s="2" t="s">
        <v>1767</v>
      </c>
      <c r="D679" t="s">
        <v>5387</v>
      </c>
      <c r="E679" t="e">
        <v>#VALUE!</v>
      </c>
      <c r="F679" t="s">
        <v>12</v>
      </c>
      <c r="G679" t="s">
        <v>0</v>
      </c>
      <c r="H679" s="1">
        <f>DATE(2022,2,14)</f>
        <v>44606</v>
      </c>
    </row>
    <row r="680" spans="1:8" x14ac:dyDescent="0.35">
      <c r="A680" s="2" t="s">
        <v>1768</v>
      </c>
      <c r="B680" s="2" t="s">
        <v>1769</v>
      </c>
      <c r="D680" t="s">
        <v>5387</v>
      </c>
      <c r="E680" t="e">
        <v>#VALUE!</v>
      </c>
      <c r="F680" t="s">
        <v>12</v>
      </c>
      <c r="G680" t="s">
        <v>0</v>
      </c>
      <c r="H680" s="1">
        <f>DATE(2022,2,16)</f>
        <v>44608</v>
      </c>
    </row>
    <row r="681" spans="1:8" x14ac:dyDescent="0.35">
      <c r="A681" s="2" t="s">
        <v>1770</v>
      </c>
      <c r="B681" s="2" t="s">
        <v>1771</v>
      </c>
      <c r="C681" s="2" t="s">
        <v>1772</v>
      </c>
      <c r="D681" t="s">
        <v>5783</v>
      </c>
      <c r="E681" t="s">
        <v>6913</v>
      </c>
      <c r="F681" t="s">
        <v>12</v>
      </c>
      <c r="G681" t="s">
        <v>0</v>
      </c>
      <c r="H681" s="1">
        <f>DATE(2022,7,1)</f>
        <v>44743</v>
      </c>
    </row>
    <row r="682" spans="1:8" x14ac:dyDescent="0.35">
      <c r="A682" s="2" t="s">
        <v>1773</v>
      </c>
      <c r="B682" s="2" t="s">
        <v>1774</v>
      </c>
      <c r="C682" s="2" t="s">
        <v>1775</v>
      </c>
      <c r="D682" t="s">
        <v>5784</v>
      </c>
      <c r="E682" t="s">
        <v>6914</v>
      </c>
      <c r="F682" t="s">
        <v>12</v>
      </c>
      <c r="G682" t="s">
        <v>0</v>
      </c>
      <c r="H682" s="1">
        <f>DATE(2022,2,18)</f>
        <v>44610</v>
      </c>
    </row>
    <row r="683" spans="1:8" x14ac:dyDescent="0.35">
      <c r="A683" s="2" t="s">
        <v>1776</v>
      </c>
      <c r="B683" s="2" t="s">
        <v>1777</v>
      </c>
      <c r="C683" s="2" t="s">
        <v>1778</v>
      </c>
      <c r="D683" t="s">
        <v>5785</v>
      </c>
      <c r="E683" t="s">
        <v>6915</v>
      </c>
      <c r="F683" t="s">
        <v>12</v>
      </c>
      <c r="G683" t="s">
        <v>0</v>
      </c>
      <c r="H683" s="1">
        <f>DATE(2023,11,29)</f>
        <v>45259</v>
      </c>
    </row>
    <row r="684" spans="1:8" x14ac:dyDescent="0.35">
      <c r="A684" s="2" t="s">
        <v>1779</v>
      </c>
      <c r="B684" s="2" t="s">
        <v>1780</v>
      </c>
      <c r="C684" s="2" t="s">
        <v>1781</v>
      </c>
      <c r="D684" t="s">
        <v>5786</v>
      </c>
      <c r="E684" t="s">
        <v>6916</v>
      </c>
      <c r="F684" t="s">
        <v>12</v>
      </c>
      <c r="G684" t="s">
        <v>0</v>
      </c>
      <c r="H684" s="1">
        <f>DATE(2023,10,11)</f>
        <v>45210</v>
      </c>
    </row>
    <row r="685" spans="1:8" x14ac:dyDescent="0.35">
      <c r="A685" s="2" t="s">
        <v>1782</v>
      </c>
      <c r="B685" s="2" t="s">
        <v>1783</v>
      </c>
      <c r="D685" t="s">
        <v>5387</v>
      </c>
      <c r="E685" t="e">
        <v>#VALUE!</v>
      </c>
      <c r="F685" t="s">
        <v>12</v>
      </c>
      <c r="G685" t="s">
        <v>0</v>
      </c>
      <c r="H685" s="1">
        <f>DATE(2022,4,1)</f>
        <v>44652</v>
      </c>
    </row>
    <row r="686" spans="1:8" x14ac:dyDescent="0.35">
      <c r="A686" s="2" t="s">
        <v>1784</v>
      </c>
      <c r="B686" s="2" t="s">
        <v>1785</v>
      </c>
      <c r="C686" s="2" t="s">
        <v>1786</v>
      </c>
      <c r="D686" t="s">
        <v>5787</v>
      </c>
      <c r="E686" t="s">
        <v>6917</v>
      </c>
      <c r="F686" t="s">
        <v>12</v>
      </c>
      <c r="G686" t="s">
        <v>0</v>
      </c>
      <c r="H686" s="1">
        <f>DATE(2023,8,29)</f>
        <v>45167</v>
      </c>
    </row>
    <row r="687" spans="1:8" x14ac:dyDescent="0.35">
      <c r="A687" s="2" t="s">
        <v>1787</v>
      </c>
      <c r="B687" s="2" t="s">
        <v>1788</v>
      </c>
      <c r="D687" t="s">
        <v>5387</v>
      </c>
      <c r="E687" t="e">
        <v>#VALUE!</v>
      </c>
      <c r="F687" t="s">
        <v>12</v>
      </c>
      <c r="G687" t="s">
        <v>0</v>
      </c>
      <c r="H687" s="1">
        <f>DATE(2023,6,8)</f>
        <v>45085</v>
      </c>
    </row>
    <row r="688" spans="1:8" x14ac:dyDescent="0.35">
      <c r="A688" s="2" t="s">
        <v>1789</v>
      </c>
      <c r="B688" s="2" t="s">
        <v>1790</v>
      </c>
      <c r="C688" s="2" t="s">
        <v>1791</v>
      </c>
      <c r="D688" t="s">
        <v>5788</v>
      </c>
      <c r="E688" t="s">
        <v>6918</v>
      </c>
      <c r="F688" t="s">
        <v>12</v>
      </c>
      <c r="G688" t="s">
        <v>0</v>
      </c>
      <c r="H688" s="1">
        <f>DATE(2022,3,4)</f>
        <v>44624</v>
      </c>
    </row>
    <row r="689" spans="1:8" x14ac:dyDescent="0.35">
      <c r="A689" s="2" t="s">
        <v>1792</v>
      </c>
      <c r="B689" s="2" t="s">
        <v>1793</v>
      </c>
      <c r="C689" s="2" t="s">
        <v>1794</v>
      </c>
      <c r="D689" t="s">
        <v>5789</v>
      </c>
      <c r="E689" t="s">
        <v>6919</v>
      </c>
      <c r="F689" t="s">
        <v>12</v>
      </c>
      <c r="G689" t="s">
        <v>0</v>
      </c>
      <c r="H689" s="1">
        <f>DATE(2022,2,28)</f>
        <v>44620</v>
      </c>
    </row>
    <row r="690" spans="1:8" x14ac:dyDescent="0.35">
      <c r="A690" s="2" t="s">
        <v>1795</v>
      </c>
      <c r="B690" s="2" t="s">
        <v>1796</v>
      </c>
      <c r="C690" s="2" t="s">
        <v>1797</v>
      </c>
      <c r="D690" t="s">
        <v>5790</v>
      </c>
      <c r="E690" t="s">
        <v>6920</v>
      </c>
      <c r="F690" t="s">
        <v>12</v>
      </c>
      <c r="G690" t="s">
        <v>0</v>
      </c>
      <c r="H690" s="1">
        <f>DATE(2022,11,3)</f>
        <v>44868</v>
      </c>
    </row>
    <row r="691" spans="1:8" x14ac:dyDescent="0.35">
      <c r="A691" s="2" t="s">
        <v>1798</v>
      </c>
      <c r="B691" s="2" t="s">
        <v>1799</v>
      </c>
      <c r="C691" s="2" t="s">
        <v>1800</v>
      </c>
      <c r="D691" t="s">
        <v>5791</v>
      </c>
      <c r="E691" t="s">
        <v>6921</v>
      </c>
      <c r="F691" t="s">
        <v>12</v>
      </c>
      <c r="G691" t="s">
        <v>0</v>
      </c>
      <c r="H691" s="1">
        <f>DATE(2022,3,1)</f>
        <v>44621</v>
      </c>
    </row>
    <row r="692" spans="1:8" x14ac:dyDescent="0.35">
      <c r="A692" s="2" t="s">
        <v>1801</v>
      </c>
      <c r="B692" s="2" t="s">
        <v>1802</v>
      </c>
      <c r="C692" s="2" t="s">
        <v>1803</v>
      </c>
      <c r="D692" t="s">
        <v>5792</v>
      </c>
      <c r="E692" t="s">
        <v>6922</v>
      </c>
      <c r="F692" t="s">
        <v>12</v>
      </c>
      <c r="G692" t="s">
        <v>0</v>
      </c>
      <c r="H692" s="1">
        <f>DATE(2022,6,20)</f>
        <v>44732</v>
      </c>
    </row>
    <row r="693" spans="1:8" x14ac:dyDescent="0.35">
      <c r="A693" s="2" t="s">
        <v>1804</v>
      </c>
      <c r="B693" s="2" t="s">
        <v>1805</v>
      </c>
      <c r="C693" s="2" t="s">
        <v>1806</v>
      </c>
      <c r="D693" t="s">
        <v>5793</v>
      </c>
      <c r="E693" t="s">
        <v>6923</v>
      </c>
      <c r="F693" t="s">
        <v>12</v>
      </c>
      <c r="G693" t="s">
        <v>0</v>
      </c>
      <c r="H693" s="1">
        <f>DATE(2022,3,3)</f>
        <v>44623</v>
      </c>
    </row>
    <row r="694" spans="1:8" x14ac:dyDescent="0.35">
      <c r="A694" s="2" t="s">
        <v>1807</v>
      </c>
      <c r="B694" s="2" t="s">
        <v>1808</v>
      </c>
      <c r="D694" t="s">
        <v>5387</v>
      </c>
      <c r="E694" t="e">
        <v>#VALUE!</v>
      </c>
      <c r="F694" t="s">
        <v>12</v>
      </c>
      <c r="G694" t="s">
        <v>0</v>
      </c>
      <c r="H694" s="1">
        <f>DATE(2022,3,4)</f>
        <v>44624</v>
      </c>
    </row>
    <row r="695" spans="1:8" x14ac:dyDescent="0.35">
      <c r="A695" s="2" t="s">
        <v>1809</v>
      </c>
      <c r="B695" s="2" t="s">
        <v>1810</v>
      </c>
      <c r="D695" t="s">
        <v>5387</v>
      </c>
      <c r="E695" t="e">
        <v>#VALUE!</v>
      </c>
      <c r="F695" t="s">
        <v>12</v>
      </c>
      <c r="G695" t="s">
        <v>0</v>
      </c>
      <c r="H695" s="1">
        <f>DATE(2022,3,4)</f>
        <v>44624</v>
      </c>
    </row>
    <row r="696" spans="1:8" x14ac:dyDescent="0.35">
      <c r="A696" s="2" t="s">
        <v>1811</v>
      </c>
      <c r="B696" s="2" t="s">
        <v>1812</v>
      </c>
      <c r="C696" s="2" t="s">
        <v>1813</v>
      </c>
      <c r="D696" t="s">
        <v>5794</v>
      </c>
      <c r="E696" t="s">
        <v>6924</v>
      </c>
      <c r="F696" t="s">
        <v>12</v>
      </c>
      <c r="G696" t="s">
        <v>0</v>
      </c>
      <c r="H696" s="1">
        <f>DATE(2022,3,8)</f>
        <v>44628</v>
      </c>
    </row>
    <row r="697" spans="1:8" x14ac:dyDescent="0.35">
      <c r="A697" s="2" t="s">
        <v>1814</v>
      </c>
      <c r="B697" s="2" t="s">
        <v>1815</v>
      </c>
      <c r="C697" s="2" t="s">
        <v>1816</v>
      </c>
      <c r="D697" t="s">
        <v>5795</v>
      </c>
      <c r="E697" t="s">
        <v>6925</v>
      </c>
      <c r="F697" t="s">
        <v>12</v>
      </c>
      <c r="G697" t="s">
        <v>0</v>
      </c>
      <c r="H697" s="1">
        <f>DATE(2022,3,8)</f>
        <v>44628</v>
      </c>
    </row>
    <row r="698" spans="1:8" x14ac:dyDescent="0.35">
      <c r="A698" s="2" t="s">
        <v>1817</v>
      </c>
      <c r="B698" s="2" t="s">
        <v>1818</v>
      </c>
      <c r="C698" s="2" t="s">
        <v>1819</v>
      </c>
      <c r="D698" t="s">
        <v>5796</v>
      </c>
      <c r="E698" t="s">
        <v>6926</v>
      </c>
      <c r="F698" t="s">
        <v>12</v>
      </c>
      <c r="G698" t="s">
        <v>0</v>
      </c>
      <c r="H698" s="1">
        <f>DATE(2022,3,8)</f>
        <v>44628</v>
      </c>
    </row>
    <row r="699" spans="1:8" x14ac:dyDescent="0.35">
      <c r="A699" s="2" t="s">
        <v>1820</v>
      </c>
      <c r="B699" s="2" t="s">
        <v>1821</v>
      </c>
      <c r="C699" s="2" t="s">
        <v>1822</v>
      </c>
      <c r="D699" t="s">
        <v>5797</v>
      </c>
      <c r="E699" t="s">
        <v>6927</v>
      </c>
      <c r="F699" t="s">
        <v>12</v>
      </c>
      <c r="G699" t="s">
        <v>0</v>
      </c>
      <c r="H699" s="1">
        <f>DATE(2023,3,9)</f>
        <v>44994</v>
      </c>
    </row>
    <row r="700" spans="1:8" x14ac:dyDescent="0.35">
      <c r="A700" s="2" t="s">
        <v>1823</v>
      </c>
      <c r="B700" s="2" t="s">
        <v>1824</v>
      </c>
      <c r="C700" s="2" t="s">
        <v>1825</v>
      </c>
      <c r="D700" t="s">
        <v>5798</v>
      </c>
      <c r="E700" t="s">
        <v>6928</v>
      </c>
      <c r="F700" t="s">
        <v>12</v>
      </c>
      <c r="G700" t="s">
        <v>0</v>
      </c>
      <c r="H700" s="1">
        <f>DATE(2022,3,8)</f>
        <v>44628</v>
      </c>
    </row>
    <row r="701" spans="1:8" x14ac:dyDescent="0.35">
      <c r="A701" s="2" t="s">
        <v>1826</v>
      </c>
      <c r="B701" s="2" t="s">
        <v>1827</v>
      </c>
      <c r="C701" s="2" t="s">
        <v>1828</v>
      </c>
      <c r="D701" t="s">
        <v>5799</v>
      </c>
      <c r="E701" t="s">
        <v>6929</v>
      </c>
      <c r="F701" t="s">
        <v>12</v>
      </c>
      <c r="G701" t="s">
        <v>0</v>
      </c>
      <c r="H701" s="1">
        <f>DATE(2022,3,9)</f>
        <v>44629</v>
      </c>
    </row>
    <row r="702" spans="1:8" x14ac:dyDescent="0.35">
      <c r="A702" s="2" t="s">
        <v>1829</v>
      </c>
      <c r="B702" s="2" t="s">
        <v>1830</v>
      </c>
      <c r="C702" s="2" t="s">
        <v>1831</v>
      </c>
      <c r="D702" t="s">
        <v>5800</v>
      </c>
      <c r="E702" t="s">
        <v>6930</v>
      </c>
      <c r="F702" t="s">
        <v>12</v>
      </c>
      <c r="G702" t="s">
        <v>0</v>
      </c>
      <c r="H702" s="1">
        <f>DATE(2022,3,9)</f>
        <v>44629</v>
      </c>
    </row>
    <row r="703" spans="1:8" x14ac:dyDescent="0.35">
      <c r="A703" s="2" t="s">
        <v>1832</v>
      </c>
      <c r="B703" s="2" t="s">
        <v>1833</v>
      </c>
      <c r="C703" s="2" t="s">
        <v>1834</v>
      </c>
      <c r="D703" t="s">
        <v>5801</v>
      </c>
      <c r="E703" t="s">
        <v>6931</v>
      </c>
      <c r="F703" t="s">
        <v>12</v>
      </c>
      <c r="G703" t="s">
        <v>0</v>
      </c>
      <c r="H703" s="1">
        <f>DATE(2022,3,9)</f>
        <v>44629</v>
      </c>
    </row>
    <row r="704" spans="1:8" x14ac:dyDescent="0.35">
      <c r="A704" s="2" t="s">
        <v>1835</v>
      </c>
      <c r="B704" s="2" t="s">
        <v>1836</v>
      </c>
      <c r="C704" s="2" t="s">
        <v>1837</v>
      </c>
      <c r="D704" t="s">
        <v>5802</v>
      </c>
      <c r="E704" t="s">
        <v>6932</v>
      </c>
      <c r="F704" t="s">
        <v>12</v>
      </c>
      <c r="G704" t="s">
        <v>0</v>
      </c>
      <c r="H704" s="1">
        <f>DATE(2022,3,9)</f>
        <v>44629</v>
      </c>
    </row>
    <row r="705" spans="1:8" x14ac:dyDescent="0.35">
      <c r="A705" s="2" t="s">
        <v>1838</v>
      </c>
      <c r="B705" s="2" t="s">
        <v>1839</v>
      </c>
      <c r="C705" s="2" t="s">
        <v>1840</v>
      </c>
      <c r="D705" t="s">
        <v>5803</v>
      </c>
      <c r="E705" t="s">
        <v>6933</v>
      </c>
      <c r="F705" t="s">
        <v>12</v>
      </c>
      <c r="G705" t="s">
        <v>0</v>
      </c>
      <c r="H705" s="1">
        <f>DATE(2023,3,14)</f>
        <v>44999</v>
      </c>
    </row>
    <row r="706" spans="1:8" x14ac:dyDescent="0.35">
      <c r="A706" s="2" t="s">
        <v>1841</v>
      </c>
      <c r="B706" s="2" t="s">
        <v>1842</v>
      </c>
      <c r="C706" s="2" t="s">
        <v>1843</v>
      </c>
      <c r="D706" t="s">
        <v>5804</v>
      </c>
      <c r="E706" t="s">
        <v>6934</v>
      </c>
      <c r="F706" t="s">
        <v>12</v>
      </c>
      <c r="G706" t="s">
        <v>0</v>
      </c>
      <c r="H706" s="1">
        <f>DATE(2022,3,23)</f>
        <v>44643</v>
      </c>
    </row>
    <row r="707" spans="1:8" x14ac:dyDescent="0.35">
      <c r="A707" s="2" t="s">
        <v>1844</v>
      </c>
      <c r="B707" s="2" t="s">
        <v>1845</v>
      </c>
      <c r="C707" s="2" t="s">
        <v>1846</v>
      </c>
      <c r="D707" t="s">
        <v>5805</v>
      </c>
      <c r="E707" t="s">
        <v>6935</v>
      </c>
      <c r="F707" t="s">
        <v>12</v>
      </c>
      <c r="G707" t="s">
        <v>0</v>
      </c>
      <c r="H707" s="1">
        <f>DATE(2022,3,10)</f>
        <v>44630</v>
      </c>
    </row>
    <row r="708" spans="1:8" x14ac:dyDescent="0.35">
      <c r="A708" s="2" t="s">
        <v>1847</v>
      </c>
      <c r="B708" s="2" t="s">
        <v>1848</v>
      </c>
      <c r="D708" t="s">
        <v>5387</v>
      </c>
      <c r="E708" t="e">
        <v>#VALUE!</v>
      </c>
      <c r="F708" t="s">
        <v>12</v>
      </c>
      <c r="G708" t="s">
        <v>0</v>
      </c>
      <c r="H708" s="1">
        <f>DATE(2022,3,11)</f>
        <v>44631</v>
      </c>
    </row>
    <row r="709" spans="1:8" x14ac:dyDescent="0.35">
      <c r="A709" s="2" t="s">
        <v>1849</v>
      </c>
      <c r="B709" s="2" t="s">
        <v>1850</v>
      </c>
      <c r="C709" s="2" t="s">
        <v>1851</v>
      </c>
      <c r="D709" t="s">
        <v>5806</v>
      </c>
      <c r="E709" t="s">
        <v>6936</v>
      </c>
      <c r="F709" t="s">
        <v>12</v>
      </c>
      <c r="G709" t="s">
        <v>0</v>
      </c>
      <c r="H709" s="1">
        <f>DATE(2022,3,14)</f>
        <v>44634</v>
      </c>
    </row>
    <row r="710" spans="1:8" x14ac:dyDescent="0.35">
      <c r="A710" s="2" t="s">
        <v>1852</v>
      </c>
      <c r="B710" s="2" t="s">
        <v>1853</v>
      </c>
      <c r="C710" s="2" t="s">
        <v>1854</v>
      </c>
      <c r="D710" t="s">
        <v>5807</v>
      </c>
      <c r="E710" t="s">
        <v>6937</v>
      </c>
      <c r="F710" t="s">
        <v>12</v>
      </c>
      <c r="G710" t="s">
        <v>0</v>
      </c>
      <c r="H710" s="1">
        <f>DATE(2022,3,14)</f>
        <v>44634</v>
      </c>
    </row>
    <row r="711" spans="1:8" x14ac:dyDescent="0.35">
      <c r="A711" s="2" t="s">
        <v>1855</v>
      </c>
      <c r="B711" s="2" t="s">
        <v>1856</v>
      </c>
      <c r="C711" s="2" t="s">
        <v>1857</v>
      </c>
      <c r="D711" t="s">
        <v>5808</v>
      </c>
      <c r="E711" t="s">
        <v>6938</v>
      </c>
      <c r="F711" t="s">
        <v>12</v>
      </c>
      <c r="G711" t="s">
        <v>0</v>
      </c>
      <c r="H711" s="1">
        <f>DATE(2022,3,14)</f>
        <v>44634</v>
      </c>
    </row>
    <row r="712" spans="1:8" x14ac:dyDescent="0.35">
      <c r="A712" s="2" t="s">
        <v>1858</v>
      </c>
      <c r="B712" s="2" t="s">
        <v>1859</v>
      </c>
      <c r="C712" s="2" t="s">
        <v>1860</v>
      </c>
      <c r="D712" t="s">
        <v>5809</v>
      </c>
      <c r="E712" t="s">
        <v>6939</v>
      </c>
      <c r="F712" t="s">
        <v>12</v>
      </c>
      <c r="G712" t="s">
        <v>0</v>
      </c>
      <c r="H712" s="1">
        <f>DATE(2022,3,14)</f>
        <v>44634</v>
      </c>
    </row>
    <row r="713" spans="1:8" x14ac:dyDescent="0.35">
      <c r="A713" s="2" t="s">
        <v>1861</v>
      </c>
      <c r="B713" s="2" t="s">
        <v>1862</v>
      </c>
      <c r="C713" s="2" t="s">
        <v>1863</v>
      </c>
      <c r="D713" t="s">
        <v>5810</v>
      </c>
      <c r="E713" t="s">
        <v>6940</v>
      </c>
      <c r="F713" t="s">
        <v>12</v>
      </c>
      <c r="G713" t="s">
        <v>0</v>
      </c>
      <c r="H713" s="1">
        <f>DATE(2022,4,4)</f>
        <v>44655</v>
      </c>
    </row>
    <row r="714" spans="1:8" x14ac:dyDescent="0.35">
      <c r="A714" s="2" t="s">
        <v>1864</v>
      </c>
      <c r="B714" s="2" t="s">
        <v>1865</v>
      </c>
      <c r="C714" s="2" t="s">
        <v>1398</v>
      </c>
      <c r="D714" t="s">
        <v>5678</v>
      </c>
      <c r="E714" t="s">
        <v>6808</v>
      </c>
      <c r="F714" t="s">
        <v>12</v>
      </c>
      <c r="G714" t="s">
        <v>0</v>
      </c>
      <c r="H714" s="1">
        <f>DATE(2022,3,14)</f>
        <v>44634</v>
      </c>
    </row>
    <row r="715" spans="1:8" x14ac:dyDescent="0.35">
      <c r="A715" s="2" t="s">
        <v>1866</v>
      </c>
      <c r="B715" s="2" t="s">
        <v>1867</v>
      </c>
      <c r="C715" s="2" t="s">
        <v>1868</v>
      </c>
      <c r="D715" t="s">
        <v>5811</v>
      </c>
      <c r="E715" t="s">
        <v>6941</v>
      </c>
      <c r="F715" t="s">
        <v>12</v>
      </c>
      <c r="G715" t="s">
        <v>0</v>
      </c>
      <c r="H715" s="1">
        <f>DATE(2022,4,19)</f>
        <v>44670</v>
      </c>
    </row>
    <row r="716" spans="1:8" x14ac:dyDescent="0.35">
      <c r="A716" s="2" t="s">
        <v>1869</v>
      </c>
      <c r="B716" s="2" t="s">
        <v>1870</v>
      </c>
      <c r="C716" s="2" t="s">
        <v>1871</v>
      </c>
      <c r="D716" t="s">
        <v>5812</v>
      </c>
      <c r="E716" t="s">
        <v>6942</v>
      </c>
      <c r="F716" t="s">
        <v>12</v>
      </c>
      <c r="G716" t="s">
        <v>0</v>
      </c>
      <c r="H716" s="1">
        <f>DATE(2022,3,17)</f>
        <v>44637</v>
      </c>
    </row>
    <row r="717" spans="1:8" x14ac:dyDescent="0.35">
      <c r="A717" s="2" t="s">
        <v>1872</v>
      </c>
      <c r="B717" s="2" t="s">
        <v>1873</v>
      </c>
      <c r="C717" s="2" t="s">
        <v>1874</v>
      </c>
      <c r="D717" t="s">
        <v>5813</v>
      </c>
      <c r="E717" t="s">
        <v>6943</v>
      </c>
      <c r="F717" t="s">
        <v>12</v>
      </c>
      <c r="G717" t="s">
        <v>0</v>
      </c>
      <c r="H717" s="1">
        <f>DATE(2022,3,17)</f>
        <v>44637</v>
      </c>
    </row>
    <row r="718" spans="1:8" x14ac:dyDescent="0.35">
      <c r="A718" s="2" t="s">
        <v>1875</v>
      </c>
      <c r="B718" s="2" t="s">
        <v>1876</v>
      </c>
      <c r="C718" s="2" t="s">
        <v>1877</v>
      </c>
      <c r="D718" t="s">
        <v>5814</v>
      </c>
      <c r="E718" t="s">
        <v>6944</v>
      </c>
      <c r="F718" t="s">
        <v>12</v>
      </c>
      <c r="G718" t="s">
        <v>0</v>
      </c>
      <c r="H718" s="1">
        <f>DATE(2023,3,14)</f>
        <v>44999</v>
      </c>
    </row>
    <row r="719" spans="1:8" x14ac:dyDescent="0.35">
      <c r="A719" s="2" t="s">
        <v>1878</v>
      </c>
      <c r="B719" s="2" t="s">
        <v>1879</v>
      </c>
      <c r="C719" s="2" t="s">
        <v>1880</v>
      </c>
      <c r="D719" t="s">
        <v>5815</v>
      </c>
      <c r="E719" t="s">
        <v>6945</v>
      </c>
      <c r="F719" t="s">
        <v>12</v>
      </c>
      <c r="G719" t="s">
        <v>0</v>
      </c>
      <c r="H719" s="1">
        <f>DATE(2022,3,17)</f>
        <v>44637</v>
      </c>
    </row>
    <row r="720" spans="1:8" x14ac:dyDescent="0.35">
      <c r="A720" s="2" t="s">
        <v>1881</v>
      </c>
      <c r="B720" s="2" t="s">
        <v>1882</v>
      </c>
      <c r="C720" s="2" t="s">
        <v>1883</v>
      </c>
      <c r="D720" t="s">
        <v>5816</v>
      </c>
      <c r="E720" t="s">
        <v>6946</v>
      </c>
      <c r="F720" t="s">
        <v>12</v>
      </c>
      <c r="G720" t="s">
        <v>0</v>
      </c>
      <c r="H720" s="1">
        <f>DATE(2022,7,15)</f>
        <v>44757</v>
      </c>
    </row>
    <row r="721" spans="1:8" x14ac:dyDescent="0.35">
      <c r="A721" s="2" t="s">
        <v>1884</v>
      </c>
      <c r="B721" s="2" t="s">
        <v>1885</v>
      </c>
      <c r="C721" s="2" t="s">
        <v>1886</v>
      </c>
      <c r="D721" t="s">
        <v>5817</v>
      </c>
      <c r="E721" t="s">
        <v>6947</v>
      </c>
      <c r="F721" t="s">
        <v>12</v>
      </c>
      <c r="G721" t="s">
        <v>0</v>
      </c>
      <c r="H721" s="1">
        <f t="shared" ref="H721:H727" si="9">DATE(2022,3,17)</f>
        <v>44637</v>
      </c>
    </row>
    <row r="722" spans="1:8" x14ac:dyDescent="0.35">
      <c r="A722" s="2" t="s">
        <v>1887</v>
      </c>
      <c r="B722" s="2" t="s">
        <v>1888</v>
      </c>
      <c r="C722" s="2" t="s">
        <v>1889</v>
      </c>
      <c r="D722" t="s">
        <v>5818</v>
      </c>
      <c r="E722" t="s">
        <v>6948</v>
      </c>
      <c r="F722" t="s">
        <v>12</v>
      </c>
      <c r="G722" t="s">
        <v>0</v>
      </c>
      <c r="H722" s="1">
        <f t="shared" si="9"/>
        <v>44637</v>
      </c>
    </row>
    <row r="723" spans="1:8" x14ac:dyDescent="0.35">
      <c r="A723" s="2" t="s">
        <v>1890</v>
      </c>
      <c r="B723" s="2" t="s">
        <v>1891</v>
      </c>
      <c r="C723" s="2" t="s">
        <v>1892</v>
      </c>
      <c r="D723" t="s">
        <v>5819</v>
      </c>
      <c r="E723" t="s">
        <v>6949</v>
      </c>
      <c r="F723" t="s">
        <v>12</v>
      </c>
      <c r="G723" t="s">
        <v>0</v>
      </c>
      <c r="H723" s="1">
        <f t="shared" si="9"/>
        <v>44637</v>
      </c>
    </row>
    <row r="724" spans="1:8" x14ac:dyDescent="0.35">
      <c r="A724" s="2" t="s">
        <v>1893</v>
      </c>
      <c r="B724" s="2" t="s">
        <v>1894</v>
      </c>
      <c r="C724" s="2" t="s">
        <v>1895</v>
      </c>
      <c r="D724" t="s">
        <v>5820</v>
      </c>
      <c r="E724" t="s">
        <v>6950</v>
      </c>
      <c r="F724" t="s">
        <v>12</v>
      </c>
      <c r="G724" t="s">
        <v>0</v>
      </c>
      <c r="H724" s="1">
        <f t="shared" si="9"/>
        <v>44637</v>
      </c>
    </row>
    <row r="725" spans="1:8" x14ac:dyDescent="0.35">
      <c r="A725" s="2" t="s">
        <v>1896</v>
      </c>
      <c r="B725" s="2" t="s">
        <v>1897</v>
      </c>
      <c r="C725" s="2" t="s">
        <v>1898</v>
      </c>
      <c r="D725" t="s">
        <v>5821</v>
      </c>
      <c r="E725" t="s">
        <v>6951</v>
      </c>
      <c r="F725" t="s">
        <v>12</v>
      </c>
      <c r="G725" t="s">
        <v>0</v>
      </c>
      <c r="H725" s="1">
        <f t="shared" si="9"/>
        <v>44637</v>
      </c>
    </row>
    <row r="726" spans="1:8" x14ac:dyDescent="0.35">
      <c r="A726" s="2" t="s">
        <v>1899</v>
      </c>
      <c r="B726" s="2" t="s">
        <v>1900</v>
      </c>
      <c r="C726" s="2" t="s">
        <v>1901</v>
      </c>
      <c r="D726" t="s">
        <v>5822</v>
      </c>
      <c r="E726" t="s">
        <v>6952</v>
      </c>
      <c r="F726" t="s">
        <v>12</v>
      </c>
      <c r="G726" t="s">
        <v>0</v>
      </c>
      <c r="H726" s="1">
        <f t="shared" si="9"/>
        <v>44637</v>
      </c>
    </row>
    <row r="727" spans="1:8" x14ac:dyDescent="0.35">
      <c r="A727" s="2" t="s">
        <v>1902</v>
      </c>
      <c r="B727" s="2" t="s">
        <v>1903</v>
      </c>
      <c r="D727" t="s">
        <v>5387</v>
      </c>
      <c r="E727" t="e">
        <v>#VALUE!</v>
      </c>
      <c r="F727" t="s">
        <v>12</v>
      </c>
      <c r="G727" t="s">
        <v>0</v>
      </c>
      <c r="H727" s="1">
        <f t="shared" si="9"/>
        <v>44637</v>
      </c>
    </row>
    <row r="728" spans="1:8" x14ac:dyDescent="0.35">
      <c r="A728" s="2" t="s">
        <v>1904</v>
      </c>
      <c r="B728" s="2" t="s">
        <v>1905</v>
      </c>
      <c r="C728" s="2" t="s">
        <v>1906</v>
      </c>
      <c r="D728" t="s">
        <v>5823</v>
      </c>
      <c r="E728" t="s">
        <v>6953</v>
      </c>
      <c r="F728" t="s">
        <v>12</v>
      </c>
      <c r="G728" t="s">
        <v>0</v>
      </c>
      <c r="H728" s="1">
        <f>DATE(2022,7,13)</f>
        <v>44755</v>
      </c>
    </row>
    <row r="729" spans="1:8" x14ac:dyDescent="0.35">
      <c r="A729" s="2" t="s">
        <v>1907</v>
      </c>
      <c r="B729" s="2" t="s">
        <v>1908</v>
      </c>
      <c r="C729" s="2" t="s">
        <v>1909</v>
      </c>
      <c r="D729" t="s">
        <v>5824</v>
      </c>
      <c r="E729" t="s">
        <v>6954</v>
      </c>
      <c r="F729" t="s">
        <v>12</v>
      </c>
      <c r="G729" t="s">
        <v>0</v>
      </c>
      <c r="H729" s="1">
        <f>DATE(2022,3,17)</f>
        <v>44637</v>
      </c>
    </row>
    <row r="730" spans="1:8" x14ac:dyDescent="0.35">
      <c r="A730" s="2" t="s">
        <v>1910</v>
      </c>
      <c r="B730" s="2" t="s">
        <v>1911</v>
      </c>
      <c r="C730" s="2" t="s">
        <v>1912</v>
      </c>
      <c r="D730" t="s">
        <v>5825</v>
      </c>
      <c r="E730" t="s">
        <v>6955</v>
      </c>
      <c r="F730" t="s">
        <v>12</v>
      </c>
      <c r="G730" t="s">
        <v>0</v>
      </c>
      <c r="H730" s="1">
        <f>DATE(2022,3,17)</f>
        <v>44637</v>
      </c>
    </row>
    <row r="731" spans="1:8" x14ac:dyDescent="0.35">
      <c r="A731" s="2" t="s">
        <v>1913</v>
      </c>
      <c r="B731" s="2" t="s">
        <v>1914</v>
      </c>
      <c r="C731" s="2" t="s">
        <v>1915</v>
      </c>
      <c r="D731" t="s">
        <v>5826</v>
      </c>
      <c r="E731" t="s">
        <v>6956</v>
      </c>
      <c r="F731" t="s">
        <v>12</v>
      </c>
      <c r="G731" t="s">
        <v>0</v>
      </c>
      <c r="H731" s="1">
        <f>DATE(2023,3,14)</f>
        <v>44999</v>
      </c>
    </row>
    <row r="732" spans="1:8" x14ac:dyDescent="0.35">
      <c r="A732" s="2" t="s">
        <v>1916</v>
      </c>
      <c r="B732" s="2" t="s">
        <v>1917</v>
      </c>
      <c r="C732" s="2" t="s">
        <v>1918</v>
      </c>
      <c r="D732" t="s">
        <v>5827</v>
      </c>
      <c r="E732" t="s">
        <v>6957</v>
      </c>
      <c r="F732" t="s">
        <v>12</v>
      </c>
      <c r="G732" t="s">
        <v>0</v>
      </c>
      <c r="H732" s="1">
        <f>DATE(2023,3,14)</f>
        <v>44999</v>
      </c>
    </row>
    <row r="733" spans="1:8" x14ac:dyDescent="0.35">
      <c r="A733" s="2" t="s">
        <v>1919</v>
      </c>
      <c r="B733" s="2" t="s">
        <v>1920</v>
      </c>
      <c r="C733" s="2" t="s">
        <v>1921</v>
      </c>
      <c r="D733" t="s">
        <v>5828</v>
      </c>
      <c r="E733" t="s">
        <v>6958</v>
      </c>
      <c r="F733" t="s">
        <v>12</v>
      </c>
      <c r="G733" t="s">
        <v>0</v>
      </c>
      <c r="H733" s="1">
        <f>DATE(2022,3,17)</f>
        <v>44637</v>
      </c>
    </row>
    <row r="734" spans="1:8" x14ac:dyDescent="0.35">
      <c r="A734" s="2" t="s">
        <v>1922</v>
      </c>
      <c r="B734" s="2" t="s">
        <v>1923</v>
      </c>
      <c r="C734" s="2" t="s">
        <v>1924</v>
      </c>
      <c r="D734" t="s">
        <v>5829</v>
      </c>
      <c r="E734" t="s">
        <v>6959</v>
      </c>
      <c r="F734" t="s">
        <v>12</v>
      </c>
      <c r="G734" t="s">
        <v>0</v>
      </c>
      <c r="H734" s="1">
        <f>DATE(2022,3,17)</f>
        <v>44637</v>
      </c>
    </row>
    <row r="735" spans="1:8" x14ac:dyDescent="0.35">
      <c r="A735" s="2" t="s">
        <v>1925</v>
      </c>
      <c r="B735" s="2" t="s">
        <v>1926</v>
      </c>
      <c r="C735" s="2" t="s">
        <v>1927</v>
      </c>
      <c r="D735" t="s">
        <v>5830</v>
      </c>
      <c r="E735" t="s">
        <v>6960</v>
      </c>
      <c r="F735" t="s">
        <v>12</v>
      </c>
      <c r="G735" t="s">
        <v>0</v>
      </c>
      <c r="H735" s="1">
        <f>DATE(2022,9,22)</f>
        <v>44826</v>
      </c>
    </row>
    <row r="736" spans="1:8" x14ac:dyDescent="0.35">
      <c r="A736" s="2" t="s">
        <v>1928</v>
      </c>
      <c r="B736" s="2" t="s">
        <v>1929</v>
      </c>
      <c r="C736" s="2" t="s">
        <v>1930</v>
      </c>
      <c r="D736" t="s">
        <v>5831</v>
      </c>
      <c r="E736" t="s">
        <v>6961</v>
      </c>
      <c r="F736" t="s">
        <v>12</v>
      </c>
      <c r="G736" t="s">
        <v>0</v>
      </c>
      <c r="H736" s="1">
        <f>DATE(2022,3,18)</f>
        <v>44638</v>
      </c>
    </row>
    <row r="737" spans="1:8" x14ac:dyDescent="0.35">
      <c r="A737" s="2" t="s">
        <v>1931</v>
      </c>
      <c r="B737" s="2" t="s">
        <v>1932</v>
      </c>
      <c r="C737" s="2" t="s">
        <v>1933</v>
      </c>
      <c r="D737" t="s">
        <v>5832</v>
      </c>
      <c r="E737" t="s">
        <v>6962</v>
      </c>
      <c r="F737" t="s">
        <v>12</v>
      </c>
      <c r="G737" t="s">
        <v>0</v>
      </c>
      <c r="H737" s="1">
        <f>DATE(2022,3,22)</f>
        <v>44642</v>
      </c>
    </row>
    <row r="738" spans="1:8" x14ac:dyDescent="0.35">
      <c r="A738" s="2" t="s">
        <v>1934</v>
      </c>
      <c r="B738" s="2" t="s">
        <v>1935</v>
      </c>
      <c r="C738" s="2" t="s">
        <v>1936</v>
      </c>
      <c r="D738" t="s">
        <v>5833</v>
      </c>
      <c r="E738" t="s">
        <v>6963</v>
      </c>
      <c r="F738" t="s">
        <v>12</v>
      </c>
      <c r="G738" t="s">
        <v>0</v>
      </c>
      <c r="H738" s="1">
        <f>DATE(2022,3,23)</f>
        <v>44643</v>
      </c>
    </row>
    <row r="739" spans="1:8" x14ac:dyDescent="0.35">
      <c r="A739" s="2" t="s">
        <v>1937</v>
      </c>
      <c r="B739" s="2" t="s">
        <v>1938</v>
      </c>
      <c r="C739" s="2" t="s">
        <v>1939</v>
      </c>
      <c r="D739" t="s">
        <v>5834</v>
      </c>
      <c r="E739" t="s">
        <v>6964</v>
      </c>
      <c r="F739" t="s">
        <v>12</v>
      </c>
      <c r="G739" t="s">
        <v>0</v>
      </c>
      <c r="H739" s="1">
        <f>DATE(2022,3,23)</f>
        <v>44643</v>
      </c>
    </row>
    <row r="740" spans="1:8" x14ac:dyDescent="0.35">
      <c r="A740" s="2" t="s">
        <v>1940</v>
      </c>
      <c r="B740" s="2" t="s">
        <v>1941</v>
      </c>
      <c r="C740" s="2" t="s">
        <v>1942</v>
      </c>
      <c r="D740" t="s">
        <v>5835</v>
      </c>
      <c r="E740" t="s">
        <v>6965</v>
      </c>
      <c r="F740" t="s">
        <v>12</v>
      </c>
      <c r="G740" t="s">
        <v>0</v>
      </c>
      <c r="H740" s="1">
        <f>DATE(2022,3,23)</f>
        <v>44643</v>
      </c>
    </row>
    <row r="741" spans="1:8" x14ac:dyDescent="0.35">
      <c r="A741" s="2" t="s">
        <v>1943</v>
      </c>
      <c r="B741" s="2" t="s">
        <v>1944</v>
      </c>
      <c r="C741" s="2" t="s">
        <v>1945</v>
      </c>
      <c r="D741" t="s">
        <v>5836</v>
      </c>
      <c r="E741" t="s">
        <v>6966</v>
      </c>
      <c r="F741" t="s">
        <v>12</v>
      </c>
      <c r="G741" t="s">
        <v>0</v>
      </c>
      <c r="H741" s="1">
        <f>DATE(2023,12,11)</f>
        <v>45271</v>
      </c>
    </row>
    <row r="742" spans="1:8" x14ac:dyDescent="0.35">
      <c r="A742" s="2" t="s">
        <v>1946</v>
      </c>
      <c r="B742" s="2" t="s">
        <v>1947</v>
      </c>
      <c r="C742" s="2" t="s">
        <v>1948</v>
      </c>
      <c r="D742" t="s">
        <v>5837</v>
      </c>
      <c r="E742" t="s">
        <v>6967</v>
      </c>
      <c r="F742" t="s">
        <v>12</v>
      </c>
      <c r="G742" t="s">
        <v>0</v>
      </c>
      <c r="H742" s="1">
        <f>DATE(2023,7,18)</f>
        <v>45125</v>
      </c>
    </row>
    <row r="743" spans="1:8" x14ac:dyDescent="0.35">
      <c r="A743" s="2" t="s">
        <v>1949</v>
      </c>
      <c r="B743" s="2" t="s">
        <v>1950</v>
      </c>
      <c r="D743" t="s">
        <v>5387</v>
      </c>
      <c r="E743" t="e">
        <v>#VALUE!</v>
      </c>
      <c r="F743" t="s">
        <v>12</v>
      </c>
      <c r="G743" t="s">
        <v>0</v>
      </c>
      <c r="H743" s="1">
        <f>DATE(2022,3,23)</f>
        <v>44643</v>
      </c>
    </row>
    <row r="744" spans="1:8" x14ac:dyDescent="0.35">
      <c r="A744" s="2" t="s">
        <v>1951</v>
      </c>
      <c r="B744" s="2" t="s">
        <v>1952</v>
      </c>
      <c r="C744" s="2" t="s">
        <v>1953</v>
      </c>
      <c r="D744" t="s">
        <v>5838</v>
      </c>
      <c r="E744" t="s">
        <v>6968</v>
      </c>
      <c r="F744" t="s">
        <v>12</v>
      </c>
      <c r="G744" t="s">
        <v>0</v>
      </c>
      <c r="H744" s="1">
        <f>DATE(2022,12,2)</f>
        <v>44897</v>
      </c>
    </row>
    <row r="745" spans="1:8" x14ac:dyDescent="0.35">
      <c r="A745" s="2" t="s">
        <v>1954</v>
      </c>
      <c r="B745" s="2" t="s">
        <v>1955</v>
      </c>
      <c r="C745" s="2" t="s">
        <v>1956</v>
      </c>
      <c r="D745" t="s">
        <v>5839</v>
      </c>
      <c r="E745" t="s">
        <v>6969</v>
      </c>
      <c r="F745" t="s">
        <v>12</v>
      </c>
      <c r="G745" t="s">
        <v>0</v>
      </c>
      <c r="H745" s="1">
        <f>DATE(2023,12,28)</f>
        <v>45288</v>
      </c>
    </row>
    <row r="746" spans="1:8" x14ac:dyDescent="0.35">
      <c r="A746" s="2" t="s">
        <v>1957</v>
      </c>
      <c r="B746" s="2" t="s">
        <v>1635</v>
      </c>
      <c r="C746" s="2" t="s">
        <v>1958</v>
      </c>
      <c r="D746" t="s">
        <v>5745</v>
      </c>
      <c r="E746" t="s">
        <v>6875</v>
      </c>
      <c r="F746" t="s">
        <v>12</v>
      </c>
      <c r="G746" t="s">
        <v>0</v>
      </c>
      <c r="H746" s="1">
        <f>DATE(2022,3,25)</f>
        <v>44645</v>
      </c>
    </row>
    <row r="747" spans="1:8" x14ac:dyDescent="0.35">
      <c r="A747" s="2" t="s">
        <v>1959</v>
      </c>
      <c r="B747" s="2" t="s">
        <v>1960</v>
      </c>
      <c r="C747" s="2" t="s">
        <v>1961</v>
      </c>
      <c r="D747" t="s">
        <v>5840</v>
      </c>
      <c r="E747" t="s">
        <v>6970</v>
      </c>
      <c r="F747" t="s">
        <v>12</v>
      </c>
      <c r="G747" t="s">
        <v>0</v>
      </c>
      <c r="H747" s="1">
        <f>DATE(2022,3,25)</f>
        <v>44645</v>
      </c>
    </row>
    <row r="748" spans="1:8" x14ac:dyDescent="0.35">
      <c r="A748" s="2" t="s">
        <v>1962</v>
      </c>
      <c r="B748" s="2" t="s">
        <v>1963</v>
      </c>
      <c r="C748" s="2" t="s">
        <v>1964</v>
      </c>
      <c r="D748" t="s">
        <v>5841</v>
      </c>
      <c r="E748" t="s">
        <v>6971</v>
      </c>
      <c r="F748" t="s">
        <v>12</v>
      </c>
      <c r="G748" t="s">
        <v>0</v>
      </c>
      <c r="H748" s="1">
        <f>DATE(2022,3,25)</f>
        <v>44645</v>
      </c>
    </row>
    <row r="749" spans="1:8" x14ac:dyDescent="0.35">
      <c r="A749" s="2" t="s">
        <v>1965</v>
      </c>
      <c r="B749" s="2" t="s">
        <v>1966</v>
      </c>
      <c r="C749" s="2" t="s">
        <v>1967</v>
      </c>
      <c r="D749" t="s">
        <v>5842</v>
      </c>
      <c r="E749" t="s">
        <v>6972</v>
      </c>
      <c r="F749" t="s">
        <v>12</v>
      </c>
      <c r="G749" t="s">
        <v>0</v>
      </c>
      <c r="H749" s="1">
        <f>DATE(2022,3,25)</f>
        <v>44645</v>
      </c>
    </row>
    <row r="750" spans="1:8" x14ac:dyDescent="0.35">
      <c r="A750" s="2" t="s">
        <v>1968</v>
      </c>
      <c r="B750" s="2" t="s">
        <v>1969</v>
      </c>
      <c r="D750" t="s">
        <v>5387</v>
      </c>
      <c r="E750" t="e">
        <v>#VALUE!</v>
      </c>
      <c r="F750" t="s">
        <v>12</v>
      </c>
      <c r="G750" t="s">
        <v>0</v>
      </c>
      <c r="H750" s="1">
        <f>DATE(2022,3,29)</f>
        <v>44649</v>
      </c>
    </row>
    <row r="751" spans="1:8" x14ac:dyDescent="0.35">
      <c r="A751" s="2" t="s">
        <v>1970</v>
      </c>
      <c r="B751" s="2" t="s">
        <v>1971</v>
      </c>
      <c r="C751" s="2" t="s">
        <v>1972</v>
      </c>
      <c r="D751" t="s">
        <v>5843</v>
      </c>
      <c r="E751" t="s">
        <v>6973</v>
      </c>
      <c r="F751" t="s">
        <v>12</v>
      </c>
      <c r="G751" t="s">
        <v>0</v>
      </c>
      <c r="H751" s="1">
        <f>DATE(2023,10,11)</f>
        <v>45210</v>
      </c>
    </row>
    <row r="752" spans="1:8" x14ac:dyDescent="0.35">
      <c r="A752" s="2" t="s">
        <v>1973</v>
      </c>
      <c r="B752" s="2" t="s">
        <v>1974</v>
      </c>
      <c r="D752" t="s">
        <v>5387</v>
      </c>
      <c r="E752" t="e">
        <v>#VALUE!</v>
      </c>
      <c r="F752" t="s">
        <v>12</v>
      </c>
      <c r="G752" t="s">
        <v>0</v>
      </c>
      <c r="H752" s="1">
        <f>DATE(2022,3,29)</f>
        <v>44649</v>
      </c>
    </row>
    <row r="753" spans="1:8" x14ac:dyDescent="0.35">
      <c r="A753" s="2" t="s">
        <v>1975</v>
      </c>
      <c r="B753" s="2" t="s">
        <v>1976</v>
      </c>
      <c r="C753" s="2" t="s">
        <v>1977</v>
      </c>
      <c r="D753" t="s">
        <v>5844</v>
      </c>
      <c r="E753" t="s">
        <v>6974</v>
      </c>
      <c r="F753" t="s">
        <v>12</v>
      </c>
      <c r="G753" t="s">
        <v>0</v>
      </c>
      <c r="H753" s="1">
        <f>DATE(2022,3,31)</f>
        <v>44651</v>
      </c>
    </row>
    <row r="754" spans="1:8" x14ac:dyDescent="0.35">
      <c r="A754" s="2" t="s">
        <v>1978</v>
      </c>
      <c r="B754" s="2" t="s">
        <v>1979</v>
      </c>
      <c r="C754" s="2" t="s">
        <v>1980</v>
      </c>
      <c r="D754" t="s">
        <v>5845</v>
      </c>
      <c r="E754" t="s">
        <v>6975</v>
      </c>
      <c r="F754" t="s">
        <v>12</v>
      </c>
      <c r="G754" t="s">
        <v>0</v>
      </c>
      <c r="H754" s="1">
        <f>DATE(2022,7,26)</f>
        <v>44768</v>
      </c>
    </row>
    <row r="755" spans="1:8" x14ac:dyDescent="0.35">
      <c r="A755" s="2" t="s">
        <v>1981</v>
      </c>
      <c r="B755" s="2" t="s">
        <v>1982</v>
      </c>
      <c r="C755" s="2" t="s">
        <v>1983</v>
      </c>
      <c r="D755" t="s">
        <v>5846</v>
      </c>
      <c r="E755" t="s">
        <v>6976</v>
      </c>
      <c r="F755" t="s">
        <v>12</v>
      </c>
      <c r="G755" t="s">
        <v>0</v>
      </c>
      <c r="H755" s="1">
        <f>DATE(2022,7,22)</f>
        <v>44764</v>
      </c>
    </row>
    <row r="756" spans="1:8" x14ac:dyDescent="0.35">
      <c r="A756" s="2" t="s">
        <v>1984</v>
      </c>
      <c r="B756" s="2" t="s">
        <v>1985</v>
      </c>
      <c r="C756" s="2" t="s">
        <v>1986</v>
      </c>
      <c r="D756" t="s">
        <v>5847</v>
      </c>
      <c r="E756" t="s">
        <v>6977</v>
      </c>
      <c r="F756" t="s">
        <v>12</v>
      </c>
      <c r="G756" t="s">
        <v>0</v>
      </c>
      <c r="H756" s="1">
        <f>DATE(2023,3,14)</f>
        <v>44999</v>
      </c>
    </row>
    <row r="757" spans="1:8" x14ac:dyDescent="0.35">
      <c r="A757" s="2" t="s">
        <v>1987</v>
      </c>
      <c r="B757" s="2" t="s">
        <v>1988</v>
      </c>
      <c r="C757" s="2" t="s">
        <v>1989</v>
      </c>
      <c r="D757" t="s">
        <v>5848</v>
      </c>
      <c r="E757" t="s">
        <v>6978</v>
      </c>
      <c r="F757" t="s">
        <v>12</v>
      </c>
      <c r="G757" t="s">
        <v>0</v>
      </c>
      <c r="H757" s="1">
        <f>DATE(2023,1,11)</f>
        <v>44937</v>
      </c>
    </row>
    <row r="758" spans="1:8" x14ac:dyDescent="0.35">
      <c r="A758" s="2" t="s">
        <v>1990</v>
      </c>
      <c r="B758" s="2" t="s">
        <v>1991</v>
      </c>
      <c r="C758" s="2" t="s">
        <v>1992</v>
      </c>
      <c r="D758" t="s">
        <v>5849</v>
      </c>
      <c r="E758" t="s">
        <v>6979</v>
      </c>
      <c r="F758" t="s">
        <v>12</v>
      </c>
      <c r="G758" t="s">
        <v>0</v>
      </c>
      <c r="H758" s="1">
        <f>DATE(2023,1,12)</f>
        <v>44938</v>
      </c>
    </row>
    <row r="759" spans="1:8" x14ac:dyDescent="0.35">
      <c r="A759" s="2" t="s">
        <v>1993</v>
      </c>
      <c r="B759" s="2" t="s">
        <v>1994</v>
      </c>
      <c r="C759" s="2" t="s">
        <v>1995</v>
      </c>
      <c r="D759" t="s">
        <v>5850</v>
      </c>
      <c r="E759" t="s">
        <v>6980</v>
      </c>
      <c r="F759" t="s">
        <v>12</v>
      </c>
      <c r="G759" t="s">
        <v>0</v>
      </c>
      <c r="H759" s="1">
        <f>DATE(2023,1,16)</f>
        <v>44942</v>
      </c>
    </row>
    <row r="760" spans="1:8" x14ac:dyDescent="0.35">
      <c r="A760" s="2" t="s">
        <v>1996</v>
      </c>
      <c r="B760" s="2" t="s">
        <v>1997</v>
      </c>
      <c r="C760" s="2" t="s">
        <v>1998</v>
      </c>
      <c r="D760" t="s">
        <v>5851</v>
      </c>
      <c r="E760" t="s">
        <v>6981</v>
      </c>
      <c r="F760" t="s">
        <v>12</v>
      </c>
      <c r="G760" t="s">
        <v>0</v>
      </c>
      <c r="H760" s="1">
        <f>DATE(2024,1,18)</f>
        <v>45309</v>
      </c>
    </row>
    <row r="761" spans="1:8" x14ac:dyDescent="0.35">
      <c r="A761" s="2" t="s">
        <v>1999</v>
      </c>
      <c r="B761" s="2" t="s">
        <v>2000</v>
      </c>
      <c r="C761" s="2" t="s">
        <v>2001</v>
      </c>
      <c r="D761" t="s">
        <v>5852</v>
      </c>
      <c r="E761" t="s">
        <v>6982</v>
      </c>
      <c r="F761" t="s">
        <v>12</v>
      </c>
      <c r="G761" t="s">
        <v>0</v>
      </c>
      <c r="H761" s="1">
        <f>DATE(2023,1,18)</f>
        <v>44944</v>
      </c>
    </row>
    <row r="762" spans="1:8" x14ac:dyDescent="0.35">
      <c r="A762" s="2" t="s">
        <v>2002</v>
      </c>
      <c r="B762" s="2" t="s">
        <v>2003</v>
      </c>
      <c r="D762" t="s">
        <v>5387</v>
      </c>
      <c r="E762" t="e">
        <v>#VALUE!</v>
      </c>
      <c r="F762" t="s">
        <v>12</v>
      </c>
      <c r="G762" t="s">
        <v>0</v>
      </c>
      <c r="H762" s="1">
        <f>DATE(2023,1,18)</f>
        <v>44944</v>
      </c>
    </row>
    <row r="763" spans="1:8" x14ac:dyDescent="0.35">
      <c r="A763" s="2" t="s">
        <v>2004</v>
      </c>
      <c r="B763" s="2" t="s">
        <v>2005</v>
      </c>
      <c r="C763" s="2" t="s">
        <v>2006</v>
      </c>
      <c r="D763" t="s">
        <v>5853</v>
      </c>
      <c r="E763" t="s">
        <v>6983</v>
      </c>
      <c r="F763" t="s">
        <v>12</v>
      </c>
      <c r="G763" t="s">
        <v>0</v>
      </c>
      <c r="H763" s="1">
        <f>DATE(2023,10,30)</f>
        <v>45229</v>
      </c>
    </row>
    <row r="764" spans="1:8" x14ac:dyDescent="0.35">
      <c r="A764" s="2" t="s">
        <v>2007</v>
      </c>
      <c r="B764" s="2" t="s">
        <v>2008</v>
      </c>
      <c r="D764" t="s">
        <v>5387</v>
      </c>
      <c r="E764" t="e">
        <v>#VALUE!</v>
      </c>
      <c r="F764" t="s">
        <v>12</v>
      </c>
      <c r="G764" t="s">
        <v>0</v>
      </c>
      <c r="H764" s="1">
        <f>DATE(2023,1,19)</f>
        <v>44945</v>
      </c>
    </row>
    <row r="765" spans="1:8" x14ac:dyDescent="0.35">
      <c r="A765" s="2" t="s">
        <v>2009</v>
      </c>
      <c r="B765" s="2" t="s">
        <v>2010</v>
      </c>
      <c r="D765" t="s">
        <v>5387</v>
      </c>
      <c r="E765" t="e">
        <v>#VALUE!</v>
      </c>
      <c r="F765" t="s">
        <v>12</v>
      </c>
      <c r="G765" t="s">
        <v>0</v>
      </c>
      <c r="H765" s="1">
        <f>DATE(2023,1,19)</f>
        <v>44945</v>
      </c>
    </row>
    <row r="766" spans="1:8" x14ac:dyDescent="0.35">
      <c r="A766" s="2" t="s">
        <v>2011</v>
      </c>
      <c r="B766" s="2" t="s">
        <v>2012</v>
      </c>
      <c r="D766" t="s">
        <v>5387</v>
      </c>
      <c r="E766" t="e">
        <v>#VALUE!</v>
      </c>
      <c r="F766" t="s">
        <v>12</v>
      </c>
      <c r="G766" t="s">
        <v>0</v>
      </c>
      <c r="H766" s="1">
        <f>DATE(2023,1,31)</f>
        <v>44957</v>
      </c>
    </row>
    <row r="767" spans="1:8" x14ac:dyDescent="0.35">
      <c r="A767" s="2" t="s">
        <v>2013</v>
      </c>
      <c r="B767" s="2" t="s">
        <v>2014</v>
      </c>
      <c r="D767" t="s">
        <v>5387</v>
      </c>
      <c r="E767" t="e">
        <v>#VALUE!</v>
      </c>
      <c r="F767" t="s">
        <v>12</v>
      </c>
      <c r="G767" t="s">
        <v>0</v>
      </c>
      <c r="H767" s="1">
        <f>DATE(2023,10,6)</f>
        <v>45205</v>
      </c>
    </row>
    <row r="768" spans="1:8" x14ac:dyDescent="0.35">
      <c r="A768" s="2" t="s">
        <v>2015</v>
      </c>
      <c r="B768" s="2" t="s">
        <v>2016</v>
      </c>
      <c r="C768" s="2" t="s">
        <v>2017</v>
      </c>
      <c r="D768" t="s">
        <v>5854</v>
      </c>
      <c r="E768" t="s">
        <v>6984</v>
      </c>
      <c r="F768" t="s">
        <v>12</v>
      </c>
      <c r="G768" t="s">
        <v>0</v>
      </c>
      <c r="H768" s="1">
        <f>DATE(2023,3,28)</f>
        <v>45013</v>
      </c>
    </row>
    <row r="769" spans="1:8" x14ac:dyDescent="0.35">
      <c r="A769" s="2" t="s">
        <v>2018</v>
      </c>
      <c r="B769" s="2" t="s">
        <v>2019</v>
      </c>
      <c r="D769" t="s">
        <v>5387</v>
      </c>
      <c r="E769" t="e">
        <v>#VALUE!</v>
      </c>
      <c r="F769" t="s">
        <v>12</v>
      </c>
      <c r="G769" t="s">
        <v>0</v>
      </c>
      <c r="H769" s="1">
        <f>DATE(2023,10,6)</f>
        <v>45205</v>
      </c>
    </row>
    <row r="770" spans="1:8" x14ac:dyDescent="0.35">
      <c r="A770" s="2" t="s">
        <v>2020</v>
      </c>
      <c r="B770" s="2" t="s">
        <v>2021</v>
      </c>
      <c r="D770" t="s">
        <v>5387</v>
      </c>
      <c r="E770" t="e">
        <v>#VALUE!</v>
      </c>
      <c r="F770" t="s">
        <v>12</v>
      </c>
      <c r="G770" t="s">
        <v>0</v>
      </c>
      <c r="H770" s="1">
        <f>DATE(2023,10,6)</f>
        <v>45205</v>
      </c>
    </row>
    <row r="771" spans="1:8" x14ac:dyDescent="0.35">
      <c r="A771" s="2" t="s">
        <v>2022</v>
      </c>
      <c r="B771" s="2" t="s">
        <v>2023</v>
      </c>
      <c r="D771" t="s">
        <v>5387</v>
      </c>
      <c r="E771" t="e">
        <v>#VALUE!</v>
      </c>
      <c r="F771" t="s">
        <v>12</v>
      </c>
      <c r="G771" t="s">
        <v>0</v>
      </c>
      <c r="H771" s="1">
        <f>DATE(2023,10,6)</f>
        <v>45205</v>
      </c>
    </row>
    <row r="772" spans="1:8" x14ac:dyDescent="0.35">
      <c r="A772" s="2" t="s">
        <v>2024</v>
      </c>
      <c r="B772" s="2" t="s">
        <v>2025</v>
      </c>
      <c r="D772" t="s">
        <v>5387</v>
      </c>
      <c r="E772" t="e">
        <v>#VALUE!</v>
      </c>
      <c r="F772" t="s">
        <v>12</v>
      </c>
      <c r="G772" t="s">
        <v>0</v>
      </c>
      <c r="H772" s="1">
        <f>DATE(2023,10,6)</f>
        <v>45205</v>
      </c>
    </row>
    <row r="773" spans="1:8" x14ac:dyDescent="0.35">
      <c r="A773" s="2" t="s">
        <v>2026</v>
      </c>
      <c r="B773" s="2" t="s">
        <v>2027</v>
      </c>
      <c r="D773" t="s">
        <v>5387</v>
      </c>
      <c r="E773" t="e">
        <v>#VALUE!</v>
      </c>
      <c r="F773" t="s">
        <v>12</v>
      </c>
      <c r="G773" t="s">
        <v>0</v>
      </c>
      <c r="H773" s="1">
        <f>DATE(2023,10,6)</f>
        <v>45205</v>
      </c>
    </row>
    <row r="774" spans="1:8" x14ac:dyDescent="0.35">
      <c r="A774" s="2" t="s">
        <v>2028</v>
      </c>
      <c r="B774" s="2" t="s">
        <v>2029</v>
      </c>
      <c r="C774" s="2" t="s">
        <v>2030</v>
      </c>
      <c r="D774" t="s">
        <v>5855</v>
      </c>
      <c r="E774" t="s">
        <v>6985</v>
      </c>
      <c r="F774" t="s">
        <v>12</v>
      </c>
      <c r="G774" t="s">
        <v>0</v>
      </c>
      <c r="H774" s="1">
        <f>DATE(2023,2,7)</f>
        <v>44964</v>
      </c>
    </row>
    <row r="775" spans="1:8" x14ac:dyDescent="0.35">
      <c r="A775" s="2" t="s">
        <v>2031</v>
      </c>
      <c r="B775" s="2" t="s">
        <v>2032</v>
      </c>
      <c r="C775" s="2" t="s">
        <v>2033</v>
      </c>
      <c r="D775" t="s">
        <v>5856</v>
      </c>
      <c r="E775" t="s">
        <v>6986</v>
      </c>
      <c r="F775" t="s">
        <v>12</v>
      </c>
      <c r="G775" t="s">
        <v>0</v>
      </c>
      <c r="H775" s="1">
        <f>DATE(2023,12,12)</f>
        <v>45272</v>
      </c>
    </row>
    <row r="776" spans="1:8" x14ac:dyDescent="0.35">
      <c r="A776" s="2" t="s">
        <v>2034</v>
      </c>
      <c r="B776" s="2" t="s">
        <v>2035</v>
      </c>
      <c r="D776" t="s">
        <v>5387</v>
      </c>
      <c r="E776" t="e">
        <v>#VALUE!</v>
      </c>
      <c r="F776" t="s">
        <v>12</v>
      </c>
      <c r="G776" t="s">
        <v>0</v>
      </c>
      <c r="H776" s="1">
        <f>DATE(2023,2,7)</f>
        <v>44964</v>
      </c>
    </row>
    <row r="777" spans="1:8" x14ac:dyDescent="0.35">
      <c r="A777" s="2" t="s">
        <v>2036</v>
      </c>
      <c r="B777" s="2" t="s">
        <v>2037</v>
      </c>
      <c r="C777" s="2" t="s">
        <v>2038</v>
      </c>
      <c r="D777" t="s">
        <v>5857</v>
      </c>
      <c r="E777" t="s">
        <v>6987</v>
      </c>
      <c r="F777" t="s">
        <v>12</v>
      </c>
      <c r="G777" t="s">
        <v>0</v>
      </c>
      <c r="H777" s="1">
        <f>DATE(2023,2,7)</f>
        <v>44964</v>
      </c>
    </row>
    <row r="778" spans="1:8" x14ac:dyDescent="0.35">
      <c r="A778" s="2" t="s">
        <v>2039</v>
      </c>
      <c r="B778" s="2" t="s">
        <v>2040</v>
      </c>
      <c r="D778" t="s">
        <v>5387</v>
      </c>
      <c r="E778" t="e">
        <v>#VALUE!</v>
      </c>
      <c r="F778" t="s">
        <v>12</v>
      </c>
      <c r="G778" t="s">
        <v>0</v>
      </c>
      <c r="H778" s="1">
        <f t="shared" ref="H778:H783" si="10">DATE(2023,10,6)</f>
        <v>45205</v>
      </c>
    </row>
    <row r="779" spans="1:8" x14ac:dyDescent="0.35">
      <c r="A779" s="2" t="s">
        <v>2041</v>
      </c>
      <c r="B779" s="2" t="s">
        <v>2042</v>
      </c>
      <c r="D779" t="s">
        <v>5387</v>
      </c>
      <c r="E779" t="e">
        <v>#VALUE!</v>
      </c>
      <c r="F779" t="s">
        <v>12</v>
      </c>
      <c r="G779" t="s">
        <v>0</v>
      </c>
      <c r="H779" s="1">
        <f t="shared" si="10"/>
        <v>45205</v>
      </c>
    </row>
    <row r="780" spans="1:8" x14ac:dyDescent="0.35">
      <c r="A780" s="2" t="s">
        <v>2043</v>
      </c>
      <c r="B780" s="2" t="s">
        <v>2044</v>
      </c>
      <c r="D780" t="s">
        <v>5387</v>
      </c>
      <c r="E780" t="e">
        <v>#VALUE!</v>
      </c>
      <c r="F780" t="s">
        <v>12</v>
      </c>
      <c r="G780" t="s">
        <v>0</v>
      </c>
      <c r="H780" s="1">
        <f t="shared" si="10"/>
        <v>45205</v>
      </c>
    </row>
    <row r="781" spans="1:8" x14ac:dyDescent="0.35">
      <c r="A781" s="2" t="s">
        <v>2045</v>
      </c>
      <c r="B781" s="2" t="s">
        <v>2046</v>
      </c>
      <c r="D781" t="s">
        <v>5387</v>
      </c>
      <c r="E781" t="e">
        <v>#VALUE!</v>
      </c>
      <c r="F781" t="s">
        <v>12</v>
      </c>
      <c r="G781" t="s">
        <v>0</v>
      </c>
      <c r="H781" s="1">
        <f t="shared" si="10"/>
        <v>45205</v>
      </c>
    </row>
    <row r="782" spans="1:8" x14ac:dyDescent="0.35">
      <c r="A782" s="2" t="s">
        <v>2047</v>
      </c>
      <c r="B782" s="2" t="s">
        <v>2048</v>
      </c>
      <c r="D782" t="s">
        <v>5387</v>
      </c>
      <c r="E782" t="e">
        <v>#VALUE!</v>
      </c>
      <c r="F782" t="s">
        <v>12</v>
      </c>
      <c r="G782" t="s">
        <v>0</v>
      </c>
      <c r="H782" s="1">
        <f t="shared" si="10"/>
        <v>45205</v>
      </c>
    </row>
    <row r="783" spans="1:8" x14ac:dyDescent="0.35">
      <c r="A783" s="2" t="s">
        <v>2049</v>
      </c>
      <c r="B783" s="2" t="s">
        <v>2050</v>
      </c>
      <c r="D783" t="s">
        <v>5387</v>
      </c>
      <c r="E783" t="e">
        <v>#VALUE!</v>
      </c>
      <c r="F783" t="s">
        <v>12</v>
      </c>
      <c r="G783" t="s">
        <v>0</v>
      </c>
      <c r="H783" s="1">
        <f t="shared" si="10"/>
        <v>45205</v>
      </c>
    </row>
    <row r="784" spans="1:8" x14ac:dyDescent="0.35">
      <c r="A784" s="2" t="s">
        <v>2051</v>
      </c>
      <c r="B784" s="2" t="s">
        <v>2052</v>
      </c>
      <c r="D784" t="s">
        <v>5387</v>
      </c>
      <c r="E784" t="e">
        <v>#VALUE!</v>
      </c>
      <c r="F784" t="s">
        <v>12</v>
      </c>
      <c r="G784" t="s">
        <v>0</v>
      </c>
      <c r="H784" s="1">
        <f>DATE(2023,2,15)</f>
        <v>44972</v>
      </c>
    </row>
    <row r="785" spans="1:8" x14ac:dyDescent="0.35">
      <c r="A785" s="2" t="s">
        <v>2053</v>
      </c>
      <c r="B785" s="2" t="s">
        <v>2054</v>
      </c>
      <c r="C785" s="2" t="s">
        <v>2055</v>
      </c>
      <c r="D785" t="s">
        <v>5858</v>
      </c>
      <c r="E785" t="s">
        <v>6988</v>
      </c>
      <c r="F785" t="s">
        <v>12</v>
      </c>
      <c r="G785" t="s">
        <v>0</v>
      </c>
      <c r="H785" s="1">
        <f>DATE(2023,2,16)</f>
        <v>44973</v>
      </c>
    </row>
    <row r="786" spans="1:8" x14ac:dyDescent="0.35">
      <c r="A786" s="2" t="s">
        <v>2056</v>
      </c>
      <c r="B786" s="2" t="s">
        <v>2057</v>
      </c>
      <c r="C786" s="2" t="s">
        <v>2058</v>
      </c>
      <c r="D786" t="s">
        <v>5859</v>
      </c>
      <c r="E786" t="s">
        <v>6989</v>
      </c>
      <c r="F786" t="s">
        <v>12</v>
      </c>
      <c r="G786" t="s">
        <v>0</v>
      </c>
      <c r="H786" s="1">
        <f>DATE(2023,2,16)</f>
        <v>44973</v>
      </c>
    </row>
    <row r="787" spans="1:8" x14ac:dyDescent="0.35">
      <c r="A787" s="2" t="s">
        <v>2059</v>
      </c>
      <c r="B787" s="2" t="s">
        <v>2060</v>
      </c>
      <c r="C787" s="2" t="s">
        <v>2061</v>
      </c>
      <c r="D787" t="s">
        <v>5860</v>
      </c>
      <c r="E787" t="s">
        <v>6990</v>
      </c>
      <c r="F787" t="s">
        <v>12</v>
      </c>
      <c r="G787" t="s">
        <v>0</v>
      </c>
      <c r="H787" s="1">
        <f>DATE(2023,8,23)</f>
        <v>45161</v>
      </c>
    </row>
    <row r="788" spans="1:8" x14ac:dyDescent="0.35">
      <c r="A788" s="2" t="s">
        <v>2062</v>
      </c>
      <c r="B788" s="2" t="s">
        <v>2063</v>
      </c>
      <c r="D788" t="s">
        <v>5387</v>
      </c>
      <c r="E788" t="e">
        <v>#VALUE!</v>
      </c>
      <c r="F788" t="s">
        <v>12</v>
      </c>
      <c r="G788" t="s">
        <v>0</v>
      </c>
      <c r="H788" s="1">
        <f>DATE(2023,2,16)</f>
        <v>44973</v>
      </c>
    </row>
    <row r="789" spans="1:8" x14ac:dyDescent="0.35">
      <c r="A789" s="2" t="s">
        <v>2064</v>
      </c>
      <c r="B789" s="2" t="s">
        <v>2065</v>
      </c>
      <c r="C789" s="2" t="s">
        <v>2066</v>
      </c>
      <c r="D789" t="s">
        <v>5861</v>
      </c>
      <c r="E789" t="s">
        <v>6991</v>
      </c>
      <c r="F789" t="s">
        <v>12</v>
      </c>
      <c r="G789" t="s">
        <v>0</v>
      </c>
      <c r="H789" s="1">
        <f>DATE(2023,2,22)</f>
        <v>44979</v>
      </c>
    </row>
    <row r="790" spans="1:8" x14ac:dyDescent="0.35">
      <c r="A790" s="2" t="s">
        <v>2067</v>
      </c>
      <c r="B790" s="2" t="s">
        <v>2068</v>
      </c>
      <c r="C790" s="2" t="s">
        <v>446</v>
      </c>
      <c r="D790" t="s">
        <v>5478</v>
      </c>
      <c r="E790" t="s">
        <v>6607</v>
      </c>
      <c r="F790" t="s">
        <v>12</v>
      </c>
      <c r="G790" t="s">
        <v>0</v>
      </c>
      <c r="H790" s="1">
        <f>DATE(2023,2,22)</f>
        <v>44979</v>
      </c>
    </row>
    <row r="791" spans="1:8" x14ac:dyDescent="0.35">
      <c r="A791" s="2" t="s">
        <v>2069</v>
      </c>
      <c r="B791" s="2" t="s">
        <v>2070</v>
      </c>
      <c r="C791" s="2" t="s">
        <v>2071</v>
      </c>
      <c r="D791" t="s">
        <v>5862</v>
      </c>
      <c r="E791" t="s">
        <v>6992</v>
      </c>
      <c r="F791" t="s">
        <v>12</v>
      </c>
      <c r="G791" t="s">
        <v>0</v>
      </c>
      <c r="H791" s="1">
        <f>DATE(2024,1,23)</f>
        <v>45314</v>
      </c>
    </row>
    <row r="792" spans="1:8" x14ac:dyDescent="0.35">
      <c r="A792" s="2" t="s">
        <v>2072</v>
      </c>
      <c r="B792" s="2" t="s">
        <v>2073</v>
      </c>
      <c r="C792" s="2" t="s">
        <v>2074</v>
      </c>
      <c r="D792" t="s">
        <v>5863</v>
      </c>
      <c r="E792" t="s">
        <v>6993</v>
      </c>
      <c r="F792" t="s">
        <v>12</v>
      </c>
      <c r="G792" t="s">
        <v>0</v>
      </c>
      <c r="H792" s="1">
        <f>DATE(2023,2,21)</f>
        <v>44978</v>
      </c>
    </row>
    <row r="793" spans="1:8" x14ac:dyDescent="0.35">
      <c r="A793" s="2" t="s">
        <v>2075</v>
      </c>
      <c r="B793" s="2" t="s">
        <v>2076</v>
      </c>
      <c r="C793" s="2" t="s">
        <v>2077</v>
      </c>
      <c r="D793" t="s">
        <v>5864</v>
      </c>
      <c r="E793" t="s">
        <v>6994</v>
      </c>
      <c r="F793" t="s">
        <v>12</v>
      </c>
      <c r="G793" t="s">
        <v>0</v>
      </c>
      <c r="H793" s="1">
        <f>DATE(2023,3,6)</f>
        <v>44991</v>
      </c>
    </row>
    <row r="794" spans="1:8" x14ac:dyDescent="0.35">
      <c r="A794" s="2" t="s">
        <v>2078</v>
      </c>
      <c r="B794" s="2" t="s">
        <v>2079</v>
      </c>
      <c r="C794" s="2" t="s">
        <v>2080</v>
      </c>
      <c r="D794" t="s">
        <v>5865</v>
      </c>
      <c r="E794" t="s">
        <v>6995</v>
      </c>
      <c r="F794" t="s">
        <v>12</v>
      </c>
      <c r="G794" t="s">
        <v>0</v>
      </c>
      <c r="H794" s="1">
        <f>DATE(2023,2,27)</f>
        <v>44984</v>
      </c>
    </row>
    <row r="795" spans="1:8" x14ac:dyDescent="0.35">
      <c r="A795" s="2" t="s">
        <v>2081</v>
      </c>
      <c r="B795" s="2" t="s">
        <v>2082</v>
      </c>
      <c r="C795" s="2" t="s">
        <v>2083</v>
      </c>
      <c r="D795" t="s">
        <v>5866</v>
      </c>
      <c r="E795" t="s">
        <v>6996</v>
      </c>
      <c r="F795" t="s">
        <v>12</v>
      </c>
      <c r="G795" t="s">
        <v>0</v>
      </c>
      <c r="H795" s="1">
        <f>DATE(2023,2,28)</f>
        <v>44985</v>
      </c>
    </row>
    <row r="796" spans="1:8" x14ac:dyDescent="0.35">
      <c r="A796" s="2" t="s">
        <v>2084</v>
      </c>
      <c r="B796" s="2" t="s">
        <v>2085</v>
      </c>
      <c r="C796" s="2" t="s">
        <v>2086</v>
      </c>
      <c r="D796" t="s">
        <v>5867</v>
      </c>
      <c r="E796" t="s">
        <v>6997</v>
      </c>
      <c r="F796" t="s">
        <v>12</v>
      </c>
      <c r="G796" t="s">
        <v>0</v>
      </c>
      <c r="H796" s="1">
        <f>DATE(2023,2,28)</f>
        <v>44985</v>
      </c>
    </row>
    <row r="797" spans="1:8" x14ac:dyDescent="0.35">
      <c r="A797" s="2" t="s">
        <v>2087</v>
      </c>
      <c r="B797" s="2" t="s">
        <v>2088</v>
      </c>
      <c r="C797" s="2" t="s">
        <v>2089</v>
      </c>
      <c r="D797" t="s">
        <v>5868</v>
      </c>
      <c r="E797" t="s">
        <v>6998</v>
      </c>
      <c r="F797" t="s">
        <v>12</v>
      </c>
      <c r="G797" t="s">
        <v>0</v>
      </c>
      <c r="H797" s="1">
        <f>DATE(2023,12,7)</f>
        <v>45267</v>
      </c>
    </row>
    <row r="798" spans="1:8" x14ac:dyDescent="0.35">
      <c r="A798" s="2" t="s">
        <v>2090</v>
      </c>
      <c r="B798" s="2" t="s">
        <v>2091</v>
      </c>
      <c r="C798" s="2" t="s">
        <v>2092</v>
      </c>
      <c r="D798" t="s">
        <v>5869</v>
      </c>
      <c r="E798" t="s">
        <v>6999</v>
      </c>
      <c r="F798" t="s">
        <v>12</v>
      </c>
      <c r="G798" t="s">
        <v>0</v>
      </c>
      <c r="H798" s="1">
        <f>DATE(2023,3,1)</f>
        <v>44986</v>
      </c>
    </row>
    <row r="799" spans="1:8" x14ac:dyDescent="0.35">
      <c r="A799" s="2" t="s">
        <v>2093</v>
      </c>
      <c r="B799" s="2" t="s">
        <v>2094</v>
      </c>
      <c r="C799" s="2" t="s">
        <v>2095</v>
      </c>
      <c r="D799" t="s">
        <v>5870</v>
      </c>
      <c r="E799" t="s">
        <v>7000</v>
      </c>
      <c r="F799" t="s">
        <v>12</v>
      </c>
      <c r="G799" t="s">
        <v>0</v>
      </c>
      <c r="H799" s="1">
        <f>DATE(2023,3,6)</f>
        <v>44991</v>
      </c>
    </row>
    <row r="800" spans="1:8" x14ac:dyDescent="0.35">
      <c r="A800" s="2" t="s">
        <v>2096</v>
      </c>
      <c r="B800" s="2" t="s">
        <v>2097</v>
      </c>
      <c r="D800" t="s">
        <v>5387</v>
      </c>
      <c r="E800" t="e">
        <v>#VALUE!</v>
      </c>
      <c r="F800" t="s">
        <v>12</v>
      </c>
      <c r="G800" t="s">
        <v>0</v>
      </c>
      <c r="H800" s="1">
        <f>DATE(2021,7,1)</f>
        <v>44378</v>
      </c>
    </row>
    <row r="801" spans="1:8" x14ac:dyDescent="0.35">
      <c r="A801" s="2" t="s">
        <v>2098</v>
      </c>
      <c r="B801" s="2" t="s">
        <v>2099</v>
      </c>
      <c r="C801" s="2" t="s">
        <v>2100</v>
      </c>
      <c r="D801" t="s">
        <v>5871</v>
      </c>
      <c r="E801" t="s">
        <v>7001</v>
      </c>
      <c r="F801" t="s">
        <v>12</v>
      </c>
      <c r="G801" t="s">
        <v>0</v>
      </c>
      <c r="H801" s="1">
        <f>DATE(2021,7,12)</f>
        <v>44389</v>
      </c>
    </row>
    <row r="802" spans="1:8" x14ac:dyDescent="0.35">
      <c r="A802" s="2" t="s">
        <v>2101</v>
      </c>
      <c r="B802" s="2" t="s">
        <v>2102</v>
      </c>
      <c r="C802" s="2" t="s">
        <v>2103</v>
      </c>
      <c r="D802" t="s">
        <v>5872</v>
      </c>
      <c r="E802" t="s">
        <v>7002</v>
      </c>
      <c r="F802" t="s">
        <v>12</v>
      </c>
      <c r="G802" t="s">
        <v>0</v>
      </c>
      <c r="H802" s="1">
        <f>DATE(2022,3,2)</f>
        <v>44622</v>
      </c>
    </row>
    <row r="803" spans="1:8" x14ac:dyDescent="0.35">
      <c r="A803" s="2" t="s">
        <v>2104</v>
      </c>
      <c r="B803" s="2" t="s">
        <v>2105</v>
      </c>
      <c r="C803" s="2" t="s">
        <v>2106</v>
      </c>
      <c r="D803" t="s">
        <v>5873</v>
      </c>
      <c r="E803" t="s">
        <v>7003</v>
      </c>
      <c r="F803" t="s">
        <v>12</v>
      </c>
      <c r="G803" t="s">
        <v>0</v>
      </c>
      <c r="H803" s="1">
        <f>DATE(2022,3,2)</f>
        <v>44622</v>
      </c>
    </row>
    <row r="804" spans="1:8" x14ac:dyDescent="0.35">
      <c r="A804" s="2" t="s">
        <v>2107</v>
      </c>
      <c r="B804" s="2" t="s">
        <v>2108</v>
      </c>
      <c r="D804" t="s">
        <v>5387</v>
      </c>
      <c r="E804" t="e">
        <v>#VALUE!</v>
      </c>
      <c r="F804" t="s">
        <v>12</v>
      </c>
      <c r="G804" t="s">
        <v>0</v>
      </c>
      <c r="H804" s="1">
        <f>DATE(2021,7,2)</f>
        <v>44379</v>
      </c>
    </row>
    <row r="805" spans="1:8" x14ac:dyDescent="0.35">
      <c r="A805" s="2" t="s">
        <v>2109</v>
      </c>
      <c r="B805" s="2" t="s">
        <v>2110</v>
      </c>
      <c r="C805" s="2" t="s">
        <v>2111</v>
      </c>
      <c r="D805" t="s">
        <v>5874</v>
      </c>
      <c r="E805" t="s">
        <v>7004</v>
      </c>
      <c r="F805" t="s">
        <v>12</v>
      </c>
      <c r="G805" t="s">
        <v>0</v>
      </c>
      <c r="H805" s="1">
        <f>DATE(2022,3,2)</f>
        <v>44622</v>
      </c>
    </row>
    <row r="806" spans="1:8" x14ac:dyDescent="0.35">
      <c r="A806" s="2" t="s">
        <v>2112</v>
      </c>
      <c r="B806" s="2" t="s">
        <v>2113</v>
      </c>
      <c r="C806" s="2" t="s">
        <v>2114</v>
      </c>
      <c r="D806" t="s">
        <v>5875</v>
      </c>
      <c r="E806" t="s">
        <v>7005</v>
      </c>
      <c r="F806" t="s">
        <v>12</v>
      </c>
      <c r="G806" t="s">
        <v>0</v>
      </c>
      <c r="H806" s="1">
        <f>DATE(2021,7,2)</f>
        <v>44379</v>
      </c>
    </row>
    <row r="807" spans="1:8" x14ac:dyDescent="0.35">
      <c r="A807" s="2" t="s">
        <v>2115</v>
      </c>
      <c r="B807" s="2" t="s">
        <v>2116</v>
      </c>
      <c r="C807" s="2" t="s">
        <v>2117</v>
      </c>
      <c r="D807" t="s">
        <v>5876</v>
      </c>
      <c r="E807" t="s">
        <v>7006</v>
      </c>
      <c r="F807" t="s">
        <v>12</v>
      </c>
      <c r="G807" t="s">
        <v>0</v>
      </c>
      <c r="H807" s="1">
        <f>DATE(2023,4,27)</f>
        <v>45043</v>
      </c>
    </row>
    <row r="808" spans="1:8" x14ac:dyDescent="0.35">
      <c r="A808" s="2" t="s">
        <v>2118</v>
      </c>
      <c r="B808" s="2" t="s">
        <v>2119</v>
      </c>
      <c r="C808" s="2" t="s">
        <v>2120</v>
      </c>
      <c r="D808" t="s">
        <v>5876</v>
      </c>
      <c r="E808" t="s">
        <v>7006</v>
      </c>
      <c r="F808" t="s">
        <v>12</v>
      </c>
      <c r="G808" t="s">
        <v>0</v>
      </c>
      <c r="H808" s="1">
        <f>DATE(2021,7,12)</f>
        <v>44389</v>
      </c>
    </row>
    <row r="809" spans="1:8" x14ac:dyDescent="0.35">
      <c r="A809" s="2" t="s">
        <v>2121</v>
      </c>
      <c r="B809" s="2" t="s">
        <v>2122</v>
      </c>
      <c r="C809" s="2" t="s">
        <v>2123</v>
      </c>
      <c r="D809" t="s">
        <v>5877</v>
      </c>
      <c r="E809" t="s">
        <v>7007</v>
      </c>
      <c r="F809" t="s">
        <v>12</v>
      </c>
      <c r="G809" t="s">
        <v>0</v>
      </c>
      <c r="H809" s="1">
        <f>DATE(2021,11,9)</f>
        <v>44509</v>
      </c>
    </row>
    <row r="810" spans="1:8" x14ac:dyDescent="0.35">
      <c r="A810" s="2" t="s">
        <v>2124</v>
      </c>
      <c r="B810" s="2" t="s">
        <v>2125</v>
      </c>
      <c r="D810" t="s">
        <v>5387</v>
      </c>
      <c r="E810" t="e">
        <v>#VALUE!</v>
      </c>
      <c r="F810" t="s">
        <v>12</v>
      </c>
      <c r="G810" t="s">
        <v>0</v>
      </c>
      <c r="H810" s="1">
        <f>DATE(2021,7,8)</f>
        <v>44385</v>
      </c>
    </row>
    <row r="811" spans="1:8" x14ac:dyDescent="0.35">
      <c r="A811" s="2" t="s">
        <v>2126</v>
      </c>
      <c r="B811" s="2" t="s">
        <v>2127</v>
      </c>
      <c r="D811" t="s">
        <v>5387</v>
      </c>
      <c r="E811" t="e">
        <v>#VALUE!</v>
      </c>
      <c r="F811" t="s">
        <v>12</v>
      </c>
      <c r="G811" t="s">
        <v>0</v>
      </c>
      <c r="H811" s="1">
        <f>DATE(2021,7,15)</f>
        <v>44392</v>
      </c>
    </row>
    <row r="812" spans="1:8" x14ac:dyDescent="0.35">
      <c r="A812" s="2" t="s">
        <v>2128</v>
      </c>
      <c r="B812" s="2" t="s">
        <v>2129</v>
      </c>
      <c r="D812" t="s">
        <v>5387</v>
      </c>
      <c r="E812" t="e">
        <v>#VALUE!</v>
      </c>
      <c r="F812" t="s">
        <v>12</v>
      </c>
      <c r="G812" t="s">
        <v>0</v>
      </c>
      <c r="H812" s="1">
        <f>DATE(2021,7,15)</f>
        <v>44392</v>
      </c>
    </row>
    <row r="813" spans="1:8" x14ac:dyDescent="0.35">
      <c r="A813" s="2" t="s">
        <v>2130</v>
      </c>
      <c r="B813" s="2" t="s">
        <v>2131</v>
      </c>
      <c r="C813" s="2" t="s">
        <v>2132</v>
      </c>
      <c r="D813" t="s">
        <v>5878</v>
      </c>
      <c r="E813" t="s">
        <v>7008</v>
      </c>
      <c r="F813" t="s">
        <v>12</v>
      </c>
      <c r="G813" t="s">
        <v>0</v>
      </c>
      <c r="H813" s="1">
        <f>DATE(2021,11,25)</f>
        <v>44525</v>
      </c>
    </row>
    <row r="814" spans="1:8" x14ac:dyDescent="0.35">
      <c r="A814" s="2" t="s">
        <v>2133</v>
      </c>
      <c r="B814" s="2" t="s">
        <v>2134</v>
      </c>
      <c r="D814" t="s">
        <v>5387</v>
      </c>
      <c r="E814" t="e">
        <v>#VALUE!</v>
      </c>
      <c r="F814" t="s">
        <v>12</v>
      </c>
      <c r="G814" t="s">
        <v>0</v>
      </c>
      <c r="H814" s="1">
        <f>DATE(2021,7,16)</f>
        <v>44393</v>
      </c>
    </row>
    <row r="815" spans="1:8" x14ac:dyDescent="0.35">
      <c r="A815" s="2" t="s">
        <v>2135</v>
      </c>
      <c r="B815" s="2" t="s">
        <v>2136</v>
      </c>
      <c r="C815" s="2" t="s">
        <v>2137</v>
      </c>
      <c r="D815" t="s">
        <v>5879</v>
      </c>
      <c r="E815" t="s">
        <v>7009</v>
      </c>
      <c r="F815" t="s">
        <v>12</v>
      </c>
      <c r="G815" t="s">
        <v>0</v>
      </c>
      <c r="H815" s="1">
        <f>DATE(2022,4,4)</f>
        <v>44655</v>
      </c>
    </row>
    <row r="816" spans="1:8" x14ac:dyDescent="0.35">
      <c r="A816" s="2" t="s">
        <v>2138</v>
      </c>
      <c r="B816" s="2" t="s">
        <v>2139</v>
      </c>
      <c r="C816" s="2" t="s">
        <v>2140</v>
      </c>
      <c r="D816" t="s">
        <v>5880</v>
      </c>
      <c r="E816" t="s">
        <v>7010</v>
      </c>
      <c r="F816" t="s">
        <v>12</v>
      </c>
      <c r="G816" t="s">
        <v>0</v>
      </c>
      <c r="H816" s="1">
        <f>DATE(2022,8,29)</f>
        <v>44802</v>
      </c>
    </row>
    <row r="817" spans="1:8" x14ac:dyDescent="0.35">
      <c r="A817" s="2" t="s">
        <v>2141</v>
      </c>
      <c r="B817" s="2" t="s">
        <v>2142</v>
      </c>
      <c r="D817" t="s">
        <v>5387</v>
      </c>
      <c r="E817" t="e">
        <v>#VALUE!</v>
      </c>
      <c r="F817" t="s">
        <v>12</v>
      </c>
      <c r="G817" t="s">
        <v>0</v>
      </c>
      <c r="H817" s="1">
        <f>DATE(2023,5,30)</f>
        <v>45076</v>
      </c>
    </row>
    <row r="818" spans="1:8" x14ac:dyDescent="0.35">
      <c r="A818" s="2" t="s">
        <v>2143</v>
      </c>
      <c r="B818" s="2" t="s">
        <v>2144</v>
      </c>
      <c r="C818" s="2" t="s">
        <v>2145</v>
      </c>
      <c r="D818" t="s">
        <v>5881</v>
      </c>
      <c r="E818" t="s">
        <v>7011</v>
      </c>
      <c r="F818" t="s">
        <v>12</v>
      </c>
      <c r="G818" t="s">
        <v>0</v>
      </c>
      <c r="H818" s="1">
        <f>DATE(2023,7,5)</f>
        <v>45112</v>
      </c>
    </row>
    <row r="819" spans="1:8" x14ac:dyDescent="0.35">
      <c r="A819" s="2" t="s">
        <v>2146</v>
      </c>
      <c r="B819" s="2" t="s">
        <v>2147</v>
      </c>
      <c r="D819" t="s">
        <v>5387</v>
      </c>
      <c r="E819" t="e">
        <v>#VALUE!</v>
      </c>
      <c r="F819" t="s">
        <v>12</v>
      </c>
      <c r="G819" t="s">
        <v>0</v>
      </c>
      <c r="H819" s="1">
        <f>DATE(2023,6,6)</f>
        <v>45083</v>
      </c>
    </row>
    <row r="820" spans="1:8" x14ac:dyDescent="0.35">
      <c r="A820" s="2" t="s">
        <v>2148</v>
      </c>
      <c r="B820" s="2" t="s">
        <v>2149</v>
      </c>
      <c r="D820" t="s">
        <v>5387</v>
      </c>
      <c r="E820" t="e">
        <v>#VALUE!</v>
      </c>
      <c r="F820" t="s">
        <v>12</v>
      </c>
      <c r="G820" t="s">
        <v>0</v>
      </c>
      <c r="H820" s="1">
        <f>DATE(2022,5,16)</f>
        <v>44697</v>
      </c>
    </row>
    <row r="821" spans="1:8" x14ac:dyDescent="0.35">
      <c r="A821" s="2" t="s">
        <v>2150</v>
      </c>
      <c r="B821" s="2" t="s">
        <v>2151</v>
      </c>
      <c r="D821" t="s">
        <v>5387</v>
      </c>
      <c r="E821" t="e">
        <v>#VALUE!</v>
      </c>
      <c r="F821" t="s">
        <v>12</v>
      </c>
      <c r="G821" t="s">
        <v>0</v>
      </c>
      <c r="H821" s="1">
        <f>DATE(2022,5,16)</f>
        <v>44697</v>
      </c>
    </row>
    <row r="822" spans="1:8" x14ac:dyDescent="0.35">
      <c r="A822" s="2" t="s">
        <v>2152</v>
      </c>
      <c r="B822" s="2" t="s">
        <v>2153</v>
      </c>
      <c r="D822" t="s">
        <v>5387</v>
      </c>
      <c r="E822" t="e">
        <v>#VALUE!</v>
      </c>
      <c r="F822" t="s">
        <v>12</v>
      </c>
      <c r="G822" t="s">
        <v>0</v>
      </c>
      <c r="H822" s="1">
        <f>DATE(2023,7,5)</f>
        <v>45112</v>
      </c>
    </row>
    <row r="823" spans="1:8" x14ac:dyDescent="0.35">
      <c r="A823" s="2" t="s">
        <v>2154</v>
      </c>
      <c r="B823" s="2" t="s">
        <v>2155</v>
      </c>
      <c r="C823" s="2" t="s">
        <v>2156</v>
      </c>
      <c r="D823" t="s">
        <v>5882</v>
      </c>
      <c r="E823" t="s">
        <v>7012</v>
      </c>
      <c r="F823" t="s">
        <v>12</v>
      </c>
      <c r="G823" t="s">
        <v>0</v>
      </c>
      <c r="H823" s="1">
        <f>DATE(2021,11,19)</f>
        <v>44519</v>
      </c>
    </row>
    <row r="824" spans="1:8" x14ac:dyDescent="0.35">
      <c r="A824" s="2" t="s">
        <v>2157</v>
      </c>
      <c r="B824" s="2" t="s">
        <v>2158</v>
      </c>
      <c r="C824" s="2" t="s">
        <v>2159</v>
      </c>
      <c r="D824" t="s">
        <v>5883</v>
      </c>
      <c r="E824" t="s">
        <v>7013</v>
      </c>
      <c r="F824" t="s">
        <v>12</v>
      </c>
      <c r="G824" t="s">
        <v>0</v>
      </c>
      <c r="H824" s="1">
        <f>DATE(2022,4,4)</f>
        <v>44655</v>
      </c>
    </row>
    <row r="825" spans="1:8" x14ac:dyDescent="0.35">
      <c r="A825" s="2" t="s">
        <v>2160</v>
      </c>
      <c r="B825" s="2" t="s">
        <v>2161</v>
      </c>
      <c r="C825" s="2" t="s">
        <v>2162</v>
      </c>
      <c r="D825" t="s">
        <v>5884</v>
      </c>
      <c r="E825" t="s">
        <v>7014</v>
      </c>
      <c r="F825" t="s">
        <v>12</v>
      </c>
      <c r="G825" t="s">
        <v>0</v>
      </c>
      <c r="H825" s="1">
        <f>DATE(2022,4,13)</f>
        <v>44664</v>
      </c>
    </row>
    <row r="826" spans="1:8" x14ac:dyDescent="0.35">
      <c r="A826" s="2" t="s">
        <v>2163</v>
      </c>
      <c r="B826" s="2" t="s">
        <v>2164</v>
      </c>
      <c r="C826" s="2" t="s">
        <v>2165</v>
      </c>
      <c r="D826" t="s">
        <v>5885</v>
      </c>
      <c r="E826" t="s">
        <v>7015</v>
      </c>
      <c r="F826" t="s">
        <v>12</v>
      </c>
      <c r="G826" t="s">
        <v>0</v>
      </c>
      <c r="H826" s="1">
        <f>DATE(2024,1,23)</f>
        <v>45314</v>
      </c>
    </row>
    <row r="827" spans="1:8" x14ac:dyDescent="0.35">
      <c r="A827" s="2" t="s">
        <v>2166</v>
      </c>
      <c r="B827" s="2" t="s">
        <v>2167</v>
      </c>
      <c r="C827" s="2" t="s">
        <v>2168</v>
      </c>
      <c r="D827" t="s">
        <v>5886</v>
      </c>
      <c r="E827" t="s">
        <v>7016</v>
      </c>
      <c r="F827" t="s">
        <v>12</v>
      </c>
      <c r="G827" t="s">
        <v>0</v>
      </c>
      <c r="H827" s="1">
        <f>DATE(2023,11,6)</f>
        <v>45236</v>
      </c>
    </row>
    <row r="828" spans="1:8" x14ac:dyDescent="0.35">
      <c r="A828" s="2" t="s">
        <v>2169</v>
      </c>
      <c r="B828" s="2" t="s">
        <v>2170</v>
      </c>
      <c r="C828" s="2" t="s">
        <v>2171</v>
      </c>
      <c r="D828" t="s">
        <v>5887</v>
      </c>
      <c r="E828" t="s">
        <v>7017</v>
      </c>
      <c r="F828" t="s">
        <v>12</v>
      </c>
      <c r="G828" t="s">
        <v>0</v>
      </c>
      <c r="H828" s="1">
        <f>DATE(2021,12,2)</f>
        <v>44532</v>
      </c>
    </row>
    <row r="829" spans="1:8" x14ac:dyDescent="0.35">
      <c r="A829" s="2" t="s">
        <v>2172</v>
      </c>
      <c r="B829" s="2" t="s">
        <v>2173</v>
      </c>
      <c r="C829" s="2" t="s">
        <v>2174</v>
      </c>
      <c r="D829" t="s">
        <v>5888</v>
      </c>
      <c r="E829" t="s">
        <v>7018</v>
      </c>
      <c r="F829" t="s">
        <v>12</v>
      </c>
      <c r="G829" t="s">
        <v>0</v>
      </c>
      <c r="H829" s="1">
        <f>DATE(2022,4,4)</f>
        <v>44655</v>
      </c>
    </row>
    <row r="830" spans="1:8" x14ac:dyDescent="0.35">
      <c r="A830" s="2" t="s">
        <v>2175</v>
      </c>
      <c r="B830" s="2" t="s">
        <v>2176</v>
      </c>
      <c r="C830" s="2" t="s">
        <v>2177</v>
      </c>
      <c r="D830" t="s">
        <v>5889</v>
      </c>
      <c r="E830" t="s">
        <v>7019</v>
      </c>
      <c r="F830" t="s">
        <v>12</v>
      </c>
      <c r="G830" t="s">
        <v>0</v>
      </c>
      <c r="H830" s="1">
        <f>DATE(2022,3,2)</f>
        <v>44622</v>
      </c>
    </row>
    <row r="831" spans="1:8" x14ac:dyDescent="0.35">
      <c r="A831" s="2" t="s">
        <v>2178</v>
      </c>
      <c r="B831" s="2" t="s">
        <v>2179</v>
      </c>
      <c r="C831" s="2" t="s">
        <v>2180</v>
      </c>
      <c r="D831" t="s">
        <v>5890</v>
      </c>
      <c r="E831" t="s">
        <v>7020</v>
      </c>
      <c r="F831" t="s">
        <v>12</v>
      </c>
      <c r="G831" t="s">
        <v>0</v>
      </c>
      <c r="H831" s="1">
        <f>DATE(2023,10,30)</f>
        <v>45229</v>
      </c>
    </row>
    <row r="832" spans="1:8" x14ac:dyDescent="0.35">
      <c r="A832" s="2" t="s">
        <v>2181</v>
      </c>
      <c r="B832" s="2" t="s">
        <v>2182</v>
      </c>
      <c r="C832" s="2" t="s">
        <v>2183</v>
      </c>
      <c r="D832" t="s">
        <v>5891</v>
      </c>
      <c r="E832" t="s">
        <v>7021</v>
      </c>
      <c r="F832" t="s">
        <v>12</v>
      </c>
      <c r="G832" t="s">
        <v>0</v>
      </c>
      <c r="H832" s="1">
        <f>DATE(2022,6,14)</f>
        <v>44726</v>
      </c>
    </row>
    <row r="833" spans="1:8" x14ac:dyDescent="0.35">
      <c r="A833" s="2" t="s">
        <v>2184</v>
      </c>
      <c r="B833" s="2" t="s">
        <v>2185</v>
      </c>
      <c r="C833" s="2" t="s">
        <v>2186</v>
      </c>
      <c r="D833" t="s">
        <v>5892</v>
      </c>
      <c r="E833" t="s">
        <v>7022</v>
      </c>
      <c r="F833" t="s">
        <v>12</v>
      </c>
      <c r="G833" t="s">
        <v>0</v>
      </c>
      <c r="H833" s="1">
        <f>DATE(2022,3,2)</f>
        <v>44622</v>
      </c>
    </row>
    <row r="834" spans="1:8" x14ac:dyDescent="0.35">
      <c r="A834" s="2" t="s">
        <v>2187</v>
      </c>
      <c r="B834" s="2" t="s">
        <v>2188</v>
      </c>
      <c r="C834" s="2" t="s">
        <v>2189</v>
      </c>
      <c r="D834" t="s">
        <v>5893</v>
      </c>
      <c r="E834" t="s">
        <v>7023</v>
      </c>
      <c r="F834" t="s">
        <v>12</v>
      </c>
      <c r="G834" t="s">
        <v>0</v>
      </c>
      <c r="H834" s="1">
        <f>DATE(2023,12,1)</f>
        <v>45261</v>
      </c>
    </row>
    <row r="835" spans="1:8" x14ac:dyDescent="0.35">
      <c r="A835" s="2" t="s">
        <v>2190</v>
      </c>
      <c r="B835" s="2" t="s">
        <v>2191</v>
      </c>
      <c r="C835" s="2" t="s">
        <v>2192</v>
      </c>
      <c r="D835" t="s">
        <v>5894</v>
      </c>
      <c r="E835" t="s">
        <v>7024</v>
      </c>
      <c r="F835" t="s">
        <v>12</v>
      </c>
      <c r="G835" t="s">
        <v>0</v>
      </c>
      <c r="H835" s="1">
        <f>DATE(2022,7,13)</f>
        <v>44755</v>
      </c>
    </row>
    <row r="836" spans="1:8" x14ac:dyDescent="0.35">
      <c r="A836" s="2" t="s">
        <v>2193</v>
      </c>
      <c r="B836" s="2" t="s">
        <v>2194</v>
      </c>
      <c r="C836" s="2" t="s">
        <v>2195</v>
      </c>
      <c r="D836" t="s">
        <v>5895</v>
      </c>
      <c r="E836" t="s">
        <v>7025</v>
      </c>
      <c r="F836" t="s">
        <v>12</v>
      </c>
      <c r="G836" t="s">
        <v>0</v>
      </c>
      <c r="H836" s="1">
        <f>DATE(2021,10,4)</f>
        <v>44473</v>
      </c>
    </row>
    <row r="837" spans="1:8" x14ac:dyDescent="0.35">
      <c r="A837" s="2" t="s">
        <v>2196</v>
      </c>
      <c r="B837" s="2" t="s">
        <v>2197</v>
      </c>
      <c r="C837" s="2" t="s">
        <v>2198</v>
      </c>
      <c r="D837" t="s">
        <v>5896</v>
      </c>
      <c r="E837" t="s">
        <v>7026</v>
      </c>
      <c r="F837" t="s">
        <v>12</v>
      </c>
      <c r="G837" t="s">
        <v>0</v>
      </c>
      <c r="H837" s="1">
        <f>DATE(2023,11,16)</f>
        <v>45246</v>
      </c>
    </row>
    <row r="838" spans="1:8" x14ac:dyDescent="0.35">
      <c r="A838" s="2" t="s">
        <v>2199</v>
      </c>
      <c r="B838" s="2" t="s">
        <v>2200</v>
      </c>
      <c r="D838" t="s">
        <v>5387</v>
      </c>
      <c r="E838" t="e">
        <v>#VALUE!</v>
      </c>
      <c r="F838" t="s">
        <v>12</v>
      </c>
      <c r="G838" t="s">
        <v>0</v>
      </c>
      <c r="H838" s="1">
        <f>DATE(2023,12,12)</f>
        <v>45272</v>
      </c>
    </row>
    <row r="839" spans="1:8" x14ac:dyDescent="0.35">
      <c r="A839" s="2" t="s">
        <v>2201</v>
      </c>
      <c r="B839" s="2" t="s">
        <v>2202</v>
      </c>
      <c r="D839" t="s">
        <v>5387</v>
      </c>
      <c r="E839" t="e">
        <v>#VALUE!</v>
      </c>
      <c r="F839" t="s">
        <v>12</v>
      </c>
      <c r="G839" t="s">
        <v>0</v>
      </c>
      <c r="H839" s="1">
        <f>DATE(2022,5,31)</f>
        <v>44712</v>
      </c>
    </row>
    <row r="840" spans="1:8" x14ac:dyDescent="0.35">
      <c r="A840" s="2" t="s">
        <v>2203</v>
      </c>
      <c r="B840" s="2" t="s">
        <v>2204</v>
      </c>
      <c r="C840" s="2" t="s">
        <v>2205</v>
      </c>
      <c r="D840" t="s">
        <v>5897</v>
      </c>
      <c r="E840" t="s">
        <v>7027</v>
      </c>
      <c r="F840" t="s">
        <v>12</v>
      </c>
      <c r="G840" t="s">
        <v>0</v>
      </c>
      <c r="H840" s="1">
        <f>DATE(2021,11,18)</f>
        <v>44518</v>
      </c>
    </row>
    <row r="841" spans="1:8" x14ac:dyDescent="0.35">
      <c r="A841" s="2" t="s">
        <v>2206</v>
      </c>
      <c r="B841" s="2" t="s">
        <v>2207</v>
      </c>
      <c r="C841" s="2" t="s">
        <v>2208</v>
      </c>
      <c r="D841" t="s">
        <v>5898</v>
      </c>
      <c r="E841" t="s">
        <v>7028</v>
      </c>
      <c r="F841" t="s">
        <v>12</v>
      </c>
      <c r="G841" t="s">
        <v>0</v>
      </c>
      <c r="H841" s="1">
        <f>DATE(2022,7,13)</f>
        <v>44755</v>
      </c>
    </row>
    <row r="842" spans="1:8" x14ac:dyDescent="0.35">
      <c r="A842" s="2" t="s">
        <v>2209</v>
      </c>
      <c r="B842" s="2" t="s">
        <v>2210</v>
      </c>
      <c r="C842" s="2" t="s">
        <v>2211</v>
      </c>
      <c r="D842" t="s">
        <v>5899</v>
      </c>
      <c r="E842" t="s">
        <v>7029</v>
      </c>
      <c r="F842" t="s">
        <v>12</v>
      </c>
      <c r="G842" t="s">
        <v>0</v>
      </c>
      <c r="H842" s="1">
        <f>DATE(2022,7,22)</f>
        <v>44764</v>
      </c>
    </row>
    <row r="843" spans="1:8" x14ac:dyDescent="0.35">
      <c r="A843" s="2" t="s">
        <v>2212</v>
      </c>
      <c r="B843" s="2" t="s">
        <v>2213</v>
      </c>
      <c r="C843" s="2" t="s">
        <v>2214</v>
      </c>
      <c r="D843" t="s">
        <v>5900</v>
      </c>
      <c r="E843" t="s">
        <v>7030</v>
      </c>
      <c r="F843" t="s">
        <v>12</v>
      </c>
      <c r="G843" t="s">
        <v>0</v>
      </c>
      <c r="H843" s="1">
        <f>DATE(2024,1,12)</f>
        <v>45303</v>
      </c>
    </row>
    <row r="844" spans="1:8" x14ac:dyDescent="0.35">
      <c r="A844" s="2" t="s">
        <v>2215</v>
      </c>
      <c r="B844" s="2" t="s">
        <v>2216</v>
      </c>
      <c r="D844" t="s">
        <v>5387</v>
      </c>
      <c r="E844" t="e">
        <v>#VALUE!</v>
      </c>
      <c r="F844" t="s">
        <v>12</v>
      </c>
      <c r="G844" t="s">
        <v>0</v>
      </c>
      <c r="H844" s="1">
        <f>DATE(2022,6,2)</f>
        <v>44714</v>
      </c>
    </row>
    <row r="845" spans="1:8" x14ac:dyDescent="0.35">
      <c r="A845" s="2" t="s">
        <v>2217</v>
      </c>
      <c r="B845" s="2" t="s">
        <v>2218</v>
      </c>
      <c r="C845" s="2" t="s">
        <v>2219</v>
      </c>
      <c r="D845" t="s">
        <v>5901</v>
      </c>
      <c r="E845" t="s">
        <v>7031</v>
      </c>
      <c r="F845" t="s">
        <v>12</v>
      </c>
      <c r="G845" t="s">
        <v>0</v>
      </c>
      <c r="H845" s="1">
        <f>DATE(2023,9,1)</f>
        <v>45170</v>
      </c>
    </row>
    <row r="846" spans="1:8" x14ac:dyDescent="0.35">
      <c r="A846" s="2" t="s">
        <v>2220</v>
      </c>
      <c r="B846" s="2" t="s">
        <v>2221</v>
      </c>
      <c r="D846" t="s">
        <v>5387</v>
      </c>
      <c r="E846" t="e">
        <v>#VALUE!</v>
      </c>
      <c r="F846" t="s">
        <v>12</v>
      </c>
      <c r="G846" t="s">
        <v>0</v>
      </c>
      <c r="H846" s="1">
        <f>DATE(2022,11,28)</f>
        <v>44893</v>
      </c>
    </row>
    <row r="847" spans="1:8" x14ac:dyDescent="0.35">
      <c r="A847" s="2" t="s">
        <v>2222</v>
      </c>
      <c r="B847" s="2" t="s">
        <v>2223</v>
      </c>
      <c r="C847" s="2" t="s">
        <v>2224</v>
      </c>
      <c r="D847" t="s">
        <v>5902</v>
      </c>
      <c r="E847" t="s">
        <v>7032</v>
      </c>
      <c r="F847" t="s">
        <v>12</v>
      </c>
      <c r="G847" t="s">
        <v>0</v>
      </c>
      <c r="H847" s="1">
        <f>DATE(2022,7,22)</f>
        <v>44764</v>
      </c>
    </row>
    <row r="848" spans="1:8" x14ac:dyDescent="0.35">
      <c r="A848" s="2" t="s">
        <v>2225</v>
      </c>
      <c r="B848" s="2" t="s">
        <v>2226</v>
      </c>
      <c r="C848" s="2" t="s">
        <v>2227</v>
      </c>
      <c r="D848" t="s">
        <v>5903</v>
      </c>
      <c r="E848" t="s">
        <v>7033</v>
      </c>
      <c r="F848" t="s">
        <v>12</v>
      </c>
      <c r="G848" t="s">
        <v>0</v>
      </c>
      <c r="H848" s="1">
        <f>DATE(2021,8,4)</f>
        <v>44412</v>
      </c>
    </row>
    <row r="849" spans="1:8" x14ac:dyDescent="0.35">
      <c r="A849" s="2" t="s">
        <v>2228</v>
      </c>
      <c r="B849" s="2" t="s">
        <v>2229</v>
      </c>
      <c r="C849" s="2" t="s">
        <v>2230</v>
      </c>
      <c r="D849" t="s">
        <v>5904</v>
      </c>
      <c r="E849" t="s">
        <v>7034</v>
      </c>
      <c r="F849" t="s">
        <v>12</v>
      </c>
      <c r="G849" t="s">
        <v>0</v>
      </c>
      <c r="H849" s="1">
        <f>DATE(2022,11,3)</f>
        <v>44868</v>
      </c>
    </row>
    <row r="850" spans="1:8" x14ac:dyDescent="0.35">
      <c r="A850" s="2" t="s">
        <v>2231</v>
      </c>
      <c r="B850" s="2" t="s">
        <v>2232</v>
      </c>
      <c r="C850" s="2" t="s">
        <v>2233</v>
      </c>
      <c r="D850" t="s">
        <v>5905</v>
      </c>
      <c r="E850" t="s">
        <v>7035</v>
      </c>
      <c r="F850" t="s">
        <v>12</v>
      </c>
      <c r="G850" t="s">
        <v>0</v>
      </c>
      <c r="H850" s="1">
        <f>DATE(2023,3,14)</f>
        <v>44999</v>
      </c>
    </row>
    <row r="851" spans="1:8" x14ac:dyDescent="0.35">
      <c r="A851" s="2" t="s">
        <v>2234</v>
      </c>
      <c r="B851" s="2" t="s">
        <v>2235</v>
      </c>
      <c r="C851" s="2" t="s">
        <v>2236</v>
      </c>
      <c r="D851" t="s">
        <v>5906</v>
      </c>
      <c r="E851" t="s">
        <v>7036</v>
      </c>
      <c r="F851" t="s">
        <v>12</v>
      </c>
      <c r="G851" t="s">
        <v>0</v>
      </c>
      <c r="H851" s="1">
        <f>DATE(2021,12,2)</f>
        <v>44532</v>
      </c>
    </row>
    <row r="852" spans="1:8" x14ac:dyDescent="0.35">
      <c r="A852" s="2" t="s">
        <v>2237</v>
      </c>
      <c r="B852" s="2" t="s">
        <v>2238</v>
      </c>
      <c r="D852" t="s">
        <v>5387</v>
      </c>
      <c r="E852" t="e">
        <v>#VALUE!</v>
      </c>
      <c r="F852" t="s">
        <v>12</v>
      </c>
      <c r="G852" t="s">
        <v>0</v>
      </c>
      <c r="H852" s="1">
        <f>DATE(2021,11,15)</f>
        <v>44515</v>
      </c>
    </row>
    <row r="853" spans="1:8" x14ac:dyDescent="0.35">
      <c r="A853" s="2" t="s">
        <v>2239</v>
      </c>
      <c r="B853" s="2" t="s">
        <v>2240</v>
      </c>
      <c r="C853" s="2" t="s">
        <v>2241</v>
      </c>
      <c r="D853" t="s">
        <v>5907</v>
      </c>
      <c r="E853" t="s">
        <v>7037</v>
      </c>
      <c r="F853" t="s">
        <v>12</v>
      </c>
      <c r="G853" t="s">
        <v>0</v>
      </c>
      <c r="H853" s="1">
        <f>DATE(2024,1,9)</f>
        <v>45300</v>
      </c>
    </row>
    <row r="854" spans="1:8" x14ac:dyDescent="0.35">
      <c r="A854" s="2" t="s">
        <v>2242</v>
      </c>
      <c r="B854" s="2" t="s">
        <v>2243</v>
      </c>
      <c r="D854" t="s">
        <v>5387</v>
      </c>
      <c r="E854" t="e">
        <v>#VALUE!</v>
      </c>
      <c r="F854" t="s">
        <v>12</v>
      </c>
      <c r="G854" t="s">
        <v>0</v>
      </c>
      <c r="H854" s="1">
        <f>DATE(2021,8,4)</f>
        <v>44412</v>
      </c>
    </row>
    <row r="855" spans="1:8" x14ac:dyDescent="0.35">
      <c r="A855" s="2" t="s">
        <v>2244</v>
      </c>
      <c r="B855" s="2" t="s">
        <v>2245</v>
      </c>
      <c r="C855" s="2" t="s">
        <v>2246</v>
      </c>
      <c r="D855" t="s">
        <v>5908</v>
      </c>
      <c r="E855" t="s">
        <v>7038</v>
      </c>
      <c r="F855" t="s">
        <v>12</v>
      </c>
      <c r="G855" t="s">
        <v>0</v>
      </c>
      <c r="H855" s="1">
        <f>DATE(2022,6,30)</f>
        <v>44742</v>
      </c>
    </row>
    <row r="856" spans="1:8" x14ac:dyDescent="0.35">
      <c r="A856" s="2" t="s">
        <v>2247</v>
      </c>
      <c r="B856" s="2" t="s">
        <v>2248</v>
      </c>
      <c r="C856" s="2" t="s">
        <v>2249</v>
      </c>
      <c r="D856" t="s">
        <v>5909</v>
      </c>
      <c r="E856" t="s">
        <v>7039</v>
      </c>
      <c r="F856" t="s">
        <v>12</v>
      </c>
      <c r="G856" t="s">
        <v>0</v>
      </c>
      <c r="H856" s="1">
        <f>DATE(2021,8,16)</f>
        <v>44424</v>
      </c>
    </row>
    <row r="857" spans="1:8" x14ac:dyDescent="0.35">
      <c r="A857" s="2" t="s">
        <v>2250</v>
      </c>
      <c r="B857" s="2" t="s">
        <v>2251</v>
      </c>
      <c r="D857" t="s">
        <v>5387</v>
      </c>
      <c r="E857" t="e">
        <v>#VALUE!</v>
      </c>
      <c r="F857" t="s">
        <v>12</v>
      </c>
      <c r="G857" t="s">
        <v>0</v>
      </c>
      <c r="H857" s="1">
        <f>DATE(2021,9,2)</f>
        <v>44441</v>
      </c>
    </row>
    <row r="858" spans="1:8" x14ac:dyDescent="0.35">
      <c r="A858" s="2" t="s">
        <v>2252</v>
      </c>
      <c r="B858" s="2" t="s">
        <v>2253</v>
      </c>
      <c r="C858" s="2" t="s">
        <v>2254</v>
      </c>
      <c r="D858" t="s">
        <v>5910</v>
      </c>
      <c r="E858" t="s">
        <v>7040</v>
      </c>
      <c r="F858" t="s">
        <v>12</v>
      </c>
      <c r="G858" t="s">
        <v>0</v>
      </c>
      <c r="H858" s="1">
        <f>DATE(2022,3,2)</f>
        <v>44622</v>
      </c>
    </row>
    <row r="859" spans="1:8" x14ac:dyDescent="0.35">
      <c r="A859" s="2" t="s">
        <v>2255</v>
      </c>
      <c r="B859" s="2" t="s">
        <v>2256</v>
      </c>
      <c r="C859" s="2" t="s">
        <v>2257</v>
      </c>
      <c r="D859" t="s">
        <v>5911</v>
      </c>
      <c r="E859" t="s">
        <v>7041</v>
      </c>
      <c r="F859" t="s">
        <v>12</v>
      </c>
      <c r="G859" t="s">
        <v>0</v>
      </c>
      <c r="H859" s="1">
        <f>DATE(2022,7,13)</f>
        <v>44755</v>
      </c>
    </row>
    <row r="860" spans="1:8" x14ac:dyDescent="0.35">
      <c r="A860" s="2" t="s">
        <v>2258</v>
      </c>
      <c r="B860" s="2" t="s">
        <v>2259</v>
      </c>
      <c r="C860" s="2" t="s">
        <v>2260</v>
      </c>
      <c r="D860" t="s">
        <v>5912</v>
      </c>
      <c r="E860" t="s">
        <v>7042</v>
      </c>
      <c r="F860" t="s">
        <v>12</v>
      </c>
      <c r="G860" t="s">
        <v>0</v>
      </c>
      <c r="H860" s="1">
        <f>DATE(2022,7,13)</f>
        <v>44755</v>
      </c>
    </row>
    <row r="861" spans="1:8" x14ac:dyDescent="0.35">
      <c r="A861" s="2" t="s">
        <v>2261</v>
      </c>
      <c r="B861" s="2" t="s">
        <v>2262</v>
      </c>
      <c r="C861" s="2" t="s">
        <v>2263</v>
      </c>
      <c r="D861" t="s">
        <v>5913</v>
      </c>
      <c r="E861" t="s">
        <v>7043</v>
      </c>
      <c r="F861" t="s">
        <v>12</v>
      </c>
      <c r="G861" t="s">
        <v>0</v>
      </c>
      <c r="H861" s="1">
        <f>DATE(2023,3,14)</f>
        <v>44999</v>
      </c>
    </row>
    <row r="862" spans="1:8" x14ac:dyDescent="0.35">
      <c r="A862" s="2" t="s">
        <v>2264</v>
      </c>
      <c r="B862" s="2" t="s">
        <v>2265</v>
      </c>
      <c r="C862" s="2" t="s">
        <v>2266</v>
      </c>
      <c r="D862" t="s">
        <v>5914</v>
      </c>
      <c r="E862" t="s">
        <v>7044</v>
      </c>
      <c r="F862" t="s">
        <v>12</v>
      </c>
      <c r="G862" t="s">
        <v>0</v>
      </c>
      <c r="H862" s="1">
        <f>DATE(2022,7,21)</f>
        <v>44763</v>
      </c>
    </row>
    <row r="863" spans="1:8" x14ac:dyDescent="0.35">
      <c r="A863" s="2" t="s">
        <v>2267</v>
      </c>
      <c r="B863" s="2" t="s">
        <v>2268</v>
      </c>
      <c r="C863" s="2" t="s">
        <v>2269</v>
      </c>
      <c r="D863" t="s">
        <v>5915</v>
      </c>
      <c r="E863" t="s">
        <v>7045</v>
      </c>
      <c r="F863" t="s">
        <v>12</v>
      </c>
      <c r="G863" t="s">
        <v>0</v>
      </c>
      <c r="H863" s="1">
        <f>DATE(2022,3,2)</f>
        <v>44622</v>
      </c>
    </row>
    <row r="864" spans="1:8" x14ac:dyDescent="0.35">
      <c r="A864" s="2" t="s">
        <v>2270</v>
      </c>
      <c r="B864" s="2" t="s">
        <v>2271</v>
      </c>
      <c r="C864" s="2" t="s">
        <v>2272</v>
      </c>
      <c r="D864" t="s">
        <v>5916</v>
      </c>
      <c r="E864" t="s">
        <v>7046</v>
      </c>
      <c r="F864" t="s">
        <v>12</v>
      </c>
      <c r="G864" t="s">
        <v>0</v>
      </c>
      <c r="H864" s="1">
        <f>DATE(2023,11,22)</f>
        <v>45252</v>
      </c>
    </row>
    <row r="865" spans="1:8" x14ac:dyDescent="0.35">
      <c r="A865" s="2" t="s">
        <v>2273</v>
      </c>
      <c r="B865" s="2" t="s">
        <v>2274</v>
      </c>
      <c r="C865" s="2" t="s">
        <v>2275</v>
      </c>
      <c r="D865" t="s">
        <v>5917</v>
      </c>
      <c r="E865" t="s">
        <v>7047</v>
      </c>
      <c r="F865" t="s">
        <v>12</v>
      </c>
      <c r="G865" t="s">
        <v>0</v>
      </c>
      <c r="H865" s="1">
        <f>DATE(2022,7,28)</f>
        <v>44770</v>
      </c>
    </row>
    <row r="866" spans="1:8" x14ac:dyDescent="0.35">
      <c r="A866" s="2" t="s">
        <v>2276</v>
      </c>
      <c r="B866" s="2" t="s">
        <v>2277</v>
      </c>
      <c r="C866" s="2" t="s">
        <v>2278</v>
      </c>
      <c r="D866" t="s">
        <v>5918</v>
      </c>
      <c r="E866" t="s">
        <v>7048</v>
      </c>
      <c r="F866" t="s">
        <v>12</v>
      </c>
      <c r="G866" t="s">
        <v>0</v>
      </c>
      <c r="H866" s="1">
        <f>DATE(2021,9,24)</f>
        <v>44463</v>
      </c>
    </row>
    <row r="867" spans="1:8" x14ac:dyDescent="0.35">
      <c r="A867" s="2" t="s">
        <v>2279</v>
      </c>
      <c r="B867" s="2" t="s">
        <v>2280</v>
      </c>
      <c r="D867" t="s">
        <v>5387</v>
      </c>
      <c r="E867" t="e">
        <v>#VALUE!</v>
      </c>
      <c r="F867" t="s">
        <v>12</v>
      </c>
      <c r="G867" t="s">
        <v>0</v>
      </c>
      <c r="H867" s="1">
        <f>DATE(2022,6,27)</f>
        <v>44739</v>
      </c>
    </row>
    <row r="868" spans="1:8" x14ac:dyDescent="0.35">
      <c r="A868" s="2" t="s">
        <v>2281</v>
      </c>
      <c r="B868" s="2" t="s">
        <v>2282</v>
      </c>
      <c r="C868" s="2" t="s">
        <v>2283</v>
      </c>
      <c r="D868" t="s">
        <v>5919</v>
      </c>
      <c r="E868" t="s">
        <v>7049</v>
      </c>
      <c r="F868" t="s">
        <v>12</v>
      </c>
      <c r="G868" t="s">
        <v>0</v>
      </c>
      <c r="H868" s="1">
        <f>DATE(2021,12,22)</f>
        <v>44552</v>
      </c>
    </row>
    <row r="869" spans="1:8" x14ac:dyDescent="0.35">
      <c r="A869" s="2" t="s">
        <v>2284</v>
      </c>
      <c r="B869" s="2" t="s">
        <v>2285</v>
      </c>
      <c r="D869" t="s">
        <v>5387</v>
      </c>
      <c r="E869" t="e">
        <v>#VALUE!</v>
      </c>
      <c r="F869" t="s">
        <v>12</v>
      </c>
      <c r="G869" t="s">
        <v>0</v>
      </c>
      <c r="H869" s="1">
        <f>DATE(2021,9,24)</f>
        <v>44463</v>
      </c>
    </row>
    <row r="870" spans="1:8" x14ac:dyDescent="0.35">
      <c r="A870" s="2" t="s">
        <v>2286</v>
      </c>
      <c r="B870" s="2" t="s">
        <v>2287</v>
      </c>
      <c r="D870" t="s">
        <v>5387</v>
      </c>
      <c r="E870" t="e">
        <v>#VALUE!</v>
      </c>
      <c r="F870" t="s">
        <v>12</v>
      </c>
      <c r="G870" t="s">
        <v>0</v>
      </c>
      <c r="H870" s="1">
        <f>DATE(2021,9,24)</f>
        <v>44463</v>
      </c>
    </row>
    <row r="871" spans="1:8" x14ac:dyDescent="0.35">
      <c r="A871" s="2" t="s">
        <v>2288</v>
      </c>
      <c r="B871" s="2" t="s">
        <v>2289</v>
      </c>
      <c r="D871" t="s">
        <v>5387</v>
      </c>
      <c r="E871" t="e">
        <v>#VALUE!</v>
      </c>
      <c r="F871" t="s">
        <v>12</v>
      </c>
      <c r="G871" t="s">
        <v>0</v>
      </c>
      <c r="H871" s="1">
        <f>DATE(2021,9,14)</f>
        <v>44453</v>
      </c>
    </row>
    <row r="872" spans="1:8" x14ac:dyDescent="0.35">
      <c r="A872" s="2" t="s">
        <v>2290</v>
      </c>
      <c r="B872" s="2" t="s">
        <v>2291</v>
      </c>
      <c r="C872" s="2" t="s">
        <v>2292</v>
      </c>
      <c r="D872" t="s">
        <v>5920</v>
      </c>
      <c r="E872" t="s">
        <v>7050</v>
      </c>
      <c r="F872" t="s">
        <v>12</v>
      </c>
      <c r="G872" t="s">
        <v>0</v>
      </c>
      <c r="H872" s="1">
        <f>DATE(2022,4,4)</f>
        <v>44655</v>
      </c>
    </row>
    <row r="873" spans="1:8" x14ac:dyDescent="0.35">
      <c r="A873" s="2" t="s">
        <v>2293</v>
      </c>
      <c r="B873" s="2" t="s">
        <v>2294</v>
      </c>
      <c r="C873" s="2" t="s">
        <v>2295</v>
      </c>
      <c r="D873" t="s">
        <v>5921</v>
      </c>
      <c r="E873" t="s">
        <v>7051</v>
      </c>
      <c r="F873" t="s">
        <v>12</v>
      </c>
      <c r="G873" t="s">
        <v>0</v>
      </c>
      <c r="H873" s="1">
        <f>DATE(2022,10,27)</f>
        <v>44861</v>
      </c>
    </row>
    <row r="874" spans="1:8" x14ac:dyDescent="0.35">
      <c r="A874" s="2" t="s">
        <v>2296</v>
      </c>
      <c r="B874" s="2" t="s">
        <v>2297</v>
      </c>
      <c r="D874" t="s">
        <v>5387</v>
      </c>
      <c r="E874" t="e">
        <v>#VALUE!</v>
      </c>
      <c r="F874" t="s">
        <v>12</v>
      </c>
      <c r="G874" t="s">
        <v>0</v>
      </c>
      <c r="H874" s="1">
        <f>DATE(2021,9,24)</f>
        <v>44463</v>
      </c>
    </row>
    <row r="875" spans="1:8" x14ac:dyDescent="0.35">
      <c r="A875" s="2" t="s">
        <v>2298</v>
      </c>
      <c r="B875" s="2" t="s">
        <v>2299</v>
      </c>
      <c r="C875" s="2" t="s">
        <v>2300</v>
      </c>
      <c r="D875" t="s">
        <v>5922</v>
      </c>
      <c r="E875" t="s">
        <v>7052</v>
      </c>
      <c r="F875" t="s">
        <v>12</v>
      </c>
      <c r="G875" t="s">
        <v>0</v>
      </c>
      <c r="H875" s="1">
        <f>DATE(2023,5,12)</f>
        <v>45058</v>
      </c>
    </row>
    <row r="876" spans="1:8" x14ac:dyDescent="0.35">
      <c r="A876" s="2" t="s">
        <v>2301</v>
      </c>
      <c r="B876" s="2" t="s">
        <v>2302</v>
      </c>
      <c r="D876" t="s">
        <v>5387</v>
      </c>
      <c r="E876" t="e">
        <v>#VALUE!</v>
      </c>
      <c r="F876" t="s">
        <v>12</v>
      </c>
      <c r="G876" t="s">
        <v>0</v>
      </c>
      <c r="H876" s="1">
        <f>DATE(2021,9,24)</f>
        <v>44463</v>
      </c>
    </row>
    <row r="877" spans="1:8" x14ac:dyDescent="0.35">
      <c r="A877" s="2" t="s">
        <v>2303</v>
      </c>
      <c r="B877" s="2" t="s">
        <v>2304</v>
      </c>
      <c r="C877" s="2" t="s">
        <v>2305</v>
      </c>
      <c r="D877" t="s">
        <v>5923</v>
      </c>
      <c r="E877" t="s">
        <v>7053</v>
      </c>
      <c r="F877" t="s">
        <v>12</v>
      </c>
      <c r="G877" t="s">
        <v>0</v>
      </c>
      <c r="H877" s="1">
        <f>DATE(2021,9,23)</f>
        <v>44462</v>
      </c>
    </row>
    <row r="878" spans="1:8" x14ac:dyDescent="0.35">
      <c r="A878" s="2" t="s">
        <v>2306</v>
      </c>
      <c r="B878" s="2" t="s">
        <v>2307</v>
      </c>
      <c r="C878" s="2" t="s">
        <v>2308</v>
      </c>
      <c r="D878" t="s">
        <v>5924</v>
      </c>
      <c r="E878" t="s">
        <v>7054</v>
      </c>
      <c r="F878" t="s">
        <v>12</v>
      </c>
      <c r="G878" t="s">
        <v>0</v>
      </c>
      <c r="H878" s="1">
        <f>DATE(2021,9,24)</f>
        <v>44463</v>
      </c>
    </row>
    <row r="879" spans="1:8" x14ac:dyDescent="0.35">
      <c r="A879" s="2" t="s">
        <v>2309</v>
      </c>
      <c r="B879" s="2" t="s">
        <v>2310</v>
      </c>
      <c r="C879" s="2" t="s">
        <v>2311</v>
      </c>
      <c r="D879" t="s">
        <v>5925</v>
      </c>
      <c r="E879" t="s">
        <v>7055</v>
      </c>
      <c r="F879" t="s">
        <v>12</v>
      </c>
      <c r="G879" t="s">
        <v>0</v>
      </c>
      <c r="H879" s="1">
        <f>DATE(2022,1,21)</f>
        <v>44582</v>
      </c>
    </row>
    <row r="880" spans="1:8" x14ac:dyDescent="0.35">
      <c r="A880" s="2" t="s">
        <v>2312</v>
      </c>
      <c r="B880" s="2" t="s">
        <v>2313</v>
      </c>
      <c r="C880" s="2" t="s">
        <v>1040</v>
      </c>
      <c r="D880" t="s">
        <v>5602</v>
      </c>
      <c r="E880" t="s">
        <v>6732</v>
      </c>
      <c r="F880" t="s">
        <v>12</v>
      </c>
      <c r="G880" t="s">
        <v>0</v>
      </c>
      <c r="H880" s="1">
        <f>DATE(2023,10,30)</f>
        <v>45229</v>
      </c>
    </row>
    <row r="881" spans="1:8" x14ac:dyDescent="0.35">
      <c r="A881" s="2" t="s">
        <v>2314</v>
      </c>
      <c r="B881" s="2" t="s">
        <v>2315</v>
      </c>
      <c r="C881" s="2" t="s">
        <v>2316</v>
      </c>
      <c r="D881" t="s">
        <v>5926</v>
      </c>
      <c r="E881" t="s">
        <v>7056</v>
      </c>
      <c r="F881" t="s">
        <v>12</v>
      </c>
      <c r="G881" t="s">
        <v>0</v>
      </c>
      <c r="H881" s="1">
        <f>DATE(2021,9,24)</f>
        <v>44463</v>
      </c>
    </row>
    <row r="882" spans="1:8" x14ac:dyDescent="0.35">
      <c r="A882" s="2" t="s">
        <v>2317</v>
      </c>
      <c r="B882" s="2" t="s">
        <v>2318</v>
      </c>
      <c r="C882" s="2" t="s">
        <v>2319</v>
      </c>
      <c r="D882" t="s">
        <v>5927</v>
      </c>
      <c r="E882" t="s">
        <v>7057</v>
      </c>
      <c r="F882" t="s">
        <v>12</v>
      </c>
      <c r="G882" t="s">
        <v>0</v>
      </c>
      <c r="H882" s="1">
        <f>DATE(2023,11,13)</f>
        <v>45243</v>
      </c>
    </row>
    <row r="883" spans="1:8" x14ac:dyDescent="0.35">
      <c r="A883" s="2" t="s">
        <v>2320</v>
      </c>
      <c r="B883" s="2" t="s">
        <v>2321</v>
      </c>
      <c r="C883" s="2" t="s">
        <v>2322</v>
      </c>
      <c r="D883" t="s">
        <v>5928</v>
      </c>
      <c r="E883" t="s">
        <v>7058</v>
      </c>
      <c r="F883" t="s">
        <v>12</v>
      </c>
      <c r="G883" t="s">
        <v>0</v>
      </c>
      <c r="H883" s="1">
        <f>DATE(2022,2,14)</f>
        <v>44606</v>
      </c>
    </row>
    <row r="884" spans="1:8" x14ac:dyDescent="0.35">
      <c r="A884" s="2" t="s">
        <v>2323</v>
      </c>
      <c r="B884" s="2" t="s">
        <v>2324</v>
      </c>
      <c r="C884" s="2" t="s">
        <v>2325</v>
      </c>
      <c r="D884" t="s">
        <v>5929</v>
      </c>
      <c r="E884" t="s">
        <v>7059</v>
      </c>
      <c r="F884" t="s">
        <v>12</v>
      </c>
      <c r="G884" t="s">
        <v>0</v>
      </c>
      <c r="H884" s="1">
        <f>DATE(2021,10,5)</f>
        <v>44474</v>
      </c>
    </row>
    <row r="885" spans="1:8" x14ac:dyDescent="0.35">
      <c r="A885" s="2" t="s">
        <v>2326</v>
      </c>
      <c r="B885" s="2" t="s">
        <v>2327</v>
      </c>
      <c r="C885" s="2" t="s">
        <v>2328</v>
      </c>
      <c r="D885" t="s">
        <v>5930</v>
      </c>
      <c r="E885" t="s">
        <v>7060</v>
      </c>
      <c r="F885" t="s">
        <v>12</v>
      </c>
      <c r="G885" t="s">
        <v>0</v>
      </c>
      <c r="H885" s="1">
        <f>DATE(2021,10,5)</f>
        <v>44474</v>
      </c>
    </row>
    <row r="886" spans="1:8" x14ac:dyDescent="0.35">
      <c r="A886" s="2" t="s">
        <v>2329</v>
      </c>
      <c r="B886" s="2" t="s">
        <v>2330</v>
      </c>
      <c r="D886" t="s">
        <v>5387</v>
      </c>
      <c r="E886" t="e">
        <v>#VALUE!</v>
      </c>
      <c r="F886" t="s">
        <v>12</v>
      </c>
      <c r="G886" t="s">
        <v>0</v>
      </c>
      <c r="H886" s="1">
        <f>DATE(2021,10,5)</f>
        <v>44474</v>
      </c>
    </row>
    <row r="887" spans="1:8" x14ac:dyDescent="0.35">
      <c r="A887" s="2" t="s">
        <v>2331</v>
      </c>
      <c r="B887" s="2" t="s">
        <v>2332</v>
      </c>
      <c r="C887" s="2" t="s">
        <v>2333</v>
      </c>
      <c r="D887" t="s">
        <v>5931</v>
      </c>
      <c r="E887" t="s">
        <v>7061</v>
      </c>
      <c r="F887" t="s">
        <v>12</v>
      </c>
      <c r="G887" t="s">
        <v>0</v>
      </c>
      <c r="H887" s="1">
        <f>DATE(2022,6,28)</f>
        <v>44740</v>
      </c>
    </row>
    <row r="888" spans="1:8" x14ac:dyDescent="0.35">
      <c r="A888" s="2" t="s">
        <v>2334</v>
      </c>
      <c r="B888" s="2" t="s">
        <v>2335</v>
      </c>
      <c r="D888" t="s">
        <v>5387</v>
      </c>
      <c r="E888" t="e">
        <v>#VALUE!</v>
      </c>
      <c r="F888" t="s">
        <v>12</v>
      </c>
      <c r="G888" t="s">
        <v>0</v>
      </c>
      <c r="H888" s="1">
        <f>DATE(2021,10,11)</f>
        <v>44480</v>
      </c>
    </row>
    <row r="889" spans="1:8" x14ac:dyDescent="0.35">
      <c r="A889" s="2" t="s">
        <v>2336</v>
      </c>
      <c r="B889" s="2" t="s">
        <v>2337</v>
      </c>
      <c r="C889" s="2" t="s">
        <v>2338</v>
      </c>
      <c r="D889" t="s">
        <v>5932</v>
      </c>
      <c r="E889" t="s">
        <v>7062</v>
      </c>
      <c r="F889" t="s">
        <v>12</v>
      </c>
      <c r="G889" t="s">
        <v>0</v>
      </c>
      <c r="H889" s="1">
        <f>DATE(2021,10,11)</f>
        <v>44480</v>
      </c>
    </row>
    <row r="890" spans="1:8" x14ac:dyDescent="0.35">
      <c r="A890" s="2" t="s">
        <v>2339</v>
      </c>
      <c r="B890" s="2" t="s">
        <v>2340</v>
      </c>
      <c r="C890" s="2" t="s">
        <v>2341</v>
      </c>
      <c r="D890" t="s">
        <v>5933</v>
      </c>
      <c r="E890" t="s">
        <v>7063</v>
      </c>
      <c r="F890" t="s">
        <v>12</v>
      </c>
      <c r="G890" t="s">
        <v>0</v>
      </c>
      <c r="H890" s="1">
        <f>DATE(2022,7,13)</f>
        <v>44755</v>
      </c>
    </row>
    <row r="891" spans="1:8" x14ac:dyDescent="0.35">
      <c r="A891" s="2" t="s">
        <v>2342</v>
      </c>
      <c r="B891" s="2" t="s">
        <v>2343</v>
      </c>
      <c r="C891" s="2" t="s">
        <v>2344</v>
      </c>
      <c r="D891" t="s">
        <v>5934</v>
      </c>
      <c r="E891" t="s">
        <v>7064</v>
      </c>
      <c r="F891" t="s">
        <v>12</v>
      </c>
      <c r="G891" t="s">
        <v>0</v>
      </c>
      <c r="H891" s="1">
        <f>DATE(2022,4,5)</f>
        <v>44656</v>
      </c>
    </row>
    <row r="892" spans="1:8" x14ac:dyDescent="0.35">
      <c r="A892" s="2" t="s">
        <v>2345</v>
      </c>
      <c r="B892" s="2" t="s">
        <v>2346</v>
      </c>
      <c r="D892" t="s">
        <v>5387</v>
      </c>
      <c r="E892" t="e">
        <v>#VALUE!</v>
      </c>
      <c r="F892" t="s">
        <v>12</v>
      </c>
      <c r="G892" t="s">
        <v>0</v>
      </c>
      <c r="H892" s="1">
        <f>DATE(2022,10,31)</f>
        <v>44865</v>
      </c>
    </row>
    <row r="893" spans="1:8" x14ac:dyDescent="0.35">
      <c r="A893" s="2" t="s">
        <v>2347</v>
      </c>
      <c r="B893" s="2" t="s">
        <v>2348</v>
      </c>
      <c r="D893" t="s">
        <v>5387</v>
      </c>
      <c r="E893" t="e">
        <v>#VALUE!</v>
      </c>
      <c r="F893" t="s">
        <v>12</v>
      </c>
      <c r="G893" t="s">
        <v>0</v>
      </c>
      <c r="H893" s="1">
        <f>DATE(2022,4,4)</f>
        <v>44655</v>
      </c>
    </row>
    <row r="894" spans="1:8" x14ac:dyDescent="0.35">
      <c r="A894" s="2" t="s">
        <v>2349</v>
      </c>
      <c r="B894" s="2" t="s">
        <v>2350</v>
      </c>
      <c r="C894" s="2" t="s">
        <v>2351</v>
      </c>
      <c r="D894" t="s">
        <v>5935</v>
      </c>
      <c r="E894" t="s">
        <v>7065</v>
      </c>
      <c r="F894" t="s">
        <v>12</v>
      </c>
      <c r="G894" t="s">
        <v>0</v>
      </c>
      <c r="H894" s="1">
        <f>DATE(2021,10,18)</f>
        <v>44487</v>
      </c>
    </row>
    <row r="895" spans="1:8" x14ac:dyDescent="0.35">
      <c r="A895" s="2" t="s">
        <v>2352</v>
      </c>
      <c r="B895" s="2" t="s">
        <v>2353</v>
      </c>
      <c r="C895" s="2" t="s">
        <v>2354</v>
      </c>
      <c r="D895" t="s">
        <v>5936</v>
      </c>
      <c r="E895" t="s">
        <v>7066</v>
      </c>
      <c r="F895" t="s">
        <v>12</v>
      </c>
      <c r="G895" t="s">
        <v>0</v>
      </c>
      <c r="H895" s="1">
        <f>DATE(2021,10,19)</f>
        <v>44488</v>
      </c>
    </row>
    <row r="896" spans="1:8" x14ac:dyDescent="0.35">
      <c r="A896" s="2" t="s">
        <v>2355</v>
      </c>
      <c r="B896" s="2" t="s">
        <v>2356</v>
      </c>
      <c r="D896" t="s">
        <v>5387</v>
      </c>
      <c r="E896" t="e">
        <v>#VALUE!</v>
      </c>
      <c r="F896" t="s">
        <v>12</v>
      </c>
      <c r="G896" t="s">
        <v>0</v>
      </c>
      <c r="H896" s="1">
        <f>DATE(2022,4,4)</f>
        <v>44655</v>
      </c>
    </row>
    <row r="897" spans="1:8" x14ac:dyDescent="0.35">
      <c r="A897" s="2" t="s">
        <v>2357</v>
      </c>
      <c r="B897" s="2" t="s">
        <v>2358</v>
      </c>
      <c r="C897" s="2" t="s">
        <v>2359</v>
      </c>
      <c r="D897" t="s">
        <v>5937</v>
      </c>
      <c r="E897" t="s">
        <v>7067</v>
      </c>
      <c r="F897" t="s">
        <v>12</v>
      </c>
      <c r="G897" t="s">
        <v>0</v>
      </c>
      <c r="H897" s="1">
        <f>DATE(2022,10,31)</f>
        <v>44865</v>
      </c>
    </row>
    <row r="898" spans="1:8" x14ac:dyDescent="0.35">
      <c r="A898" s="2" t="s">
        <v>2360</v>
      </c>
      <c r="B898" s="2" t="s">
        <v>2361</v>
      </c>
      <c r="C898" s="2" t="s">
        <v>2362</v>
      </c>
      <c r="D898" t="s">
        <v>5938</v>
      </c>
      <c r="E898" t="s">
        <v>7068</v>
      </c>
      <c r="F898" t="s">
        <v>12</v>
      </c>
      <c r="G898" t="s">
        <v>0</v>
      </c>
      <c r="H898" s="1">
        <f>DATE(2022,7,13)</f>
        <v>44755</v>
      </c>
    </row>
    <row r="899" spans="1:8" x14ac:dyDescent="0.35">
      <c r="A899" s="2" t="s">
        <v>2363</v>
      </c>
      <c r="B899" s="2" t="s">
        <v>2364</v>
      </c>
      <c r="D899" t="s">
        <v>5387</v>
      </c>
      <c r="E899" t="e">
        <v>#VALUE!</v>
      </c>
      <c r="F899" t="s">
        <v>12</v>
      </c>
      <c r="G899" t="s">
        <v>0</v>
      </c>
      <c r="H899" s="1">
        <f>DATE(2021,10,21)</f>
        <v>44490</v>
      </c>
    </row>
    <row r="900" spans="1:8" x14ac:dyDescent="0.35">
      <c r="A900" s="2" t="s">
        <v>2365</v>
      </c>
      <c r="B900" s="2" t="s">
        <v>2366</v>
      </c>
      <c r="C900" s="2" t="s">
        <v>2367</v>
      </c>
      <c r="D900" t="s">
        <v>5939</v>
      </c>
      <c r="E900" t="s">
        <v>7069</v>
      </c>
      <c r="F900" t="s">
        <v>12</v>
      </c>
      <c r="G900" t="s">
        <v>0</v>
      </c>
      <c r="H900" s="1">
        <f>DATE(2023,3,9)</f>
        <v>44994</v>
      </c>
    </row>
    <row r="901" spans="1:8" x14ac:dyDescent="0.35">
      <c r="A901" s="2" t="s">
        <v>2368</v>
      </c>
      <c r="B901" s="2" t="s">
        <v>2369</v>
      </c>
      <c r="C901" s="2" t="s">
        <v>2370</v>
      </c>
      <c r="D901" t="s">
        <v>5940</v>
      </c>
      <c r="E901" t="s">
        <v>7070</v>
      </c>
      <c r="F901" t="s">
        <v>12</v>
      </c>
      <c r="G901" t="s">
        <v>0</v>
      </c>
      <c r="H901" s="1">
        <f>DATE(2021,10,22)</f>
        <v>44491</v>
      </c>
    </row>
    <row r="902" spans="1:8" x14ac:dyDescent="0.35">
      <c r="A902" s="2" t="s">
        <v>2371</v>
      </c>
      <c r="B902" s="2" t="s">
        <v>394</v>
      </c>
      <c r="C902" s="2" t="s">
        <v>2372</v>
      </c>
      <c r="D902" t="s">
        <v>5941</v>
      </c>
      <c r="E902" t="s">
        <v>7071</v>
      </c>
      <c r="F902" t="s">
        <v>12</v>
      </c>
      <c r="G902" t="s">
        <v>0</v>
      </c>
      <c r="H902" s="1">
        <f>DATE(2022,10,3)</f>
        <v>44837</v>
      </c>
    </row>
    <row r="903" spans="1:8" x14ac:dyDescent="0.35">
      <c r="A903" s="2" t="s">
        <v>2373</v>
      </c>
      <c r="B903" s="2" t="s">
        <v>2374</v>
      </c>
      <c r="C903" s="2" t="s">
        <v>2375</v>
      </c>
      <c r="D903" t="s">
        <v>5942</v>
      </c>
      <c r="E903" t="s">
        <v>7072</v>
      </c>
      <c r="F903" t="s">
        <v>12</v>
      </c>
      <c r="G903" t="s">
        <v>0</v>
      </c>
      <c r="H903" s="1">
        <f>DATE(2022,7,21)</f>
        <v>44763</v>
      </c>
    </row>
    <row r="904" spans="1:8" x14ac:dyDescent="0.35">
      <c r="A904" s="2" t="s">
        <v>2376</v>
      </c>
      <c r="B904" s="2" t="s">
        <v>2377</v>
      </c>
      <c r="C904" s="2" t="s">
        <v>2378</v>
      </c>
      <c r="D904" t="s">
        <v>5943</v>
      </c>
      <c r="E904" t="s">
        <v>7073</v>
      </c>
      <c r="F904" t="s">
        <v>12</v>
      </c>
      <c r="G904" t="s">
        <v>0</v>
      </c>
      <c r="H904" s="1">
        <f>DATE(2023,3,27)</f>
        <v>45012</v>
      </c>
    </row>
    <row r="905" spans="1:8" x14ac:dyDescent="0.35">
      <c r="A905" s="2" t="s">
        <v>2379</v>
      </c>
      <c r="B905" s="2" t="s">
        <v>2380</v>
      </c>
      <c r="C905" s="2" t="s">
        <v>2381</v>
      </c>
      <c r="D905" t="s">
        <v>5944</v>
      </c>
      <c r="E905" t="s">
        <v>7074</v>
      </c>
      <c r="F905" t="s">
        <v>12</v>
      </c>
      <c r="G905" t="s">
        <v>0</v>
      </c>
      <c r="H905" s="1">
        <f>DATE(2022,7,21)</f>
        <v>44763</v>
      </c>
    </row>
    <row r="906" spans="1:8" x14ac:dyDescent="0.35">
      <c r="A906" s="2" t="s">
        <v>2382</v>
      </c>
      <c r="B906" s="2" t="s">
        <v>2383</v>
      </c>
      <c r="D906" t="s">
        <v>5387</v>
      </c>
      <c r="E906" t="e">
        <v>#VALUE!</v>
      </c>
      <c r="F906" t="s">
        <v>12</v>
      </c>
      <c r="G906" t="s">
        <v>0</v>
      </c>
      <c r="H906" s="1">
        <f>DATE(2021,10,26)</f>
        <v>44495</v>
      </c>
    </row>
    <row r="907" spans="1:8" x14ac:dyDescent="0.35">
      <c r="A907" s="2" t="s">
        <v>2384</v>
      </c>
      <c r="B907" s="2" t="s">
        <v>2385</v>
      </c>
      <c r="D907" t="s">
        <v>5387</v>
      </c>
      <c r="E907" t="e">
        <v>#VALUE!</v>
      </c>
      <c r="F907" t="s">
        <v>12</v>
      </c>
      <c r="G907" t="s">
        <v>0</v>
      </c>
      <c r="H907" s="1">
        <f>DATE(2021,10,27)</f>
        <v>44496</v>
      </c>
    </row>
    <row r="908" spans="1:8" x14ac:dyDescent="0.35">
      <c r="A908" s="2" t="s">
        <v>2386</v>
      </c>
      <c r="B908" s="2" t="s">
        <v>2387</v>
      </c>
      <c r="C908" s="2" t="s">
        <v>2388</v>
      </c>
      <c r="D908" t="s">
        <v>5945</v>
      </c>
      <c r="E908" t="s">
        <v>7075</v>
      </c>
      <c r="F908" t="s">
        <v>12</v>
      </c>
      <c r="G908" t="s">
        <v>0</v>
      </c>
      <c r="H908" s="1">
        <f>DATE(2023,8,1)</f>
        <v>45139</v>
      </c>
    </row>
    <row r="909" spans="1:8" x14ac:dyDescent="0.35">
      <c r="A909" s="2" t="s">
        <v>2389</v>
      </c>
      <c r="B909" s="2" t="s">
        <v>2390</v>
      </c>
      <c r="C909" s="2" t="s">
        <v>2391</v>
      </c>
      <c r="D909" t="s">
        <v>5946</v>
      </c>
      <c r="E909" t="s">
        <v>7076</v>
      </c>
      <c r="F909" t="s">
        <v>12</v>
      </c>
      <c r="G909" t="s">
        <v>0</v>
      </c>
      <c r="H909" s="1">
        <f>DATE(2021,12,17)</f>
        <v>44547</v>
      </c>
    </row>
    <row r="910" spans="1:8" x14ac:dyDescent="0.35">
      <c r="A910" s="2" t="s">
        <v>2392</v>
      </c>
      <c r="B910" s="2" t="s">
        <v>2393</v>
      </c>
      <c r="C910" s="2" t="s">
        <v>2394</v>
      </c>
      <c r="D910" t="s">
        <v>5947</v>
      </c>
      <c r="E910" t="s">
        <v>7077</v>
      </c>
      <c r="F910" t="s">
        <v>12</v>
      </c>
      <c r="G910" t="s">
        <v>0</v>
      </c>
      <c r="H910" s="1">
        <f>DATE(2021,11,8)</f>
        <v>44508</v>
      </c>
    </row>
    <row r="911" spans="1:8" x14ac:dyDescent="0.35">
      <c r="A911" s="2" t="s">
        <v>2395</v>
      </c>
      <c r="B911" s="2" t="s">
        <v>2396</v>
      </c>
      <c r="C911" s="2" t="s">
        <v>2397</v>
      </c>
      <c r="D911" t="s">
        <v>5948</v>
      </c>
      <c r="E911" t="s">
        <v>7078</v>
      </c>
      <c r="F911" t="s">
        <v>12</v>
      </c>
      <c r="G911" t="s">
        <v>0</v>
      </c>
      <c r="H911" s="1">
        <f>DATE(2023,9,28)</f>
        <v>45197</v>
      </c>
    </row>
    <row r="912" spans="1:8" x14ac:dyDescent="0.35">
      <c r="A912" s="2" t="s">
        <v>2398</v>
      </c>
      <c r="B912" s="2" t="s">
        <v>2399</v>
      </c>
      <c r="D912" t="s">
        <v>5387</v>
      </c>
      <c r="E912" t="e">
        <v>#VALUE!</v>
      </c>
      <c r="F912" t="s">
        <v>12</v>
      </c>
      <c r="G912" t="s">
        <v>0</v>
      </c>
      <c r="H912" s="1">
        <f>DATE(2023,12,13)</f>
        <v>45273</v>
      </c>
    </row>
    <row r="913" spans="1:8" x14ac:dyDescent="0.35">
      <c r="A913" s="2" t="s">
        <v>2400</v>
      </c>
      <c r="B913" s="2" t="s">
        <v>2401</v>
      </c>
      <c r="C913" s="2" t="s">
        <v>2402</v>
      </c>
      <c r="D913" t="s">
        <v>5949</v>
      </c>
      <c r="E913" t="s">
        <v>7079</v>
      </c>
      <c r="F913" t="s">
        <v>12</v>
      </c>
      <c r="G913" t="s">
        <v>0</v>
      </c>
      <c r="H913" s="1">
        <f>DATE(2023,7,6)</f>
        <v>45113</v>
      </c>
    </row>
    <row r="914" spans="1:8" x14ac:dyDescent="0.35">
      <c r="A914" s="2" t="s">
        <v>2403</v>
      </c>
      <c r="B914" s="2" t="s">
        <v>2404</v>
      </c>
      <c r="C914" s="2" t="s">
        <v>2405</v>
      </c>
      <c r="D914" t="s">
        <v>5840</v>
      </c>
      <c r="E914" t="s">
        <v>6970</v>
      </c>
      <c r="F914" t="s">
        <v>12</v>
      </c>
      <c r="G914" t="s">
        <v>0</v>
      </c>
      <c r="H914" s="1">
        <f>DATE(2023,11,14)</f>
        <v>45244</v>
      </c>
    </row>
    <row r="915" spans="1:8" x14ac:dyDescent="0.35">
      <c r="A915" s="2" t="s">
        <v>2406</v>
      </c>
      <c r="B915" s="2" t="s">
        <v>2407</v>
      </c>
      <c r="D915" t="s">
        <v>5387</v>
      </c>
      <c r="E915" t="e">
        <v>#VALUE!</v>
      </c>
      <c r="F915" t="s">
        <v>12</v>
      </c>
      <c r="G915" t="s">
        <v>0</v>
      </c>
      <c r="H915" s="1">
        <f>DATE(2021,11,10)</f>
        <v>44510</v>
      </c>
    </row>
    <row r="916" spans="1:8" x14ac:dyDescent="0.35">
      <c r="A916" s="2" t="s">
        <v>2408</v>
      </c>
      <c r="B916" s="2" t="s">
        <v>2409</v>
      </c>
      <c r="C916" s="2" t="s">
        <v>2410</v>
      </c>
      <c r="D916" t="s">
        <v>5950</v>
      </c>
      <c r="E916" t="s">
        <v>7080</v>
      </c>
      <c r="F916" t="s">
        <v>12</v>
      </c>
      <c r="G916" t="s">
        <v>0</v>
      </c>
      <c r="H916" s="1">
        <f>DATE(2021,11,10)</f>
        <v>44510</v>
      </c>
    </row>
    <row r="917" spans="1:8" x14ac:dyDescent="0.35">
      <c r="A917" s="2" t="s">
        <v>2411</v>
      </c>
      <c r="B917" s="2" t="s">
        <v>2412</v>
      </c>
      <c r="D917" t="s">
        <v>5387</v>
      </c>
      <c r="E917" t="e">
        <v>#VALUE!</v>
      </c>
      <c r="F917" t="s">
        <v>12</v>
      </c>
      <c r="G917" t="s">
        <v>0</v>
      </c>
      <c r="H917" s="1">
        <f>DATE(2022,7,15)</f>
        <v>44757</v>
      </c>
    </row>
    <row r="918" spans="1:8" x14ac:dyDescent="0.35">
      <c r="A918" s="2" t="s">
        <v>2413</v>
      </c>
      <c r="B918" s="2" t="s">
        <v>2414</v>
      </c>
      <c r="C918" s="2" t="s">
        <v>2415</v>
      </c>
      <c r="D918" t="s">
        <v>5951</v>
      </c>
      <c r="E918" t="s">
        <v>7081</v>
      </c>
      <c r="F918" t="s">
        <v>12</v>
      </c>
      <c r="G918" t="s">
        <v>0</v>
      </c>
      <c r="H918" s="1">
        <f>DATE(2022,3,7)</f>
        <v>44627</v>
      </c>
    </row>
    <row r="919" spans="1:8" x14ac:dyDescent="0.35">
      <c r="A919" s="2" t="s">
        <v>2416</v>
      </c>
      <c r="B919" s="2" t="s">
        <v>2417</v>
      </c>
      <c r="D919" t="s">
        <v>5387</v>
      </c>
      <c r="E919" t="e">
        <v>#VALUE!</v>
      </c>
      <c r="F919" t="s">
        <v>12</v>
      </c>
      <c r="G919" t="s">
        <v>0</v>
      </c>
      <c r="H919" s="1">
        <f>DATE(2023,10,11)</f>
        <v>45210</v>
      </c>
    </row>
    <row r="920" spans="1:8" x14ac:dyDescent="0.35">
      <c r="A920" s="2" t="s">
        <v>2418</v>
      </c>
      <c r="B920" s="2" t="s">
        <v>2419</v>
      </c>
      <c r="D920" t="s">
        <v>5387</v>
      </c>
      <c r="E920" t="e">
        <v>#VALUE!</v>
      </c>
      <c r="F920" t="s">
        <v>12</v>
      </c>
      <c r="G920" t="s">
        <v>0</v>
      </c>
      <c r="H920" s="1">
        <f>DATE(2022,5,24)</f>
        <v>44705</v>
      </c>
    </row>
    <row r="921" spans="1:8" x14ac:dyDescent="0.35">
      <c r="A921" s="2" t="s">
        <v>2420</v>
      </c>
      <c r="B921" s="2" t="s">
        <v>2421</v>
      </c>
      <c r="C921" s="2" t="s">
        <v>2422</v>
      </c>
      <c r="D921" t="s">
        <v>5952</v>
      </c>
      <c r="E921" t="s">
        <v>7082</v>
      </c>
      <c r="F921" t="s">
        <v>12</v>
      </c>
      <c r="G921" t="s">
        <v>0</v>
      </c>
      <c r="H921" s="1">
        <f>DATE(2021,11,15)</f>
        <v>44515</v>
      </c>
    </row>
    <row r="922" spans="1:8" x14ac:dyDescent="0.35">
      <c r="A922" s="2" t="s">
        <v>2423</v>
      </c>
      <c r="B922" s="2" t="s">
        <v>2424</v>
      </c>
      <c r="C922" s="2" t="s">
        <v>2425</v>
      </c>
      <c r="D922" t="s">
        <v>5953</v>
      </c>
      <c r="E922" t="s">
        <v>7083</v>
      </c>
      <c r="F922" t="s">
        <v>12</v>
      </c>
      <c r="G922" t="s">
        <v>0</v>
      </c>
      <c r="H922" s="1">
        <f>DATE(2023,9,26)</f>
        <v>45195</v>
      </c>
    </row>
    <row r="923" spans="1:8" x14ac:dyDescent="0.35">
      <c r="A923" s="2" t="s">
        <v>2426</v>
      </c>
      <c r="B923" s="2" t="s">
        <v>2427</v>
      </c>
      <c r="C923" s="2" t="s">
        <v>2428</v>
      </c>
      <c r="D923" t="s">
        <v>5954</v>
      </c>
      <c r="E923" t="s">
        <v>7084</v>
      </c>
      <c r="F923" t="s">
        <v>12</v>
      </c>
      <c r="G923" t="s">
        <v>0</v>
      </c>
      <c r="H923" s="1">
        <f>DATE(2023,10,9)</f>
        <v>45208</v>
      </c>
    </row>
    <row r="924" spans="1:8" x14ac:dyDescent="0.35">
      <c r="A924" s="2" t="s">
        <v>2429</v>
      </c>
      <c r="B924" s="2" t="s">
        <v>2430</v>
      </c>
      <c r="C924" s="2" t="s">
        <v>2431</v>
      </c>
      <c r="D924" t="s">
        <v>5955</v>
      </c>
      <c r="E924" t="s">
        <v>7085</v>
      </c>
      <c r="F924" t="s">
        <v>12</v>
      </c>
      <c r="G924" t="s">
        <v>0</v>
      </c>
      <c r="H924" s="1">
        <f>DATE(2021,11,18)</f>
        <v>44518</v>
      </c>
    </row>
    <row r="925" spans="1:8" x14ac:dyDescent="0.35">
      <c r="A925" s="2" t="s">
        <v>2432</v>
      </c>
      <c r="B925" s="2" t="s">
        <v>2433</v>
      </c>
      <c r="C925" s="2" t="s">
        <v>2434</v>
      </c>
      <c r="D925" t="s">
        <v>5956</v>
      </c>
      <c r="E925" t="s">
        <v>7086</v>
      </c>
      <c r="F925" t="s">
        <v>12</v>
      </c>
      <c r="G925" t="s">
        <v>0</v>
      </c>
      <c r="H925" s="1">
        <f>DATE(2021,11,19)</f>
        <v>44519</v>
      </c>
    </row>
    <row r="926" spans="1:8" x14ac:dyDescent="0.35">
      <c r="A926" s="2" t="s">
        <v>2435</v>
      </c>
      <c r="B926" s="2" t="s">
        <v>2436</v>
      </c>
      <c r="D926" t="s">
        <v>5387</v>
      </c>
      <c r="E926" t="e">
        <v>#VALUE!</v>
      </c>
      <c r="F926" t="s">
        <v>12</v>
      </c>
      <c r="G926" t="s">
        <v>0</v>
      </c>
      <c r="H926" s="1">
        <f>DATE(2021,11,19)</f>
        <v>44519</v>
      </c>
    </row>
    <row r="927" spans="1:8" x14ac:dyDescent="0.35">
      <c r="A927" s="2" t="s">
        <v>2437</v>
      </c>
      <c r="B927" s="2" t="s">
        <v>2438</v>
      </c>
      <c r="C927" s="2" t="s">
        <v>2439</v>
      </c>
      <c r="D927" t="s">
        <v>5957</v>
      </c>
      <c r="E927" t="s">
        <v>7087</v>
      </c>
      <c r="F927" t="s">
        <v>12</v>
      </c>
      <c r="G927" t="s">
        <v>0</v>
      </c>
      <c r="H927" s="1">
        <f>DATE(2021,11,22)</f>
        <v>44522</v>
      </c>
    </row>
    <row r="928" spans="1:8" x14ac:dyDescent="0.35">
      <c r="A928" s="2" t="s">
        <v>2440</v>
      </c>
      <c r="B928" s="2" t="s">
        <v>2441</v>
      </c>
      <c r="C928" s="2" t="s">
        <v>2442</v>
      </c>
      <c r="D928" t="s">
        <v>5958</v>
      </c>
      <c r="E928" t="s">
        <v>7088</v>
      </c>
      <c r="F928" t="s">
        <v>12</v>
      </c>
      <c r="G928" t="s">
        <v>0</v>
      </c>
      <c r="H928" s="1">
        <f>DATE(2023,7,5)</f>
        <v>45112</v>
      </c>
    </row>
    <row r="929" spans="1:8" x14ac:dyDescent="0.35">
      <c r="A929" s="2" t="s">
        <v>2443</v>
      </c>
      <c r="B929" s="2" t="s">
        <v>2444</v>
      </c>
      <c r="D929" t="s">
        <v>5387</v>
      </c>
      <c r="E929" t="e">
        <v>#VALUE!</v>
      </c>
      <c r="F929" t="s">
        <v>12</v>
      </c>
      <c r="G929" t="s">
        <v>0</v>
      </c>
      <c r="H929" s="1">
        <f>DATE(2023,6,8)</f>
        <v>45085</v>
      </c>
    </row>
    <row r="930" spans="1:8" x14ac:dyDescent="0.35">
      <c r="A930" s="2" t="s">
        <v>2445</v>
      </c>
      <c r="B930" s="2" t="s">
        <v>2446</v>
      </c>
      <c r="D930" t="s">
        <v>5387</v>
      </c>
      <c r="E930" t="e">
        <v>#VALUE!</v>
      </c>
      <c r="F930" t="s">
        <v>12</v>
      </c>
      <c r="G930" t="s">
        <v>0</v>
      </c>
      <c r="H930" s="1">
        <f>DATE(2023,11,27)</f>
        <v>45257</v>
      </c>
    </row>
    <row r="931" spans="1:8" x14ac:dyDescent="0.35">
      <c r="A931" s="2" t="s">
        <v>2447</v>
      </c>
      <c r="B931" s="2" t="s">
        <v>2448</v>
      </c>
      <c r="C931" s="2" t="s">
        <v>2449</v>
      </c>
      <c r="D931" t="s">
        <v>5959</v>
      </c>
      <c r="E931" t="s">
        <v>7089</v>
      </c>
      <c r="F931" t="s">
        <v>12</v>
      </c>
      <c r="G931" t="s">
        <v>0</v>
      </c>
      <c r="H931" s="1">
        <f>DATE(2021,12,30)</f>
        <v>44560</v>
      </c>
    </row>
    <row r="932" spans="1:8" x14ac:dyDescent="0.35">
      <c r="A932" s="2" t="s">
        <v>2450</v>
      </c>
      <c r="B932" s="2" t="s">
        <v>2451</v>
      </c>
      <c r="D932" t="s">
        <v>5387</v>
      </c>
      <c r="E932" t="e">
        <v>#VALUE!</v>
      </c>
      <c r="F932" t="s">
        <v>12</v>
      </c>
      <c r="G932" t="s">
        <v>0</v>
      </c>
      <c r="H932" s="1">
        <f>DATE(2023,6,26)</f>
        <v>45103</v>
      </c>
    </row>
    <row r="933" spans="1:8" x14ac:dyDescent="0.35">
      <c r="A933" s="2" t="s">
        <v>2452</v>
      </c>
      <c r="B933" s="2" t="s">
        <v>2453</v>
      </c>
      <c r="D933" t="s">
        <v>5387</v>
      </c>
      <c r="E933" t="e">
        <v>#VALUE!</v>
      </c>
      <c r="F933" t="s">
        <v>12</v>
      </c>
      <c r="G933" t="s">
        <v>0</v>
      </c>
      <c r="H933" s="1">
        <f>DATE(2021,11,24)</f>
        <v>44524</v>
      </c>
    </row>
    <row r="934" spans="1:8" x14ac:dyDescent="0.35">
      <c r="A934" s="2" t="s">
        <v>2454</v>
      </c>
      <c r="B934" s="2" t="s">
        <v>2455</v>
      </c>
      <c r="D934" t="s">
        <v>5387</v>
      </c>
      <c r="E934" t="e">
        <v>#VALUE!</v>
      </c>
      <c r="F934" t="s">
        <v>12</v>
      </c>
      <c r="G934" t="s">
        <v>0</v>
      </c>
      <c r="H934" s="1">
        <f>DATE(2021,11,24)</f>
        <v>44524</v>
      </c>
    </row>
    <row r="935" spans="1:8" x14ac:dyDescent="0.35">
      <c r="A935" s="2" t="s">
        <v>2456</v>
      </c>
      <c r="B935" s="2" t="s">
        <v>2457</v>
      </c>
      <c r="C935" s="2" t="s">
        <v>2458</v>
      </c>
      <c r="D935" t="s">
        <v>5960</v>
      </c>
      <c r="E935" t="s">
        <v>7090</v>
      </c>
      <c r="F935" t="s">
        <v>12</v>
      </c>
      <c r="G935" t="s">
        <v>0</v>
      </c>
      <c r="H935" s="1">
        <f>DATE(2021,11,25)</f>
        <v>44525</v>
      </c>
    </row>
    <row r="936" spans="1:8" x14ac:dyDescent="0.35">
      <c r="A936" s="2" t="s">
        <v>2459</v>
      </c>
      <c r="B936" s="2" t="s">
        <v>2460</v>
      </c>
      <c r="C936" s="2" t="s">
        <v>2461</v>
      </c>
      <c r="D936" t="s">
        <v>5961</v>
      </c>
      <c r="E936" t="s">
        <v>7091</v>
      </c>
      <c r="F936" t="s">
        <v>12</v>
      </c>
      <c r="G936" t="s">
        <v>0</v>
      </c>
      <c r="H936" s="1">
        <f>DATE(2022,6,20)</f>
        <v>44732</v>
      </c>
    </row>
    <row r="937" spans="1:8" x14ac:dyDescent="0.35">
      <c r="A937" s="2" t="s">
        <v>2462</v>
      </c>
      <c r="B937" s="2" t="s">
        <v>2463</v>
      </c>
      <c r="C937" s="2" t="s">
        <v>2464</v>
      </c>
      <c r="D937" t="s">
        <v>5877</v>
      </c>
      <c r="E937" t="s">
        <v>7007</v>
      </c>
      <c r="F937" t="s">
        <v>12</v>
      </c>
      <c r="G937" t="s">
        <v>0</v>
      </c>
      <c r="H937" s="1">
        <f>DATE(2021,12,17)</f>
        <v>44547</v>
      </c>
    </row>
    <row r="938" spans="1:8" x14ac:dyDescent="0.35">
      <c r="A938" s="2" t="s">
        <v>2465</v>
      </c>
      <c r="B938" s="2" t="s">
        <v>2466</v>
      </c>
      <c r="D938" t="s">
        <v>5387</v>
      </c>
      <c r="E938" t="e">
        <v>#VALUE!</v>
      </c>
      <c r="F938" t="s">
        <v>12</v>
      </c>
      <c r="G938" t="s">
        <v>0</v>
      </c>
      <c r="H938" s="1">
        <f>DATE(2021,12,2)</f>
        <v>44532</v>
      </c>
    </row>
    <row r="939" spans="1:8" x14ac:dyDescent="0.35">
      <c r="A939" s="2" t="s">
        <v>2467</v>
      </c>
      <c r="B939" s="2" t="s">
        <v>2468</v>
      </c>
      <c r="C939" s="2" t="s">
        <v>2469</v>
      </c>
      <c r="D939" t="s">
        <v>5504</v>
      </c>
      <c r="E939" t="s">
        <v>6633</v>
      </c>
      <c r="F939" t="s">
        <v>12</v>
      </c>
      <c r="G939" t="s">
        <v>0</v>
      </c>
      <c r="H939" s="1">
        <f>DATE(2022,7,1)</f>
        <v>44743</v>
      </c>
    </row>
    <row r="940" spans="1:8" x14ac:dyDescent="0.35">
      <c r="A940" s="2" t="s">
        <v>2470</v>
      </c>
      <c r="B940" s="2" t="s">
        <v>2471</v>
      </c>
      <c r="C940" s="2" t="s">
        <v>2472</v>
      </c>
      <c r="D940" t="s">
        <v>5962</v>
      </c>
      <c r="E940" t="s">
        <v>7092</v>
      </c>
      <c r="F940" t="s">
        <v>12</v>
      </c>
      <c r="G940" t="s">
        <v>0</v>
      </c>
      <c r="H940" s="1">
        <f>DATE(2022,7,13)</f>
        <v>44755</v>
      </c>
    </row>
    <row r="941" spans="1:8" x14ac:dyDescent="0.35">
      <c r="A941" s="2" t="s">
        <v>2473</v>
      </c>
      <c r="B941" s="2" t="s">
        <v>2474</v>
      </c>
      <c r="C941" s="2" t="s">
        <v>2475</v>
      </c>
      <c r="D941" t="s">
        <v>5963</v>
      </c>
      <c r="E941" t="s">
        <v>7093</v>
      </c>
      <c r="F941" t="s">
        <v>12</v>
      </c>
      <c r="G941" t="s">
        <v>0</v>
      </c>
      <c r="H941" s="1">
        <f>DATE(2022,7,15)</f>
        <v>44757</v>
      </c>
    </row>
    <row r="942" spans="1:8" x14ac:dyDescent="0.35">
      <c r="A942" s="2" t="s">
        <v>2476</v>
      </c>
      <c r="B942" s="2" t="s">
        <v>2477</v>
      </c>
      <c r="C942" s="2" t="s">
        <v>2478</v>
      </c>
      <c r="D942" t="s">
        <v>5964</v>
      </c>
      <c r="E942" t="s">
        <v>7094</v>
      </c>
      <c r="F942" t="s">
        <v>12</v>
      </c>
      <c r="G942" t="s">
        <v>0</v>
      </c>
      <c r="H942" s="1">
        <f>DATE(2023,3,2)</f>
        <v>44987</v>
      </c>
    </row>
    <row r="943" spans="1:8" x14ac:dyDescent="0.35">
      <c r="A943" s="2" t="s">
        <v>2479</v>
      </c>
      <c r="B943" s="2" t="s">
        <v>2480</v>
      </c>
      <c r="C943" s="2" t="s">
        <v>2481</v>
      </c>
      <c r="D943" t="s">
        <v>5965</v>
      </c>
      <c r="E943" t="s">
        <v>7095</v>
      </c>
      <c r="F943" t="s">
        <v>12</v>
      </c>
      <c r="G943" t="s">
        <v>0</v>
      </c>
      <c r="H943" s="1">
        <f>DATE(2022,6,14)</f>
        <v>44726</v>
      </c>
    </row>
    <row r="944" spans="1:8" x14ac:dyDescent="0.35">
      <c r="A944" s="2" t="s">
        <v>2482</v>
      </c>
      <c r="B944" s="2" t="s">
        <v>2483</v>
      </c>
      <c r="C944" s="2" t="s">
        <v>2484</v>
      </c>
      <c r="D944" t="s">
        <v>5966</v>
      </c>
      <c r="E944" t="s">
        <v>7096</v>
      </c>
      <c r="F944" t="s">
        <v>12</v>
      </c>
      <c r="G944" t="s">
        <v>0</v>
      </c>
      <c r="H944" s="1">
        <f>DATE(2022,6,14)</f>
        <v>44726</v>
      </c>
    </row>
    <row r="945" spans="1:8" x14ac:dyDescent="0.35">
      <c r="A945" s="2" t="s">
        <v>2485</v>
      </c>
      <c r="B945" s="2" t="s">
        <v>2486</v>
      </c>
      <c r="C945" s="2" t="s">
        <v>2487</v>
      </c>
      <c r="D945" t="s">
        <v>5967</v>
      </c>
      <c r="E945" t="s">
        <v>7097</v>
      </c>
      <c r="F945" t="s">
        <v>12</v>
      </c>
      <c r="G945" t="s">
        <v>0</v>
      </c>
      <c r="H945" s="1">
        <f>DATE(2022,6,14)</f>
        <v>44726</v>
      </c>
    </row>
    <row r="946" spans="1:8" x14ac:dyDescent="0.35">
      <c r="A946" s="2" t="s">
        <v>2488</v>
      </c>
      <c r="B946" s="2" t="s">
        <v>2489</v>
      </c>
      <c r="C946" s="2" t="s">
        <v>2490</v>
      </c>
      <c r="D946" t="s">
        <v>5968</v>
      </c>
      <c r="E946" t="s">
        <v>7098</v>
      </c>
      <c r="F946" t="s">
        <v>12</v>
      </c>
      <c r="G946" t="s">
        <v>0</v>
      </c>
      <c r="H946" s="1">
        <f>DATE(2022,6,14)</f>
        <v>44726</v>
      </c>
    </row>
    <row r="947" spans="1:8" x14ac:dyDescent="0.35">
      <c r="A947" s="2" t="s">
        <v>2491</v>
      </c>
      <c r="B947" s="2" t="s">
        <v>2492</v>
      </c>
      <c r="C947" s="2" t="s">
        <v>2493</v>
      </c>
      <c r="D947" t="s">
        <v>5969</v>
      </c>
      <c r="E947" t="s">
        <v>7099</v>
      </c>
      <c r="F947" t="s">
        <v>12</v>
      </c>
      <c r="G947" t="s">
        <v>0</v>
      </c>
      <c r="H947" s="1">
        <f>DATE(2023,5,23)</f>
        <v>45069</v>
      </c>
    </row>
    <row r="948" spans="1:8" x14ac:dyDescent="0.35">
      <c r="A948" s="2" t="s">
        <v>2494</v>
      </c>
      <c r="B948" s="2" t="s">
        <v>2495</v>
      </c>
      <c r="C948" s="2" t="s">
        <v>2496</v>
      </c>
      <c r="D948" t="s">
        <v>5970</v>
      </c>
      <c r="E948" t="s">
        <v>7100</v>
      </c>
      <c r="F948" t="s">
        <v>12</v>
      </c>
      <c r="G948" t="s">
        <v>0</v>
      </c>
      <c r="H948" s="1">
        <f>DATE(2022,6,14)</f>
        <v>44726</v>
      </c>
    </row>
    <row r="949" spans="1:8" x14ac:dyDescent="0.35">
      <c r="A949" s="2" t="s">
        <v>2497</v>
      </c>
      <c r="B949" s="2" t="s">
        <v>2498</v>
      </c>
      <c r="C949" s="2" t="s">
        <v>2499</v>
      </c>
      <c r="D949" t="s">
        <v>5971</v>
      </c>
      <c r="E949" t="s">
        <v>7101</v>
      </c>
      <c r="F949" t="s">
        <v>12</v>
      </c>
      <c r="G949" t="s">
        <v>0</v>
      </c>
      <c r="H949" s="1">
        <f>DATE(2022,8,8)</f>
        <v>44781</v>
      </c>
    </row>
    <row r="950" spans="1:8" x14ac:dyDescent="0.35">
      <c r="A950" s="2" t="s">
        <v>2500</v>
      </c>
      <c r="B950" s="2" t="s">
        <v>2501</v>
      </c>
      <c r="C950" s="2" t="s">
        <v>2502</v>
      </c>
      <c r="D950" t="s">
        <v>5972</v>
      </c>
      <c r="E950" t="s">
        <v>7102</v>
      </c>
      <c r="F950" t="s">
        <v>12</v>
      </c>
      <c r="G950" t="s">
        <v>0</v>
      </c>
      <c r="H950" s="1">
        <f>DATE(2022,1,11)</f>
        <v>44572</v>
      </c>
    </row>
    <row r="951" spans="1:8" x14ac:dyDescent="0.35">
      <c r="A951" s="2" t="s">
        <v>2503</v>
      </c>
      <c r="B951" s="2" t="s">
        <v>2504</v>
      </c>
      <c r="C951" s="2" t="s">
        <v>2505</v>
      </c>
      <c r="D951" t="s">
        <v>5973</v>
      </c>
      <c r="E951" t="s">
        <v>7103</v>
      </c>
      <c r="F951" t="s">
        <v>12</v>
      </c>
      <c r="G951" t="s">
        <v>0</v>
      </c>
      <c r="H951" s="1">
        <f>DATE(2022,7,4)</f>
        <v>44746</v>
      </c>
    </row>
    <row r="952" spans="1:8" x14ac:dyDescent="0.35">
      <c r="A952" s="2" t="s">
        <v>2506</v>
      </c>
      <c r="B952" s="2" t="s">
        <v>2507</v>
      </c>
      <c r="D952" t="s">
        <v>5387</v>
      </c>
      <c r="E952" t="e">
        <v>#VALUE!</v>
      </c>
      <c r="F952" t="s">
        <v>12</v>
      </c>
      <c r="G952" t="s">
        <v>0</v>
      </c>
      <c r="H952" s="1">
        <f>DATE(2022,4,8)</f>
        <v>44659</v>
      </c>
    </row>
    <row r="953" spans="1:8" x14ac:dyDescent="0.35">
      <c r="A953" s="2" t="s">
        <v>2508</v>
      </c>
      <c r="B953" s="2" t="s">
        <v>2509</v>
      </c>
      <c r="C953" s="2" t="s">
        <v>2510</v>
      </c>
      <c r="D953" t="s">
        <v>5974</v>
      </c>
      <c r="E953" t="s">
        <v>7104</v>
      </c>
      <c r="F953" t="s">
        <v>12</v>
      </c>
      <c r="G953" t="s">
        <v>0</v>
      </c>
      <c r="H953" s="1">
        <f>DATE(2022,4,4)</f>
        <v>44655</v>
      </c>
    </row>
    <row r="954" spans="1:8" x14ac:dyDescent="0.35">
      <c r="A954" s="2" t="s">
        <v>2511</v>
      </c>
      <c r="B954" s="2" t="s">
        <v>2512</v>
      </c>
      <c r="C954" s="2" t="s">
        <v>2513</v>
      </c>
      <c r="D954" t="s">
        <v>5975</v>
      </c>
      <c r="E954" t="s">
        <v>7105</v>
      </c>
      <c r="F954" t="s">
        <v>12</v>
      </c>
      <c r="G954" t="s">
        <v>0</v>
      </c>
      <c r="H954" s="1">
        <f>DATE(2022,2,2)</f>
        <v>44594</v>
      </c>
    </row>
    <row r="955" spans="1:8" x14ac:dyDescent="0.35">
      <c r="A955" s="2" t="s">
        <v>2514</v>
      </c>
      <c r="B955" s="2" t="s">
        <v>2515</v>
      </c>
      <c r="C955" s="2" t="s">
        <v>2516</v>
      </c>
      <c r="D955" t="s">
        <v>5976</v>
      </c>
      <c r="E955" t="s">
        <v>7106</v>
      </c>
      <c r="F955" t="s">
        <v>12</v>
      </c>
      <c r="G955" t="s">
        <v>0</v>
      </c>
      <c r="H955" s="1">
        <f>DATE(2022,3,11)</f>
        <v>44631</v>
      </c>
    </row>
    <row r="956" spans="1:8" x14ac:dyDescent="0.35">
      <c r="A956" s="2" t="s">
        <v>2517</v>
      </c>
      <c r="B956" s="2" t="s">
        <v>2518</v>
      </c>
      <c r="D956" t="s">
        <v>5387</v>
      </c>
      <c r="E956" t="e">
        <v>#VALUE!</v>
      </c>
      <c r="F956" t="s">
        <v>12</v>
      </c>
      <c r="G956" t="s">
        <v>0</v>
      </c>
      <c r="H956" s="1">
        <f>DATE(2023,10,11)</f>
        <v>45210</v>
      </c>
    </row>
    <row r="957" spans="1:8" x14ac:dyDescent="0.35">
      <c r="A957" s="2" t="s">
        <v>2519</v>
      </c>
      <c r="B957" s="2" t="s">
        <v>2520</v>
      </c>
      <c r="D957" t="s">
        <v>5387</v>
      </c>
      <c r="E957" t="e">
        <v>#VALUE!</v>
      </c>
      <c r="F957" t="s">
        <v>12</v>
      </c>
      <c r="G957" t="s">
        <v>0</v>
      </c>
      <c r="H957" s="1">
        <f>DATE(2022,7,15)</f>
        <v>44757</v>
      </c>
    </row>
    <row r="958" spans="1:8" x14ac:dyDescent="0.35">
      <c r="A958" s="2" t="s">
        <v>2521</v>
      </c>
      <c r="B958" s="2" t="s">
        <v>2522</v>
      </c>
      <c r="C958" s="2" t="s">
        <v>2523</v>
      </c>
      <c r="D958" t="s">
        <v>5977</v>
      </c>
      <c r="E958" t="s">
        <v>7107</v>
      </c>
      <c r="F958" t="s">
        <v>12</v>
      </c>
      <c r="G958" t="s">
        <v>0</v>
      </c>
      <c r="H958" s="1">
        <f>DATE(2023,10,11)</f>
        <v>45210</v>
      </c>
    </row>
    <row r="959" spans="1:8" x14ac:dyDescent="0.35">
      <c r="A959" s="2" t="s">
        <v>2524</v>
      </c>
      <c r="B959" s="2" t="s">
        <v>2525</v>
      </c>
      <c r="D959" t="s">
        <v>5387</v>
      </c>
      <c r="E959" t="e">
        <v>#VALUE!</v>
      </c>
      <c r="F959" t="s">
        <v>218</v>
      </c>
      <c r="G959" t="s">
        <v>0</v>
      </c>
      <c r="H959" s="1">
        <f>DATE(2022,1,4)</f>
        <v>44565</v>
      </c>
    </row>
    <row r="960" spans="1:8" x14ac:dyDescent="0.35">
      <c r="A960" s="2" t="s">
        <v>2526</v>
      </c>
      <c r="B960" s="2" t="s">
        <v>2527</v>
      </c>
      <c r="D960" t="s">
        <v>5387</v>
      </c>
      <c r="E960" t="e">
        <v>#VALUE!</v>
      </c>
      <c r="F960" t="s">
        <v>218</v>
      </c>
      <c r="G960" t="s">
        <v>0</v>
      </c>
      <c r="H960" s="1">
        <f>DATE(2023,1,2)</f>
        <v>44928</v>
      </c>
    </row>
    <row r="961" spans="1:8" x14ac:dyDescent="0.35">
      <c r="A961" s="2" t="s">
        <v>2528</v>
      </c>
      <c r="B961" s="2" t="s">
        <v>2529</v>
      </c>
      <c r="C961" s="2" t="s">
        <v>2530</v>
      </c>
      <c r="D961" t="s">
        <v>5978</v>
      </c>
      <c r="E961" t="s">
        <v>7108</v>
      </c>
      <c r="F961" t="s">
        <v>12</v>
      </c>
      <c r="G961" t="s">
        <v>0</v>
      </c>
      <c r="H961" s="1">
        <f>DATE(2022,2,9)</f>
        <v>44601</v>
      </c>
    </row>
    <row r="962" spans="1:8" x14ac:dyDescent="0.35">
      <c r="A962" s="2" t="s">
        <v>2531</v>
      </c>
      <c r="B962" s="2" t="s">
        <v>2532</v>
      </c>
      <c r="D962" t="s">
        <v>5387</v>
      </c>
      <c r="E962" t="e">
        <v>#VALUE!</v>
      </c>
      <c r="F962" t="s">
        <v>9</v>
      </c>
      <c r="G962" t="s">
        <v>0</v>
      </c>
      <c r="H962" s="1">
        <f>DATE(2021,12,31)</f>
        <v>44561</v>
      </c>
    </row>
    <row r="963" spans="1:8" x14ac:dyDescent="0.35">
      <c r="A963" s="2" t="s">
        <v>2533</v>
      </c>
      <c r="B963" s="2" t="s">
        <v>2534</v>
      </c>
      <c r="D963" t="s">
        <v>5387</v>
      </c>
      <c r="E963" t="e">
        <v>#VALUE!</v>
      </c>
      <c r="F963" t="s">
        <v>1245</v>
      </c>
      <c r="G963" t="s">
        <v>0</v>
      </c>
      <c r="H963" s="1">
        <f>DATE(2022,6,14)</f>
        <v>44726</v>
      </c>
    </row>
    <row r="964" spans="1:8" x14ac:dyDescent="0.35">
      <c r="A964" s="2" t="s">
        <v>2535</v>
      </c>
      <c r="B964" s="2" t="s">
        <v>2536</v>
      </c>
      <c r="D964" t="s">
        <v>5387</v>
      </c>
      <c r="E964" t="e">
        <v>#VALUE!</v>
      </c>
      <c r="F964" t="s">
        <v>1245</v>
      </c>
      <c r="G964" t="s">
        <v>0</v>
      </c>
      <c r="H964" s="1">
        <f>DATE(2023,8,2)</f>
        <v>45140</v>
      </c>
    </row>
    <row r="965" spans="1:8" x14ac:dyDescent="0.35">
      <c r="A965" s="2" t="s">
        <v>2537</v>
      </c>
      <c r="B965" s="2" t="s">
        <v>2538</v>
      </c>
      <c r="D965" t="s">
        <v>5387</v>
      </c>
      <c r="E965" t="e">
        <v>#VALUE!</v>
      </c>
      <c r="F965" t="s">
        <v>12</v>
      </c>
      <c r="G965" t="s">
        <v>0</v>
      </c>
      <c r="H965" s="1">
        <f>DATE(2022,1,1)</f>
        <v>44562</v>
      </c>
    </row>
    <row r="966" spans="1:8" x14ac:dyDescent="0.35">
      <c r="A966" s="2" t="s">
        <v>2539</v>
      </c>
      <c r="B966" s="2" t="s">
        <v>2540</v>
      </c>
      <c r="C966" s="2" t="s">
        <v>2541</v>
      </c>
      <c r="D966" t="s">
        <v>5979</v>
      </c>
      <c r="E966" t="s">
        <v>7109</v>
      </c>
      <c r="F966" t="s">
        <v>12</v>
      </c>
      <c r="G966" t="s">
        <v>0</v>
      </c>
      <c r="H966" s="1">
        <f>DATE(2023,7,5)</f>
        <v>45112</v>
      </c>
    </row>
    <row r="967" spans="1:8" x14ac:dyDescent="0.35">
      <c r="A967" s="2" t="s">
        <v>2542</v>
      </c>
      <c r="B967" s="2" t="s">
        <v>2543</v>
      </c>
      <c r="C967" s="2" t="s">
        <v>2544</v>
      </c>
      <c r="D967" t="s">
        <v>5980</v>
      </c>
      <c r="E967" t="s">
        <v>7110</v>
      </c>
      <c r="F967" t="s">
        <v>12</v>
      </c>
      <c r="G967" t="s">
        <v>0</v>
      </c>
      <c r="H967" s="1">
        <f>DATE(2023,6,13)</f>
        <v>45090</v>
      </c>
    </row>
    <row r="968" spans="1:8" x14ac:dyDescent="0.35">
      <c r="A968" s="2" t="s">
        <v>2545</v>
      </c>
      <c r="B968" s="2" t="s">
        <v>2546</v>
      </c>
      <c r="C968" s="2" t="s">
        <v>2547</v>
      </c>
      <c r="D968" t="s">
        <v>5981</v>
      </c>
      <c r="E968" t="s">
        <v>7111</v>
      </c>
      <c r="F968" t="s">
        <v>12</v>
      </c>
      <c r="G968" t="s">
        <v>0</v>
      </c>
      <c r="H968" s="1">
        <f>DATE(2022,1,2)</f>
        <v>44563</v>
      </c>
    </row>
    <row r="969" spans="1:8" x14ac:dyDescent="0.35">
      <c r="A969" s="2" t="s">
        <v>2548</v>
      </c>
      <c r="B969" s="2" t="s">
        <v>2549</v>
      </c>
      <c r="C969" s="2" t="s">
        <v>2550</v>
      </c>
      <c r="D969" t="s">
        <v>5982</v>
      </c>
      <c r="E969" t="s">
        <v>7112</v>
      </c>
      <c r="F969" t="s">
        <v>12</v>
      </c>
      <c r="G969" t="s">
        <v>0</v>
      </c>
      <c r="H969" s="1">
        <f>DATE(2022,5,12)</f>
        <v>44693</v>
      </c>
    </row>
    <row r="970" spans="1:8" x14ac:dyDescent="0.35">
      <c r="A970" s="2" t="s">
        <v>2551</v>
      </c>
      <c r="B970" s="2" t="s">
        <v>2552</v>
      </c>
      <c r="C970" s="2" t="s">
        <v>2553</v>
      </c>
      <c r="D970" t="s">
        <v>5983</v>
      </c>
      <c r="E970" t="s">
        <v>7113</v>
      </c>
      <c r="F970" t="s">
        <v>12</v>
      </c>
      <c r="G970" t="s">
        <v>0</v>
      </c>
      <c r="H970" s="1">
        <f>DATE(2022,4,11)</f>
        <v>44662</v>
      </c>
    </row>
    <row r="971" spans="1:8" x14ac:dyDescent="0.35">
      <c r="A971" s="2" t="s">
        <v>2554</v>
      </c>
      <c r="B971" s="2" t="s">
        <v>2555</v>
      </c>
      <c r="D971" t="s">
        <v>5387</v>
      </c>
      <c r="E971" t="e">
        <v>#VALUE!</v>
      </c>
      <c r="F971" t="s">
        <v>12</v>
      </c>
      <c r="G971" t="s">
        <v>0</v>
      </c>
      <c r="H971" s="1">
        <f>DATE(2022,1,13)</f>
        <v>44574</v>
      </c>
    </row>
    <row r="972" spans="1:8" x14ac:dyDescent="0.35">
      <c r="A972" s="2" t="s">
        <v>2556</v>
      </c>
      <c r="B972" s="2" t="s">
        <v>2557</v>
      </c>
      <c r="C972" s="2" t="s">
        <v>2558</v>
      </c>
      <c r="D972" t="s">
        <v>5984</v>
      </c>
      <c r="E972" t="s">
        <v>7114</v>
      </c>
      <c r="F972" t="s">
        <v>12</v>
      </c>
      <c r="G972" t="s">
        <v>0</v>
      </c>
      <c r="H972" s="1">
        <f>DATE(2023,6,26)</f>
        <v>45103</v>
      </c>
    </row>
    <row r="973" spans="1:8" x14ac:dyDescent="0.35">
      <c r="A973" s="2" t="s">
        <v>2559</v>
      </c>
      <c r="B973" s="2" t="s">
        <v>2560</v>
      </c>
      <c r="C973" s="2" t="s">
        <v>2561</v>
      </c>
      <c r="D973" t="s">
        <v>5985</v>
      </c>
      <c r="E973" t="s">
        <v>7115</v>
      </c>
      <c r="F973" t="s">
        <v>12</v>
      </c>
      <c r="G973" t="s">
        <v>0</v>
      </c>
      <c r="H973" s="1">
        <f>DATE(2023,5,12)</f>
        <v>45058</v>
      </c>
    </row>
    <row r="974" spans="1:8" x14ac:dyDescent="0.35">
      <c r="A974" s="2" t="s">
        <v>2562</v>
      </c>
      <c r="B974" s="2" t="s">
        <v>2563</v>
      </c>
      <c r="D974" t="s">
        <v>5387</v>
      </c>
      <c r="E974" t="e">
        <v>#VALUE!</v>
      </c>
      <c r="F974" t="s">
        <v>12</v>
      </c>
      <c r="G974" t="s">
        <v>0</v>
      </c>
      <c r="H974" s="1">
        <f>DATE(2023,5,12)</f>
        <v>45058</v>
      </c>
    </row>
    <row r="975" spans="1:8" x14ac:dyDescent="0.35">
      <c r="A975" s="2" t="s">
        <v>2564</v>
      </c>
      <c r="B975" s="2" t="s">
        <v>2565</v>
      </c>
      <c r="C975" s="2" t="s">
        <v>2566</v>
      </c>
      <c r="D975" t="s">
        <v>5986</v>
      </c>
      <c r="E975" t="s">
        <v>7116</v>
      </c>
      <c r="F975" t="s">
        <v>12</v>
      </c>
      <c r="G975" t="s">
        <v>0</v>
      </c>
      <c r="H975" s="1">
        <f>DATE(2022,8,8)</f>
        <v>44781</v>
      </c>
    </row>
    <row r="976" spans="1:8" x14ac:dyDescent="0.35">
      <c r="A976" s="2" t="s">
        <v>2567</v>
      </c>
      <c r="B976" s="2" t="s">
        <v>2568</v>
      </c>
      <c r="C976" s="2" t="s">
        <v>2569</v>
      </c>
      <c r="D976" t="s">
        <v>5987</v>
      </c>
      <c r="E976" t="s">
        <v>7117</v>
      </c>
      <c r="F976" t="s">
        <v>12</v>
      </c>
      <c r="G976" t="s">
        <v>0</v>
      </c>
      <c r="H976" s="1">
        <f>DATE(2022,10,19)</f>
        <v>44853</v>
      </c>
    </row>
    <row r="977" spans="1:8" x14ac:dyDescent="0.35">
      <c r="A977" s="2" t="s">
        <v>2570</v>
      </c>
      <c r="B977" s="2" t="s">
        <v>2571</v>
      </c>
      <c r="C977" s="2" t="s">
        <v>698</v>
      </c>
      <c r="D977" t="s">
        <v>5527</v>
      </c>
      <c r="E977" t="s">
        <v>6656</v>
      </c>
      <c r="F977" t="s">
        <v>12</v>
      </c>
      <c r="G977" t="s">
        <v>0</v>
      </c>
      <c r="H977" s="1">
        <f>DATE(2022,1,13)</f>
        <v>44574</v>
      </c>
    </row>
    <row r="978" spans="1:8" x14ac:dyDescent="0.35">
      <c r="A978" s="2" t="s">
        <v>2572</v>
      </c>
      <c r="B978" s="2" t="s">
        <v>2573</v>
      </c>
      <c r="D978" t="s">
        <v>5387</v>
      </c>
      <c r="E978" t="e">
        <v>#VALUE!</v>
      </c>
      <c r="F978" t="s">
        <v>12</v>
      </c>
      <c r="G978" t="s">
        <v>0</v>
      </c>
      <c r="H978" s="1">
        <f>DATE(2022,1,17)</f>
        <v>44578</v>
      </c>
    </row>
    <row r="979" spans="1:8" x14ac:dyDescent="0.35">
      <c r="A979" s="2" t="s">
        <v>2574</v>
      </c>
      <c r="B979" s="2" t="s">
        <v>2575</v>
      </c>
      <c r="D979" t="s">
        <v>5387</v>
      </c>
      <c r="E979" t="e">
        <v>#VALUE!</v>
      </c>
      <c r="F979" t="s">
        <v>12</v>
      </c>
      <c r="G979" t="s">
        <v>0</v>
      </c>
      <c r="H979" s="1">
        <f>DATE(2022,7,15)</f>
        <v>44757</v>
      </c>
    </row>
    <row r="980" spans="1:8" x14ac:dyDescent="0.35">
      <c r="A980" s="2" t="s">
        <v>2576</v>
      </c>
      <c r="B980" s="2" t="s">
        <v>2577</v>
      </c>
      <c r="D980" t="s">
        <v>5387</v>
      </c>
      <c r="E980" t="e">
        <v>#VALUE!</v>
      </c>
      <c r="F980" t="s">
        <v>12</v>
      </c>
      <c r="G980" t="s">
        <v>0</v>
      </c>
      <c r="H980" s="1">
        <f>DATE(2022,6,29)</f>
        <v>44741</v>
      </c>
    </row>
    <row r="981" spans="1:8" x14ac:dyDescent="0.35">
      <c r="A981" s="2" t="s">
        <v>2578</v>
      </c>
      <c r="B981" s="2" t="s">
        <v>2579</v>
      </c>
      <c r="D981" t="s">
        <v>5387</v>
      </c>
      <c r="E981" t="e">
        <v>#VALUE!</v>
      </c>
      <c r="F981" t="s">
        <v>12</v>
      </c>
      <c r="G981" t="s">
        <v>0</v>
      </c>
      <c r="H981" s="1">
        <f>DATE(2022,6,14)</f>
        <v>44726</v>
      </c>
    </row>
    <row r="982" spans="1:8" x14ac:dyDescent="0.35">
      <c r="A982" s="2" t="s">
        <v>2580</v>
      </c>
      <c r="B982" s="2" t="s">
        <v>2581</v>
      </c>
      <c r="D982" t="s">
        <v>5387</v>
      </c>
      <c r="E982" t="e">
        <v>#VALUE!</v>
      </c>
      <c r="F982" t="s">
        <v>12</v>
      </c>
      <c r="G982" t="s">
        <v>0</v>
      </c>
      <c r="H982" s="1">
        <f>DATE(2022,1,24)</f>
        <v>44585</v>
      </c>
    </row>
    <row r="983" spans="1:8" x14ac:dyDescent="0.35">
      <c r="A983" s="2" t="s">
        <v>2582</v>
      </c>
      <c r="B983" s="2" t="s">
        <v>2583</v>
      </c>
      <c r="C983" s="2" t="s">
        <v>2584</v>
      </c>
      <c r="D983" t="s">
        <v>5988</v>
      </c>
      <c r="E983" t="s">
        <v>7118</v>
      </c>
      <c r="F983" t="s">
        <v>12</v>
      </c>
      <c r="G983" t="s">
        <v>0</v>
      </c>
      <c r="H983" s="1">
        <f>DATE(2023,12,27)</f>
        <v>45287</v>
      </c>
    </row>
    <row r="984" spans="1:8" x14ac:dyDescent="0.35">
      <c r="A984" s="2" t="s">
        <v>2585</v>
      </c>
      <c r="B984" s="2" t="s">
        <v>2586</v>
      </c>
      <c r="D984" t="s">
        <v>5387</v>
      </c>
      <c r="E984" t="e">
        <v>#VALUE!</v>
      </c>
      <c r="F984" t="s">
        <v>12</v>
      </c>
      <c r="G984" t="s">
        <v>0</v>
      </c>
      <c r="H984" s="1">
        <f>DATE(2022,1,27)</f>
        <v>44588</v>
      </c>
    </row>
    <row r="985" spans="1:8" x14ac:dyDescent="0.35">
      <c r="A985" s="2" t="s">
        <v>2587</v>
      </c>
      <c r="B985" s="2" t="s">
        <v>2588</v>
      </c>
      <c r="C985" s="2" t="s">
        <v>2589</v>
      </c>
      <c r="D985" t="s">
        <v>5989</v>
      </c>
      <c r="E985" t="s">
        <v>7119</v>
      </c>
      <c r="F985" t="s">
        <v>12</v>
      </c>
      <c r="G985" t="s">
        <v>0</v>
      </c>
      <c r="H985" s="1">
        <f>DATE(2022,12,20)</f>
        <v>44915</v>
      </c>
    </row>
    <row r="986" spans="1:8" x14ac:dyDescent="0.35">
      <c r="A986" s="2" t="s">
        <v>2590</v>
      </c>
      <c r="B986" s="2" t="s">
        <v>2591</v>
      </c>
      <c r="D986" t="s">
        <v>5387</v>
      </c>
      <c r="E986" t="e">
        <v>#VALUE!</v>
      </c>
      <c r="F986" t="s">
        <v>12</v>
      </c>
      <c r="G986" t="s">
        <v>0</v>
      </c>
      <c r="H986" s="1">
        <f>DATE(2022,6,14)</f>
        <v>44726</v>
      </c>
    </row>
    <row r="987" spans="1:8" x14ac:dyDescent="0.35">
      <c r="A987" s="2" t="s">
        <v>2592</v>
      </c>
      <c r="B987" s="2" t="s">
        <v>2593</v>
      </c>
      <c r="C987" s="2" t="s">
        <v>2594</v>
      </c>
      <c r="D987" t="s">
        <v>5990</v>
      </c>
      <c r="E987" t="s">
        <v>7120</v>
      </c>
      <c r="F987" t="s">
        <v>12</v>
      </c>
      <c r="G987" t="s">
        <v>0</v>
      </c>
      <c r="H987" s="1">
        <f>DATE(2022,8,26)</f>
        <v>44799</v>
      </c>
    </row>
    <row r="988" spans="1:8" x14ac:dyDescent="0.35">
      <c r="A988" s="2" t="s">
        <v>2595</v>
      </c>
      <c r="B988" s="2" t="s">
        <v>2596</v>
      </c>
      <c r="D988" t="s">
        <v>5387</v>
      </c>
      <c r="E988" t="e">
        <v>#VALUE!</v>
      </c>
      <c r="F988" t="s">
        <v>12</v>
      </c>
      <c r="G988" t="s">
        <v>0</v>
      </c>
      <c r="H988" s="1">
        <f>DATE(2023,12,12)</f>
        <v>45272</v>
      </c>
    </row>
    <row r="989" spans="1:8" x14ac:dyDescent="0.35">
      <c r="A989" s="2" t="s">
        <v>2597</v>
      </c>
      <c r="B989" s="2" t="s">
        <v>2598</v>
      </c>
      <c r="D989" t="s">
        <v>5387</v>
      </c>
      <c r="E989" t="e">
        <v>#VALUE!</v>
      </c>
      <c r="F989" t="s">
        <v>12</v>
      </c>
      <c r="G989" t="s">
        <v>0</v>
      </c>
      <c r="H989" s="1">
        <f>DATE(2023,12,12)</f>
        <v>45272</v>
      </c>
    </row>
    <row r="990" spans="1:8" x14ac:dyDescent="0.35">
      <c r="A990" s="2" t="s">
        <v>2599</v>
      </c>
      <c r="B990" s="2" t="s">
        <v>2600</v>
      </c>
      <c r="C990" s="2" t="s">
        <v>2601</v>
      </c>
      <c r="D990" t="s">
        <v>5991</v>
      </c>
      <c r="E990" t="s">
        <v>7121</v>
      </c>
      <c r="F990" t="s">
        <v>12</v>
      </c>
      <c r="G990" t="s">
        <v>0</v>
      </c>
      <c r="H990" s="1">
        <f>DATE(2023,12,12)</f>
        <v>45272</v>
      </c>
    </row>
    <row r="991" spans="1:8" x14ac:dyDescent="0.35">
      <c r="A991" s="2" t="s">
        <v>2602</v>
      </c>
      <c r="B991" s="2" t="s">
        <v>2603</v>
      </c>
      <c r="C991" s="2" t="s">
        <v>2604</v>
      </c>
      <c r="D991" t="s">
        <v>5992</v>
      </c>
      <c r="E991" t="s">
        <v>7122</v>
      </c>
      <c r="F991" t="s">
        <v>12</v>
      </c>
      <c r="G991" t="s">
        <v>0</v>
      </c>
      <c r="H991" s="1">
        <f>DATE(2022,3,9)</f>
        <v>44629</v>
      </c>
    </row>
    <row r="992" spans="1:8" x14ac:dyDescent="0.35">
      <c r="A992" s="2" t="s">
        <v>2605</v>
      </c>
      <c r="B992" s="2" t="s">
        <v>2606</v>
      </c>
      <c r="C992" s="2" t="s">
        <v>2607</v>
      </c>
      <c r="D992" t="s">
        <v>5993</v>
      </c>
      <c r="E992" t="s">
        <v>7123</v>
      </c>
      <c r="F992" t="s">
        <v>12</v>
      </c>
      <c r="G992" t="s">
        <v>0</v>
      </c>
      <c r="H992" s="1">
        <f>DATE(2022,7,1)</f>
        <v>44743</v>
      </c>
    </row>
    <row r="993" spans="1:8" x14ac:dyDescent="0.35">
      <c r="A993" s="2" t="s">
        <v>2608</v>
      </c>
      <c r="B993" s="2" t="s">
        <v>2609</v>
      </c>
      <c r="D993" t="s">
        <v>5387</v>
      </c>
      <c r="E993" t="e">
        <v>#VALUE!</v>
      </c>
      <c r="F993" t="s">
        <v>12</v>
      </c>
      <c r="G993" t="s">
        <v>0</v>
      </c>
      <c r="H993" s="1">
        <f>DATE(2023,6,13)</f>
        <v>45090</v>
      </c>
    </row>
    <row r="994" spans="1:8" x14ac:dyDescent="0.35">
      <c r="A994" s="2" t="s">
        <v>2610</v>
      </c>
      <c r="B994" s="2" t="s">
        <v>2611</v>
      </c>
      <c r="D994" t="s">
        <v>5387</v>
      </c>
      <c r="E994" t="e">
        <v>#VALUE!</v>
      </c>
      <c r="F994" t="s">
        <v>12</v>
      </c>
      <c r="G994" t="s">
        <v>0</v>
      </c>
      <c r="H994" s="1">
        <f>DATE(2024,1,12)</f>
        <v>45303</v>
      </c>
    </row>
    <row r="995" spans="1:8" x14ac:dyDescent="0.35">
      <c r="A995" s="2" t="s">
        <v>2612</v>
      </c>
      <c r="B995" s="2" t="s">
        <v>2613</v>
      </c>
      <c r="C995" s="2" t="s">
        <v>2614</v>
      </c>
      <c r="D995" t="s">
        <v>5994</v>
      </c>
      <c r="E995" t="s">
        <v>7124</v>
      </c>
      <c r="F995" t="s">
        <v>12</v>
      </c>
      <c r="G995" t="s">
        <v>0</v>
      </c>
      <c r="H995" s="1">
        <f>DATE(2023,3,6)</f>
        <v>44991</v>
      </c>
    </row>
    <row r="996" spans="1:8" x14ac:dyDescent="0.35">
      <c r="A996" s="2" t="s">
        <v>2615</v>
      </c>
      <c r="B996" s="2" t="s">
        <v>2616</v>
      </c>
      <c r="C996" s="2" t="s">
        <v>2617</v>
      </c>
      <c r="D996" t="s">
        <v>5995</v>
      </c>
      <c r="E996" t="s">
        <v>7125</v>
      </c>
      <c r="F996" t="s">
        <v>12</v>
      </c>
      <c r="G996" t="s">
        <v>0</v>
      </c>
      <c r="H996" s="1">
        <f>DATE(2023,3,6)</f>
        <v>44991</v>
      </c>
    </row>
    <row r="997" spans="1:8" x14ac:dyDescent="0.35">
      <c r="A997" s="2" t="s">
        <v>2618</v>
      </c>
      <c r="B997" s="2" t="s">
        <v>2619</v>
      </c>
      <c r="C997" s="2" t="s">
        <v>2620</v>
      </c>
      <c r="D997" t="s">
        <v>5996</v>
      </c>
      <c r="E997" t="s">
        <v>7126</v>
      </c>
      <c r="F997" t="s">
        <v>12</v>
      </c>
      <c r="G997" t="s">
        <v>0</v>
      </c>
      <c r="H997" s="1">
        <f>DATE(2024,1,5)</f>
        <v>45296</v>
      </c>
    </row>
    <row r="998" spans="1:8" x14ac:dyDescent="0.35">
      <c r="A998" s="2" t="s">
        <v>2621</v>
      </c>
      <c r="B998" s="2" t="s">
        <v>2622</v>
      </c>
      <c r="C998" s="2" t="s">
        <v>2623</v>
      </c>
      <c r="D998" t="s">
        <v>5997</v>
      </c>
      <c r="E998" t="s">
        <v>7127</v>
      </c>
      <c r="F998" t="s">
        <v>12</v>
      </c>
      <c r="G998" t="s">
        <v>0</v>
      </c>
      <c r="H998" s="1">
        <f>DATE(2023,3,6)</f>
        <v>44991</v>
      </c>
    </row>
    <row r="999" spans="1:8" x14ac:dyDescent="0.35">
      <c r="A999" s="2" t="s">
        <v>2624</v>
      </c>
      <c r="B999" s="2" t="s">
        <v>2625</v>
      </c>
      <c r="D999" t="s">
        <v>5387</v>
      </c>
      <c r="E999" t="e">
        <v>#VALUE!</v>
      </c>
      <c r="F999" t="s">
        <v>12</v>
      </c>
      <c r="G999" t="s">
        <v>0</v>
      </c>
      <c r="H999" s="1">
        <f>DATE(2023,3,6)</f>
        <v>44991</v>
      </c>
    </row>
    <row r="1000" spans="1:8" x14ac:dyDescent="0.35">
      <c r="A1000" s="2" t="s">
        <v>2626</v>
      </c>
      <c r="B1000" s="2" t="s">
        <v>2627</v>
      </c>
      <c r="D1000" t="s">
        <v>5387</v>
      </c>
      <c r="E1000" t="e">
        <v>#VALUE!</v>
      </c>
      <c r="F1000" t="s">
        <v>12</v>
      </c>
      <c r="G1000" t="s">
        <v>0</v>
      </c>
      <c r="H1000" s="1">
        <f>DATE(2023,12,7)</f>
        <v>45267</v>
      </c>
    </row>
    <row r="1001" spans="1:8" x14ac:dyDescent="0.35">
      <c r="A1001" s="2" t="s">
        <v>2628</v>
      </c>
      <c r="B1001" s="2" t="s">
        <v>2629</v>
      </c>
      <c r="C1001" s="2" t="s">
        <v>2630</v>
      </c>
      <c r="D1001" t="s">
        <v>5998</v>
      </c>
      <c r="E1001" t="s">
        <v>7128</v>
      </c>
      <c r="F1001" t="s">
        <v>12</v>
      </c>
      <c r="G1001" t="s">
        <v>0</v>
      </c>
      <c r="H1001" s="1">
        <f>DATE(2023,3,8)</f>
        <v>44993</v>
      </c>
    </row>
    <row r="1002" spans="1:8" x14ac:dyDescent="0.35">
      <c r="A1002" s="2" t="s">
        <v>2631</v>
      </c>
      <c r="B1002" s="2" t="s">
        <v>2632</v>
      </c>
      <c r="C1002" s="2" t="s">
        <v>2633</v>
      </c>
      <c r="D1002" t="s">
        <v>5999</v>
      </c>
      <c r="E1002" t="s">
        <v>7129</v>
      </c>
      <c r="F1002" t="s">
        <v>12</v>
      </c>
      <c r="G1002" t="s">
        <v>0</v>
      </c>
      <c r="H1002" s="1">
        <f>DATE(2023,3,9)</f>
        <v>44994</v>
      </c>
    </row>
    <row r="1003" spans="1:8" x14ac:dyDescent="0.35">
      <c r="A1003" s="2" t="s">
        <v>2634</v>
      </c>
      <c r="B1003" s="2" t="s">
        <v>2635</v>
      </c>
      <c r="C1003" s="2" t="s">
        <v>2636</v>
      </c>
      <c r="D1003" t="s">
        <v>6000</v>
      </c>
      <c r="E1003" t="s">
        <v>7130</v>
      </c>
      <c r="F1003" t="s">
        <v>12</v>
      </c>
      <c r="G1003" t="s">
        <v>0</v>
      </c>
      <c r="H1003" s="1">
        <f>DATE(2023,3,15)</f>
        <v>45000</v>
      </c>
    </row>
    <row r="1004" spans="1:8" x14ac:dyDescent="0.35">
      <c r="A1004" s="2" t="s">
        <v>2637</v>
      </c>
      <c r="B1004" s="2" t="s">
        <v>2638</v>
      </c>
      <c r="C1004" s="2" t="s">
        <v>2639</v>
      </c>
      <c r="D1004" t="s">
        <v>6001</v>
      </c>
      <c r="E1004" t="s">
        <v>7131</v>
      </c>
      <c r="F1004" t="s">
        <v>12</v>
      </c>
      <c r="G1004" t="s">
        <v>0</v>
      </c>
      <c r="H1004" s="1">
        <f>DATE(2023,3,21)</f>
        <v>45006</v>
      </c>
    </row>
    <row r="1005" spans="1:8" x14ac:dyDescent="0.35">
      <c r="A1005" s="2" t="s">
        <v>2640</v>
      </c>
      <c r="B1005" s="2" t="s">
        <v>2641</v>
      </c>
      <c r="D1005" t="s">
        <v>5387</v>
      </c>
      <c r="E1005" t="e">
        <v>#VALUE!</v>
      </c>
      <c r="F1005" t="s">
        <v>12</v>
      </c>
      <c r="G1005" t="s">
        <v>0</v>
      </c>
      <c r="H1005" s="1">
        <f>DATE(2023,3,21)</f>
        <v>45006</v>
      </c>
    </row>
    <row r="1006" spans="1:8" x14ac:dyDescent="0.35">
      <c r="A1006" s="2" t="s">
        <v>2642</v>
      </c>
      <c r="B1006" s="2" t="s">
        <v>2643</v>
      </c>
      <c r="C1006" s="2" t="s">
        <v>2644</v>
      </c>
      <c r="D1006" t="s">
        <v>5439</v>
      </c>
      <c r="E1006" t="s">
        <v>6568</v>
      </c>
      <c r="F1006" t="s">
        <v>12</v>
      </c>
      <c r="G1006" t="s">
        <v>0</v>
      </c>
      <c r="H1006" s="1">
        <f>DATE(2023,3,21)</f>
        <v>45006</v>
      </c>
    </row>
    <row r="1007" spans="1:8" x14ac:dyDescent="0.35">
      <c r="A1007" s="2" t="s">
        <v>2645</v>
      </c>
      <c r="B1007" s="2" t="s">
        <v>2646</v>
      </c>
      <c r="C1007" s="2" t="s">
        <v>2647</v>
      </c>
      <c r="D1007" t="s">
        <v>5439</v>
      </c>
      <c r="E1007" t="s">
        <v>6568</v>
      </c>
      <c r="F1007" t="s">
        <v>12</v>
      </c>
      <c r="G1007" t="s">
        <v>0</v>
      </c>
      <c r="H1007" s="1">
        <f>DATE(2023,3,21)</f>
        <v>45006</v>
      </c>
    </row>
    <row r="1008" spans="1:8" x14ac:dyDescent="0.35">
      <c r="A1008" s="2" t="s">
        <v>2648</v>
      </c>
      <c r="B1008" s="2" t="s">
        <v>2649</v>
      </c>
      <c r="C1008" s="2" t="s">
        <v>2650</v>
      </c>
      <c r="D1008" t="s">
        <v>5439</v>
      </c>
      <c r="E1008" t="s">
        <v>6568</v>
      </c>
      <c r="F1008" t="s">
        <v>12</v>
      </c>
      <c r="G1008" t="s">
        <v>0</v>
      </c>
      <c r="H1008" s="1">
        <f>DATE(2023,3,21)</f>
        <v>45006</v>
      </c>
    </row>
    <row r="1009" spans="1:8" x14ac:dyDescent="0.35">
      <c r="A1009" s="2" t="s">
        <v>2651</v>
      </c>
      <c r="B1009" s="2" t="s">
        <v>2652</v>
      </c>
      <c r="C1009" s="2" t="s">
        <v>2653</v>
      </c>
      <c r="D1009" t="s">
        <v>6002</v>
      </c>
      <c r="E1009" t="s">
        <v>7132</v>
      </c>
      <c r="F1009" t="s">
        <v>12</v>
      </c>
      <c r="G1009" t="s">
        <v>0</v>
      </c>
      <c r="H1009" s="1">
        <f>DATE(2023,3,23)</f>
        <v>45008</v>
      </c>
    </row>
    <row r="1010" spans="1:8" x14ac:dyDescent="0.35">
      <c r="A1010" s="2" t="s">
        <v>2654</v>
      </c>
      <c r="B1010" s="2" t="s">
        <v>2655</v>
      </c>
      <c r="C1010" s="2" t="s">
        <v>2656</v>
      </c>
      <c r="D1010" t="s">
        <v>6003</v>
      </c>
      <c r="E1010" t="s">
        <v>7133</v>
      </c>
      <c r="F1010" t="s">
        <v>12</v>
      </c>
      <c r="G1010" t="s">
        <v>0</v>
      </c>
      <c r="H1010" s="1">
        <f>DATE(2023,3,23)</f>
        <v>45008</v>
      </c>
    </row>
    <row r="1011" spans="1:8" x14ac:dyDescent="0.35">
      <c r="A1011" s="2" t="s">
        <v>2657</v>
      </c>
      <c r="B1011" s="2" t="s">
        <v>2658</v>
      </c>
      <c r="D1011" t="s">
        <v>5387</v>
      </c>
      <c r="E1011" t="e">
        <v>#VALUE!</v>
      </c>
      <c r="F1011" t="s">
        <v>12</v>
      </c>
      <c r="G1011" t="s">
        <v>0</v>
      </c>
      <c r="H1011" s="1">
        <f>DATE(2023,3,27)</f>
        <v>45012</v>
      </c>
    </row>
    <row r="1012" spans="1:8" x14ac:dyDescent="0.35">
      <c r="A1012" s="2" t="s">
        <v>2659</v>
      </c>
      <c r="B1012" s="2" t="s">
        <v>2660</v>
      </c>
      <c r="C1012" s="2" t="s">
        <v>2661</v>
      </c>
      <c r="D1012" t="s">
        <v>6004</v>
      </c>
      <c r="E1012" t="s">
        <v>7134</v>
      </c>
      <c r="F1012" t="s">
        <v>12</v>
      </c>
      <c r="G1012" t="s">
        <v>0</v>
      </c>
      <c r="H1012" s="1">
        <f>DATE(2023,3,30)</f>
        <v>45015</v>
      </c>
    </row>
    <row r="1013" spans="1:8" x14ac:dyDescent="0.35">
      <c r="A1013" s="2" t="s">
        <v>2662</v>
      </c>
      <c r="B1013" s="2" t="s">
        <v>2663</v>
      </c>
      <c r="D1013" t="s">
        <v>5387</v>
      </c>
      <c r="E1013" t="e">
        <v>#VALUE!</v>
      </c>
      <c r="F1013" t="s">
        <v>12</v>
      </c>
      <c r="G1013" t="s">
        <v>0</v>
      </c>
      <c r="H1013" s="1">
        <f>DATE(2023,3,31)</f>
        <v>45016</v>
      </c>
    </row>
    <row r="1014" spans="1:8" x14ac:dyDescent="0.35">
      <c r="A1014" s="2" t="s">
        <v>2664</v>
      </c>
      <c r="B1014" s="2" t="s">
        <v>2665</v>
      </c>
      <c r="D1014" t="s">
        <v>5387</v>
      </c>
      <c r="E1014" t="e">
        <v>#VALUE!</v>
      </c>
      <c r="F1014" t="s">
        <v>12</v>
      </c>
      <c r="G1014" t="s">
        <v>0</v>
      </c>
      <c r="H1014" s="1">
        <f>DATE(2023,3,31)</f>
        <v>45016</v>
      </c>
    </row>
    <row r="1015" spans="1:8" x14ac:dyDescent="0.35">
      <c r="A1015" s="2" t="s">
        <v>2666</v>
      </c>
      <c r="B1015" s="2" t="s">
        <v>2667</v>
      </c>
      <c r="C1015" s="2" t="s">
        <v>2668</v>
      </c>
      <c r="D1015" t="s">
        <v>6005</v>
      </c>
      <c r="E1015" t="s">
        <v>7135</v>
      </c>
      <c r="F1015" t="s">
        <v>12</v>
      </c>
      <c r="G1015" t="s">
        <v>0</v>
      </c>
      <c r="H1015" s="1">
        <f>DATE(2023,10,30)</f>
        <v>45229</v>
      </c>
    </row>
    <row r="1016" spans="1:8" x14ac:dyDescent="0.35">
      <c r="A1016" s="2" t="s">
        <v>2669</v>
      </c>
      <c r="B1016" s="2" t="s">
        <v>2670</v>
      </c>
      <c r="C1016" s="2" t="s">
        <v>2671</v>
      </c>
      <c r="D1016" t="s">
        <v>6006</v>
      </c>
      <c r="E1016" t="s">
        <v>7136</v>
      </c>
      <c r="F1016" t="s">
        <v>12</v>
      </c>
      <c r="G1016" t="s">
        <v>0</v>
      </c>
      <c r="H1016" s="1">
        <f>DATE(2023,9,27)</f>
        <v>45196</v>
      </c>
    </row>
    <row r="1017" spans="1:8" x14ac:dyDescent="0.35">
      <c r="A1017" s="2" t="s">
        <v>2672</v>
      </c>
      <c r="B1017" s="2" t="s">
        <v>2673</v>
      </c>
      <c r="C1017" s="2" t="s">
        <v>2674</v>
      </c>
      <c r="D1017" t="s">
        <v>6007</v>
      </c>
      <c r="E1017" t="s">
        <v>7137</v>
      </c>
      <c r="F1017" t="s">
        <v>12</v>
      </c>
      <c r="G1017" t="s">
        <v>0</v>
      </c>
      <c r="H1017" s="1">
        <f>DATE(2023,4,5)</f>
        <v>45021</v>
      </c>
    </row>
    <row r="1018" spans="1:8" x14ac:dyDescent="0.35">
      <c r="A1018" s="2" t="s">
        <v>2675</v>
      </c>
      <c r="B1018" s="2" t="s">
        <v>2676</v>
      </c>
      <c r="D1018" t="s">
        <v>5387</v>
      </c>
      <c r="E1018" t="e">
        <v>#VALUE!</v>
      </c>
      <c r="F1018" t="s">
        <v>12</v>
      </c>
      <c r="G1018" t="s">
        <v>0</v>
      </c>
      <c r="H1018" s="1">
        <f>DATE(2023,4,6)</f>
        <v>45022</v>
      </c>
    </row>
    <row r="1019" spans="1:8" x14ac:dyDescent="0.35">
      <c r="A1019" s="2" t="s">
        <v>2677</v>
      </c>
      <c r="B1019" s="2" t="s">
        <v>2678</v>
      </c>
      <c r="D1019" t="s">
        <v>5387</v>
      </c>
      <c r="E1019" t="e">
        <v>#VALUE!</v>
      </c>
      <c r="F1019" t="s">
        <v>12</v>
      </c>
      <c r="G1019" t="s">
        <v>0</v>
      </c>
      <c r="H1019" s="1">
        <f>DATE(2023,4,7)</f>
        <v>45023</v>
      </c>
    </row>
    <row r="1020" spans="1:8" x14ac:dyDescent="0.35">
      <c r="A1020" s="2" t="s">
        <v>2679</v>
      </c>
      <c r="B1020" s="2" t="s">
        <v>2680</v>
      </c>
      <c r="C1020" s="2" t="s">
        <v>2681</v>
      </c>
      <c r="D1020" t="s">
        <v>6008</v>
      </c>
      <c r="E1020" t="s">
        <v>7138</v>
      </c>
      <c r="F1020" t="s">
        <v>12</v>
      </c>
      <c r="G1020" t="s">
        <v>0</v>
      </c>
      <c r="H1020" s="1">
        <f>DATE(2023,4,7)</f>
        <v>45023</v>
      </c>
    </row>
    <row r="1021" spans="1:8" x14ac:dyDescent="0.35">
      <c r="A1021" s="2" t="s">
        <v>2682</v>
      </c>
      <c r="B1021" s="2" t="s">
        <v>2683</v>
      </c>
      <c r="C1021" s="2" t="s">
        <v>2684</v>
      </c>
      <c r="D1021" t="s">
        <v>6009</v>
      </c>
      <c r="E1021" t="s">
        <v>7139</v>
      </c>
      <c r="F1021" t="s">
        <v>12</v>
      </c>
      <c r="G1021" t="s">
        <v>0</v>
      </c>
      <c r="H1021" s="1">
        <f>DATE(2023,4,12)</f>
        <v>45028</v>
      </c>
    </row>
    <row r="1022" spans="1:8" x14ac:dyDescent="0.35">
      <c r="A1022" s="2" t="s">
        <v>2685</v>
      </c>
      <c r="B1022" s="2" t="s">
        <v>2686</v>
      </c>
      <c r="C1022" s="2" t="s">
        <v>2687</v>
      </c>
      <c r="D1022" t="s">
        <v>6010</v>
      </c>
      <c r="E1022" t="s">
        <v>7140</v>
      </c>
      <c r="F1022" t="s">
        <v>12</v>
      </c>
      <c r="G1022" t="s">
        <v>0</v>
      </c>
      <c r="H1022" s="1">
        <f>DATE(2023,10,17)</f>
        <v>45216</v>
      </c>
    </row>
    <row r="1023" spans="1:8" x14ac:dyDescent="0.35">
      <c r="A1023" s="2" t="s">
        <v>2688</v>
      </c>
      <c r="B1023" s="2" t="s">
        <v>2689</v>
      </c>
      <c r="D1023" t="s">
        <v>5387</v>
      </c>
      <c r="E1023" t="e">
        <v>#VALUE!</v>
      </c>
      <c r="F1023" t="s">
        <v>12</v>
      </c>
      <c r="G1023" t="s">
        <v>0</v>
      </c>
      <c r="H1023" s="1">
        <f>DATE(2023,12,7)</f>
        <v>45267</v>
      </c>
    </row>
    <row r="1024" spans="1:8" x14ac:dyDescent="0.35">
      <c r="A1024" s="2" t="s">
        <v>2690</v>
      </c>
      <c r="B1024" s="2" t="s">
        <v>2691</v>
      </c>
      <c r="D1024" t="s">
        <v>5387</v>
      </c>
      <c r="E1024" t="e">
        <v>#VALUE!</v>
      </c>
      <c r="F1024" t="s">
        <v>12</v>
      </c>
      <c r="G1024" t="s">
        <v>0</v>
      </c>
      <c r="H1024" s="1">
        <f>DATE(2023,4,20)</f>
        <v>45036</v>
      </c>
    </row>
    <row r="1025" spans="1:8" x14ac:dyDescent="0.35">
      <c r="A1025" s="2" t="s">
        <v>2692</v>
      </c>
      <c r="B1025" s="2" t="s">
        <v>2693</v>
      </c>
      <c r="C1025" s="2" t="s">
        <v>2694</v>
      </c>
      <c r="D1025" t="s">
        <v>5509</v>
      </c>
      <c r="E1025" t="s">
        <v>6638</v>
      </c>
      <c r="F1025" t="s">
        <v>12</v>
      </c>
      <c r="G1025" t="s">
        <v>0</v>
      </c>
      <c r="H1025" s="1">
        <f>DATE(2023,12,7)</f>
        <v>45267</v>
      </c>
    </row>
    <row r="1026" spans="1:8" x14ac:dyDescent="0.35">
      <c r="A1026" s="2" t="s">
        <v>2695</v>
      </c>
      <c r="B1026" s="2" t="s">
        <v>2696</v>
      </c>
      <c r="D1026" t="s">
        <v>5387</v>
      </c>
      <c r="E1026" t="e">
        <v>#VALUE!</v>
      </c>
      <c r="F1026" t="s">
        <v>218</v>
      </c>
      <c r="G1026" t="s">
        <v>0</v>
      </c>
      <c r="H1026" s="1">
        <f>DATE(2023,12,7)</f>
        <v>45267</v>
      </c>
    </row>
    <row r="1027" spans="1:8" x14ac:dyDescent="0.35">
      <c r="A1027" s="2" t="s">
        <v>2697</v>
      </c>
      <c r="B1027" s="2" t="s">
        <v>2698</v>
      </c>
      <c r="D1027" t="s">
        <v>5387</v>
      </c>
      <c r="E1027" t="e">
        <v>#VALUE!</v>
      </c>
      <c r="F1027" t="s">
        <v>12</v>
      </c>
      <c r="G1027" t="s">
        <v>0</v>
      </c>
      <c r="H1027" s="1">
        <f>DATE(2023,12,15)</f>
        <v>45275</v>
      </c>
    </row>
    <row r="1028" spans="1:8" x14ac:dyDescent="0.35">
      <c r="A1028" s="2" t="s">
        <v>2699</v>
      </c>
      <c r="B1028" s="2" t="s">
        <v>2700</v>
      </c>
      <c r="D1028" t="s">
        <v>5387</v>
      </c>
      <c r="E1028" t="e">
        <v>#VALUE!</v>
      </c>
      <c r="F1028" t="s">
        <v>12</v>
      </c>
      <c r="G1028" t="s">
        <v>0</v>
      </c>
      <c r="H1028" s="1">
        <f>DATE(2023,12,4)</f>
        <v>45264</v>
      </c>
    </row>
    <row r="1029" spans="1:8" x14ac:dyDescent="0.35">
      <c r="A1029" s="2" t="s">
        <v>2701</v>
      </c>
      <c r="B1029" s="2" t="s">
        <v>2702</v>
      </c>
      <c r="C1029" s="2" t="s">
        <v>2703</v>
      </c>
      <c r="D1029" t="s">
        <v>6011</v>
      </c>
      <c r="E1029" t="s">
        <v>7141</v>
      </c>
      <c r="F1029" t="s">
        <v>12</v>
      </c>
      <c r="G1029" t="s">
        <v>0</v>
      </c>
      <c r="H1029" s="1">
        <f>DATE(2023,12,27)</f>
        <v>45287</v>
      </c>
    </row>
    <row r="1030" spans="1:8" x14ac:dyDescent="0.35">
      <c r="A1030" s="2" t="s">
        <v>2704</v>
      </c>
      <c r="B1030" s="2" t="s">
        <v>2705</v>
      </c>
      <c r="C1030" s="2" t="s">
        <v>2706</v>
      </c>
      <c r="D1030" t="s">
        <v>6012</v>
      </c>
      <c r="E1030" t="s">
        <v>7142</v>
      </c>
      <c r="F1030" t="s">
        <v>12</v>
      </c>
      <c r="G1030" t="s">
        <v>0</v>
      </c>
      <c r="H1030" s="1">
        <f>DATE(2023,12,5)</f>
        <v>45265</v>
      </c>
    </row>
    <row r="1031" spans="1:8" x14ac:dyDescent="0.35">
      <c r="A1031" s="2" t="s">
        <v>2707</v>
      </c>
      <c r="B1031" s="2" t="s">
        <v>2708</v>
      </c>
      <c r="C1031" s="2" t="s">
        <v>2709</v>
      </c>
      <c r="D1031" t="s">
        <v>6013</v>
      </c>
      <c r="E1031" t="s">
        <v>7143</v>
      </c>
      <c r="F1031" t="s">
        <v>12</v>
      </c>
      <c r="G1031" t="s">
        <v>0</v>
      </c>
      <c r="H1031" s="1">
        <f>DATE(2023,12,5)</f>
        <v>45265</v>
      </c>
    </row>
    <row r="1032" spans="1:8" x14ac:dyDescent="0.35">
      <c r="A1032" s="2" t="s">
        <v>2710</v>
      </c>
      <c r="B1032" s="2" t="s">
        <v>2711</v>
      </c>
      <c r="C1032" s="2" t="s">
        <v>2712</v>
      </c>
      <c r="D1032" t="s">
        <v>6014</v>
      </c>
      <c r="E1032" t="s">
        <v>7144</v>
      </c>
      <c r="F1032" t="s">
        <v>12</v>
      </c>
      <c r="G1032" t="s">
        <v>0</v>
      </c>
      <c r="H1032" s="1">
        <f>DATE(2023,12,5)</f>
        <v>45265</v>
      </c>
    </row>
    <row r="1033" spans="1:8" x14ac:dyDescent="0.35">
      <c r="A1033" s="2" t="s">
        <v>2713</v>
      </c>
      <c r="B1033" s="2" t="s">
        <v>2714</v>
      </c>
      <c r="D1033" t="s">
        <v>5387</v>
      </c>
      <c r="E1033" t="e">
        <v>#VALUE!</v>
      </c>
      <c r="F1033" t="s">
        <v>12</v>
      </c>
      <c r="G1033" t="s">
        <v>0</v>
      </c>
      <c r="H1033" s="1">
        <f>DATE(2023,12,7)</f>
        <v>45267</v>
      </c>
    </row>
    <row r="1034" spans="1:8" x14ac:dyDescent="0.35">
      <c r="A1034" s="2" t="s">
        <v>2715</v>
      </c>
      <c r="B1034" s="2" t="s">
        <v>2716</v>
      </c>
      <c r="C1034" s="2" t="s">
        <v>2717</v>
      </c>
      <c r="D1034" t="s">
        <v>6015</v>
      </c>
      <c r="E1034" t="s">
        <v>7145</v>
      </c>
      <c r="F1034" t="s">
        <v>12</v>
      </c>
      <c r="G1034" t="s">
        <v>0</v>
      </c>
      <c r="H1034" s="1">
        <f>DATE(2023,12,8)</f>
        <v>45268</v>
      </c>
    </row>
    <row r="1035" spans="1:8" x14ac:dyDescent="0.35">
      <c r="A1035" s="2" t="s">
        <v>2718</v>
      </c>
      <c r="B1035" s="2" t="s">
        <v>2719</v>
      </c>
      <c r="C1035" s="2" t="s">
        <v>2720</v>
      </c>
      <c r="D1035" t="s">
        <v>6016</v>
      </c>
      <c r="E1035" t="s">
        <v>7146</v>
      </c>
      <c r="F1035" t="s">
        <v>12</v>
      </c>
      <c r="G1035" t="s">
        <v>0</v>
      </c>
      <c r="H1035" s="1">
        <f>DATE(2024,1,11)</f>
        <v>45302</v>
      </c>
    </row>
    <row r="1036" spans="1:8" x14ac:dyDescent="0.35">
      <c r="A1036" s="2" t="s">
        <v>2721</v>
      </c>
      <c r="B1036" s="2" t="s">
        <v>2722</v>
      </c>
      <c r="C1036" s="2" t="s">
        <v>2723</v>
      </c>
      <c r="D1036" t="s">
        <v>6017</v>
      </c>
      <c r="E1036" t="s">
        <v>7147</v>
      </c>
      <c r="F1036" t="s">
        <v>12</v>
      </c>
      <c r="G1036" t="s">
        <v>0</v>
      </c>
      <c r="H1036" s="1">
        <f>DATE(2023,12,19)</f>
        <v>45279</v>
      </c>
    </row>
    <row r="1037" spans="1:8" x14ac:dyDescent="0.35">
      <c r="A1037" s="2" t="s">
        <v>2724</v>
      </c>
      <c r="B1037" s="2" t="s">
        <v>2725</v>
      </c>
      <c r="C1037" s="2" t="s">
        <v>2726</v>
      </c>
      <c r="D1037" t="s">
        <v>6018</v>
      </c>
      <c r="E1037" t="s">
        <v>7148</v>
      </c>
      <c r="F1037" t="s">
        <v>12</v>
      </c>
      <c r="G1037" t="s">
        <v>0</v>
      </c>
      <c r="H1037" s="1">
        <f>DATE(2023,12,13)</f>
        <v>45273</v>
      </c>
    </row>
    <row r="1038" spans="1:8" x14ac:dyDescent="0.35">
      <c r="A1038" s="2" t="s">
        <v>2727</v>
      </c>
      <c r="B1038" s="2" t="s">
        <v>2728</v>
      </c>
      <c r="C1038" s="2" t="s">
        <v>2729</v>
      </c>
      <c r="D1038" t="s">
        <v>6019</v>
      </c>
      <c r="E1038" t="s">
        <v>7149</v>
      </c>
      <c r="F1038" t="s">
        <v>12</v>
      </c>
      <c r="G1038" t="s">
        <v>0</v>
      </c>
      <c r="H1038" s="1">
        <f>DATE(2023,12,13)</f>
        <v>45273</v>
      </c>
    </row>
    <row r="1039" spans="1:8" x14ac:dyDescent="0.35">
      <c r="A1039" s="2" t="s">
        <v>2730</v>
      </c>
      <c r="B1039" s="2" t="s">
        <v>2731</v>
      </c>
      <c r="D1039" t="s">
        <v>5387</v>
      </c>
      <c r="E1039" t="e">
        <v>#VALUE!</v>
      </c>
      <c r="F1039" t="s">
        <v>12</v>
      </c>
      <c r="G1039" t="s">
        <v>0</v>
      </c>
      <c r="H1039" s="1">
        <f>DATE(2023,12,27)</f>
        <v>45287</v>
      </c>
    </row>
    <row r="1040" spans="1:8" x14ac:dyDescent="0.35">
      <c r="A1040" s="2" t="s">
        <v>2732</v>
      </c>
      <c r="B1040" s="2" t="s">
        <v>2733</v>
      </c>
      <c r="C1040" s="2" t="s">
        <v>2734</v>
      </c>
      <c r="D1040" t="s">
        <v>6020</v>
      </c>
      <c r="E1040" t="s">
        <v>7150</v>
      </c>
      <c r="F1040" t="s">
        <v>12</v>
      </c>
      <c r="G1040" t="s">
        <v>0</v>
      </c>
      <c r="H1040" s="1">
        <f>DATE(2023,12,14)</f>
        <v>45274</v>
      </c>
    </row>
    <row r="1041" spans="1:8" x14ac:dyDescent="0.35">
      <c r="A1041" s="2" t="s">
        <v>2735</v>
      </c>
      <c r="B1041" s="2" t="s">
        <v>562</v>
      </c>
      <c r="C1041" s="2" t="s">
        <v>2736</v>
      </c>
      <c r="D1041" t="s">
        <v>5503</v>
      </c>
      <c r="E1041" t="s">
        <v>6632</v>
      </c>
      <c r="F1041" t="s">
        <v>12</v>
      </c>
      <c r="G1041" t="s">
        <v>0</v>
      </c>
      <c r="H1041" s="1">
        <f>DATE(2023,12,14)</f>
        <v>45274</v>
      </c>
    </row>
    <row r="1042" spans="1:8" x14ac:dyDescent="0.35">
      <c r="A1042" s="2" t="s">
        <v>2737</v>
      </c>
      <c r="B1042" s="2" t="s">
        <v>2738</v>
      </c>
      <c r="C1042" s="2" t="s">
        <v>2739</v>
      </c>
      <c r="D1042" t="s">
        <v>6021</v>
      </c>
      <c r="E1042" t="s">
        <v>7151</v>
      </c>
      <c r="F1042" t="s">
        <v>12</v>
      </c>
      <c r="G1042" t="s">
        <v>0</v>
      </c>
      <c r="H1042" s="1">
        <f>DATE(2023,12,15)</f>
        <v>45275</v>
      </c>
    </row>
    <row r="1043" spans="1:8" x14ac:dyDescent="0.35">
      <c r="A1043" s="2" t="s">
        <v>2740</v>
      </c>
      <c r="B1043" s="2" t="s">
        <v>2741</v>
      </c>
      <c r="C1043" s="2" t="s">
        <v>2742</v>
      </c>
      <c r="D1043" t="s">
        <v>6022</v>
      </c>
      <c r="E1043" t="s">
        <v>7152</v>
      </c>
      <c r="F1043" t="s">
        <v>12</v>
      </c>
      <c r="G1043" t="s">
        <v>0</v>
      </c>
      <c r="H1043" s="1">
        <f>DATE(2023,12,18)</f>
        <v>45278</v>
      </c>
    </row>
    <row r="1044" spans="1:8" x14ac:dyDescent="0.35">
      <c r="A1044" s="2" t="s">
        <v>2743</v>
      </c>
      <c r="B1044" s="2" t="s">
        <v>2744</v>
      </c>
      <c r="D1044" t="s">
        <v>5387</v>
      </c>
      <c r="E1044" t="e">
        <v>#VALUE!</v>
      </c>
      <c r="F1044" t="s">
        <v>12</v>
      </c>
      <c r="G1044" t="s">
        <v>0</v>
      </c>
      <c r="H1044" s="1">
        <f>DATE(2023,12,18)</f>
        <v>45278</v>
      </c>
    </row>
    <row r="1045" spans="1:8" x14ac:dyDescent="0.35">
      <c r="A1045" s="2" t="s">
        <v>2745</v>
      </c>
      <c r="B1045" s="2" t="s">
        <v>2746</v>
      </c>
      <c r="C1045" s="2" t="s">
        <v>2747</v>
      </c>
      <c r="D1045" t="s">
        <v>6023</v>
      </c>
      <c r="E1045" t="s">
        <v>7153</v>
      </c>
      <c r="F1045" t="s">
        <v>12</v>
      </c>
      <c r="G1045" t="s">
        <v>0</v>
      </c>
      <c r="H1045" s="1">
        <f>DATE(2023,11,21)</f>
        <v>45251</v>
      </c>
    </row>
    <row r="1046" spans="1:8" x14ac:dyDescent="0.35">
      <c r="A1046" s="2" t="s">
        <v>2748</v>
      </c>
      <c r="B1046" s="2" t="s">
        <v>2749</v>
      </c>
      <c r="C1046" s="2" t="s">
        <v>2750</v>
      </c>
      <c r="D1046" t="s">
        <v>6024</v>
      </c>
      <c r="E1046" t="s">
        <v>7154</v>
      </c>
      <c r="F1046" t="s">
        <v>12</v>
      </c>
      <c r="G1046" t="s">
        <v>0</v>
      </c>
      <c r="H1046" s="1">
        <f>DATE(2023,11,24)</f>
        <v>45254</v>
      </c>
    </row>
    <row r="1047" spans="1:8" x14ac:dyDescent="0.35">
      <c r="A1047" s="2" t="s">
        <v>2751</v>
      </c>
      <c r="B1047" s="2" t="s">
        <v>2752</v>
      </c>
      <c r="D1047" t="s">
        <v>5387</v>
      </c>
      <c r="E1047" t="e">
        <v>#VALUE!</v>
      </c>
      <c r="F1047" t="s">
        <v>12</v>
      </c>
      <c r="G1047" t="s">
        <v>0</v>
      </c>
      <c r="H1047" s="1">
        <f>DATE(2023,11,28)</f>
        <v>45258</v>
      </c>
    </row>
    <row r="1048" spans="1:8" x14ac:dyDescent="0.35">
      <c r="A1048" s="2" t="s">
        <v>2753</v>
      </c>
      <c r="B1048" s="2" t="s">
        <v>2754</v>
      </c>
      <c r="D1048" t="s">
        <v>5387</v>
      </c>
      <c r="E1048" t="e">
        <v>#VALUE!</v>
      </c>
      <c r="F1048" t="s">
        <v>12</v>
      </c>
      <c r="G1048" t="s">
        <v>0</v>
      </c>
      <c r="H1048" s="1">
        <f t="shared" ref="H1048:H1053" si="11">DATE(2022,7,28)</f>
        <v>44770</v>
      </c>
    </row>
    <row r="1049" spans="1:8" x14ac:dyDescent="0.35">
      <c r="A1049" s="2" t="s">
        <v>2755</v>
      </c>
      <c r="B1049" s="2" t="s">
        <v>2756</v>
      </c>
      <c r="C1049" s="2" t="s">
        <v>2757</v>
      </c>
      <c r="D1049" t="s">
        <v>6025</v>
      </c>
      <c r="E1049" t="s">
        <v>7155</v>
      </c>
      <c r="F1049" t="s">
        <v>12</v>
      </c>
      <c r="G1049" t="s">
        <v>0</v>
      </c>
      <c r="H1049" s="1">
        <f t="shared" si="11"/>
        <v>44770</v>
      </c>
    </row>
    <row r="1050" spans="1:8" x14ac:dyDescent="0.35">
      <c r="A1050" s="2" t="s">
        <v>2758</v>
      </c>
      <c r="B1050" s="2" t="s">
        <v>2759</v>
      </c>
      <c r="C1050" s="2" t="s">
        <v>2760</v>
      </c>
      <c r="D1050" t="s">
        <v>6026</v>
      </c>
      <c r="E1050" t="s">
        <v>7156</v>
      </c>
      <c r="F1050" t="s">
        <v>12</v>
      </c>
      <c r="G1050" t="s">
        <v>0</v>
      </c>
      <c r="H1050" s="1">
        <f t="shared" si="11"/>
        <v>44770</v>
      </c>
    </row>
    <row r="1051" spans="1:8" x14ac:dyDescent="0.35">
      <c r="A1051" s="2" t="s">
        <v>2761</v>
      </c>
      <c r="B1051" s="2" t="s">
        <v>2762</v>
      </c>
      <c r="D1051" t="s">
        <v>5387</v>
      </c>
      <c r="E1051" t="e">
        <v>#VALUE!</v>
      </c>
      <c r="F1051" t="s">
        <v>12</v>
      </c>
      <c r="G1051" t="s">
        <v>0</v>
      </c>
      <c r="H1051" s="1">
        <f t="shared" si="11"/>
        <v>44770</v>
      </c>
    </row>
    <row r="1052" spans="1:8" x14ac:dyDescent="0.35">
      <c r="A1052" s="2" t="s">
        <v>2763</v>
      </c>
      <c r="B1052" s="2" t="s">
        <v>2764</v>
      </c>
      <c r="D1052" t="s">
        <v>5387</v>
      </c>
      <c r="E1052" t="e">
        <v>#VALUE!</v>
      </c>
      <c r="F1052" t="s">
        <v>12</v>
      </c>
      <c r="G1052" t="s">
        <v>0</v>
      </c>
      <c r="H1052" s="1">
        <f t="shared" si="11"/>
        <v>44770</v>
      </c>
    </row>
    <row r="1053" spans="1:8" x14ac:dyDescent="0.35">
      <c r="A1053" s="2" t="s">
        <v>2765</v>
      </c>
      <c r="B1053" s="2" t="s">
        <v>2766</v>
      </c>
      <c r="C1053" s="2" t="s">
        <v>2767</v>
      </c>
      <c r="D1053" t="s">
        <v>6027</v>
      </c>
      <c r="E1053" t="s">
        <v>7157</v>
      </c>
      <c r="F1053" t="s">
        <v>12</v>
      </c>
      <c r="G1053" t="s">
        <v>0</v>
      </c>
      <c r="H1053" s="1">
        <f t="shared" si="11"/>
        <v>44770</v>
      </c>
    </row>
    <row r="1054" spans="1:8" x14ac:dyDescent="0.35">
      <c r="A1054" s="2" t="s">
        <v>2768</v>
      </c>
      <c r="B1054" s="2" t="s">
        <v>2769</v>
      </c>
      <c r="C1054" s="2" t="s">
        <v>2770</v>
      </c>
      <c r="D1054" t="s">
        <v>6028</v>
      </c>
      <c r="E1054" t="s">
        <v>7158</v>
      </c>
      <c r="F1054" t="s">
        <v>12</v>
      </c>
      <c r="G1054" t="s">
        <v>0</v>
      </c>
      <c r="H1054" s="1">
        <f>DATE(2024,1,9)</f>
        <v>45300</v>
      </c>
    </row>
    <row r="1055" spans="1:8" x14ac:dyDescent="0.35">
      <c r="A1055" s="2" t="s">
        <v>2771</v>
      </c>
      <c r="B1055" s="2" t="s">
        <v>2772</v>
      </c>
      <c r="C1055" s="2" t="s">
        <v>2773</v>
      </c>
      <c r="D1055" t="s">
        <v>6029</v>
      </c>
      <c r="E1055" t="s">
        <v>7159</v>
      </c>
      <c r="F1055" t="s">
        <v>12</v>
      </c>
      <c r="G1055" t="s">
        <v>0</v>
      </c>
      <c r="H1055" s="1">
        <f>DATE(2023,12,22)</f>
        <v>45282</v>
      </c>
    </row>
    <row r="1056" spans="1:8" x14ac:dyDescent="0.35">
      <c r="A1056" s="2" t="s">
        <v>2774</v>
      </c>
      <c r="B1056" s="2" t="s">
        <v>2775</v>
      </c>
      <c r="C1056" s="2" t="s">
        <v>2776</v>
      </c>
      <c r="D1056" t="s">
        <v>6029</v>
      </c>
      <c r="E1056" t="s">
        <v>7159</v>
      </c>
      <c r="F1056" t="s">
        <v>12</v>
      </c>
      <c r="G1056" t="s">
        <v>0</v>
      </c>
      <c r="H1056" s="1">
        <f>DATE(2024,1,9)</f>
        <v>45300</v>
      </c>
    </row>
    <row r="1057" spans="1:8" x14ac:dyDescent="0.35">
      <c r="A1057" s="2" t="s">
        <v>2777</v>
      </c>
      <c r="B1057" s="2" t="s">
        <v>2778</v>
      </c>
      <c r="C1057" s="2" t="s">
        <v>2779</v>
      </c>
      <c r="D1057" t="s">
        <v>6030</v>
      </c>
      <c r="E1057" t="s">
        <v>7160</v>
      </c>
      <c r="F1057" t="s">
        <v>12</v>
      </c>
      <c r="G1057" t="s">
        <v>0</v>
      </c>
      <c r="H1057" s="1">
        <f>DATE(2022,7,29)</f>
        <v>44771</v>
      </c>
    </row>
    <row r="1058" spans="1:8" x14ac:dyDescent="0.35">
      <c r="A1058" s="2" t="s">
        <v>2780</v>
      </c>
      <c r="B1058" s="2" t="s">
        <v>2781</v>
      </c>
      <c r="D1058" t="s">
        <v>5387</v>
      </c>
      <c r="E1058" t="e">
        <v>#VALUE!</v>
      </c>
      <c r="F1058" t="s">
        <v>12</v>
      </c>
      <c r="G1058" t="s">
        <v>0</v>
      </c>
      <c r="H1058" s="1">
        <f>DATE(2022,7,29)</f>
        <v>44771</v>
      </c>
    </row>
    <row r="1059" spans="1:8" x14ac:dyDescent="0.35">
      <c r="A1059" s="2" t="s">
        <v>2782</v>
      </c>
      <c r="B1059" s="2" t="s">
        <v>2783</v>
      </c>
      <c r="C1059" s="2" t="s">
        <v>2784</v>
      </c>
      <c r="D1059" t="s">
        <v>6031</v>
      </c>
      <c r="E1059" t="s">
        <v>7161</v>
      </c>
      <c r="F1059" t="s">
        <v>12</v>
      </c>
      <c r="G1059" t="s">
        <v>0</v>
      </c>
      <c r="H1059" s="1">
        <f>DATE(2022,8,1)</f>
        <v>44774</v>
      </c>
    </row>
    <row r="1060" spans="1:8" x14ac:dyDescent="0.35">
      <c r="A1060" s="2" t="s">
        <v>2785</v>
      </c>
      <c r="B1060" s="2" t="s">
        <v>2786</v>
      </c>
      <c r="C1060" s="2" t="s">
        <v>2787</v>
      </c>
      <c r="D1060" t="s">
        <v>6032</v>
      </c>
      <c r="E1060" t="s">
        <v>7162</v>
      </c>
      <c r="F1060" t="s">
        <v>12</v>
      </c>
      <c r="G1060" t="s">
        <v>0</v>
      </c>
      <c r="H1060" s="1">
        <f>DATE(2022,8,1)</f>
        <v>44774</v>
      </c>
    </row>
    <row r="1061" spans="1:8" x14ac:dyDescent="0.35">
      <c r="A1061" s="2" t="s">
        <v>2788</v>
      </c>
      <c r="B1061" s="2" t="s">
        <v>2789</v>
      </c>
      <c r="C1061" s="2" t="s">
        <v>2790</v>
      </c>
      <c r="D1061" t="s">
        <v>6033</v>
      </c>
      <c r="E1061" t="s">
        <v>7163</v>
      </c>
      <c r="F1061" t="s">
        <v>12</v>
      </c>
      <c r="G1061" t="s">
        <v>0</v>
      </c>
      <c r="H1061" s="1">
        <f>DATE(2023,3,14)</f>
        <v>44999</v>
      </c>
    </row>
    <row r="1062" spans="1:8" x14ac:dyDescent="0.35">
      <c r="A1062" s="2" t="s">
        <v>2791</v>
      </c>
      <c r="B1062" s="2" t="s">
        <v>2792</v>
      </c>
      <c r="C1062" s="2" t="s">
        <v>2793</v>
      </c>
      <c r="D1062" t="s">
        <v>6034</v>
      </c>
      <c r="E1062" t="s">
        <v>7164</v>
      </c>
      <c r="F1062" t="s">
        <v>12</v>
      </c>
      <c r="G1062" t="s">
        <v>0</v>
      </c>
      <c r="H1062" s="1">
        <f>DATE(2022,8,1)</f>
        <v>44774</v>
      </c>
    </row>
    <row r="1063" spans="1:8" x14ac:dyDescent="0.35">
      <c r="A1063" s="2" t="s">
        <v>2794</v>
      </c>
      <c r="B1063" s="2" t="s">
        <v>2795</v>
      </c>
      <c r="C1063" s="2" t="s">
        <v>2796</v>
      </c>
      <c r="D1063" t="s">
        <v>6035</v>
      </c>
      <c r="E1063" t="s">
        <v>7165</v>
      </c>
      <c r="F1063" t="s">
        <v>12</v>
      </c>
      <c r="G1063" t="s">
        <v>0</v>
      </c>
      <c r="H1063" s="1">
        <f>DATE(2022,8,1)</f>
        <v>44774</v>
      </c>
    </row>
    <row r="1064" spans="1:8" x14ac:dyDescent="0.35">
      <c r="A1064" s="2" t="s">
        <v>2797</v>
      </c>
      <c r="B1064" s="2" t="s">
        <v>2798</v>
      </c>
      <c r="D1064" t="s">
        <v>5387</v>
      </c>
      <c r="E1064" t="e">
        <v>#VALUE!</v>
      </c>
      <c r="F1064" t="s">
        <v>12</v>
      </c>
      <c r="G1064" t="s">
        <v>0</v>
      </c>
      <c r="H1064" s="1">
        <f>DATE(2022,8,1)</f>
        <v>44774</v>
      </c>
    </row>
    <row r="1065" spans="1:8" x14ac:dyDescent="0.35">
      <c r="A1065" s="2" t="s">
        <v>2799</v>
      </c>
      <c r="B1065" s="2" t="s">
        <v>2800</v>
      </c>
      <c r="C1065" s="2" t="s">
        <v>2801</v>
      </c>
      <c r="D1065" t="s">
        <v>6036</v>
      </c>
      <c r="E1065" t="s">
        <v>7166</v>
      </c>
      <c r="F1065" t="s">
        <v>12</v>
      </c>
      <c r="G1065" t="s">
        <v>0</v>
      </c>
      <c r="H1065" s="1">
        <f>DATE(2023,1,10)</f>
        <v>44936</v>
      </c>
    </row>
    <row r="1066" spans="1:8" x14ac:dyDescent="0.35">
      <c r="A1066" s="2" t="s">
        <v>2802</v>
      </c>
      <c r="B1066" s="2" t="s">
        <v>2803</v>
      </c>
      <c r="C1066" s="2" t="s">
        <v>2804</v>
      </c>
      <c r="D1066" t="s">
        <v>6036</v>
      </c>
      <c r="E1066" t="s">
        <v>7166</v>
      </c>
      <c r="F1066" t="s">
        <v>12</v>
      </c>
      <c r="G1066" t="s">
        <v>0</v>
      </c>
      <c r="H1066" s="1">
        <f>DATE(2023,11,15)</f>
        <v>45245</v>
      </c>
    </row>
    <row r="1067" spans="1:8" x14ac:dyDescent="0.35">
      <c r="A1067" s="2" t="s">
        <v>2805</v>
      </c>
      <c r="B1067" s="2" t="s">
        <v>2806</v>
      </c>
      <c r="C1067" s="2" t="s">
        <v>2807</v>
      </c>
      <c r="D1067" t="s">
        <v>6036</v>
      </c>
      <c r="E1067" t="s">
        <v>7166</v>
      </c>
      <c r="F1067" t="s">
        <v>12</v>
      </c>
      <c r="G1067" t="s">
        <v>0</v>
      </c>
      <c r="H1067" s="1">
        <f>DATE(2023,1,10)</f>
        <v>44936</v>
      </c>
    </row>
    <row r="1068" spans="1:8" x14ac:dyDescent="0.35">
      <c r="A1068" s="2" t="s">
        <v>2808</v>
      </c>
      <c r="B1068" s="2" t="s">
        <v>2809</v>
      </c>
      <c r="C1068" s="2" t="s">
        <v>151</v>
      </c>
      <c r="D1068" t="s">
        <v>5408</v>
      </c>
      <c r="E1068" t="s">
        <v>6538</v>
      </c>
      <c r="F1068" t="s">
        <v>12</v>
      </c>
      <c r="G1068" t="s">
        <v>0</v>
      </c>
      <c r="H1068" s="1">
        <f>DATE(2022,8,3)</f>
        <v>44776</v>
      </c>
    </row>
    <row r="1069" spans="1:8" x14ac:dyDescent="0.35">
      <c r="A1069" s="2" t="s">
        <v>2810</v>
      </c>
      <c r="B1069" s="2" t="s">
        <v>2811</v>
      </c>
      <c r="C1069" s="2" t="s">
        <v>2812</v>
      </c>
      <c r="D1069" t="s">
        <v>6037</v>
      </c>
      <c r="E1069" t="s">
        <v>7167</v>
      </c>
      <c r="F1069" t="s">
        <v>12</v>
      </c>
      <c r="G1069" t="s">
        <v>0</v>
      </c>
      <c r="H1069" s="1">
        <f t="shared" ref="H1069:H1078" si="12">DATE(2022,8,4)</f>
        <v>44777</v>
      </c>
    </row>
    <row r="1070" spans="1:8" x14ac:dyDescent="0.35">
      <c r="A1070" s="2" t="s">
        <v>2813</v>
      </c>
      <c r="B1070" s="2" t="s">
        <v>2814</v>
      </c>
      <c r="C1070" s="2" t="s">
        <v>2815</v>
      </c>
      <c r="D1070" t="s">
        <v>6038</v>
      </c>
      <c r="E1070" t="s">
        <v>7168</v>
      </c>
      <c r="F1070" t="s">
        <v>12</v>
      </c>
      <c r="G1070" t="s">
        <v>0</v>
      </c>
      <c r="H1070" s="1">
        <f t="shared" si="12"/>
        <v>44777</v>
      </c>
    </row>
    <row r="1071" spans="1:8" x14ac:dyDescent="0.35">
      <c r="A1071" s="2" t="s">
        <v>2816</v>
      </c>
      <c r="B1071" s="2" t="s">
        <v>2817</v>
      </c>
      <c r="D1071" t="s">
        <v>5387</v>
      </c>
      <c r="E1071" t="e">
        <v>#VALUE!</v>
      </c>
      <c r="F1071" t="s">
        <v>12</v>
      </c>
      <c r="G1071" t="s">
        <v>0</v>
      </c>
      <c r="H1071" s="1">
        <f t="shared" si="12"/>
        <v>44777</v>
      </c>
    </row>
    <row r="1072" spans="1:8" x14ac:dyDescent="0.35">
      <c r="A1072" s="2" t="s">
        <v>2818</v>
      </c>
      <c r="B1072" s="2" t="s">
        <v>2819</v>
      </c>
      <c r="C1072" s="2" t="s">
        <v>2820</v>
      </c>
      <c r="D1072" t="s">
        <v>6039</v>
      </c>
      <c r="E1072" t="s">
        <v>7169</v>
      </c>
      <c r="F1072" t="s">
        <v>12</v>
      </c>
      <c r="G1072" t="s">
        <v>0</v>
      </c>
      <c r="H1072" s="1">
        <f t="shared" si="12"/>
        <v>44777</v>
      </c>
    </row>
    <row r="1073" spans="1:8" x14ac:dyDescent="0.35">
      <c r="A1073" s="2" t="s">
        <v>2821</v>
      </c>
      <c r="B1073" s="2" t="s">
        <v>2822</v>
      </c>
      <c r="C1073" s="2" t="s">
        <v>2823</v>
      </c>
      <c r="D1073" t="s">
        <v>6040</v>
      </c>
      <c r="E1073" t="s">
        <v>7170</v>
      </c>
      <c r="F1073" t="s">
        <v>12</v>
      </c>
      <c r="G1073" t="s">
        <v>0</v>
      </c>
      <c r="H1073" s="1">
        <f t="shared" si="12"/>
        <v>44777</v>
      </c>
    </row>
    <row r="1074" spans="1:8" x14ac:dyDescent="0.35">
      <c r="A1074" s="2" t="s">
        <v>2824</v>
      </c>
      <c r="B1074" s="2" t="s">
        <v>2825</v>
      </c>
      <c r="D1074" t="s">
        <v>5387</v>
      </c>
      <c r="E1074" t="e">
        <v>#VALUE!</v>
      </c>
      <c r="F1074" t="s">
        <v>12</v>
      </c>
      <c r="G1074" t="s">
        <v>0</v>
      </c>
      <c r="H1074" s="1">
        <f t="shared" si="12"/>
        <v>44777</v>
      </c>
    </row>
    <row r="1075" spans="1:8" x14ac:dyDescent="0.35">
      <c r="A1075" s="2" t="s">
        <v>2826</v>
      </c>
      <c r="B1075" s="2" t="s">
        <v>2827</v>
      </c>
      <c r="C1075" s="2" t="s">
        <v>2828</v>
      </c>
      <c r="D1075" t="s">
        <v>6041</v>
      </c>
      <c r="E1075" t="s">
        <v>7171</v>
      </c>
      <c r="F1075" t="s">
        <v>12</v>
      </c>
      <c r="G1075" t="s">
        <v>0</v>
      </c>
      <c r="H1075" s="1">
        <f t="shared" si="12"/>
        <v>44777</v>
      </c>
    </row>
    <row r="1076" spans="1:8" x14ac:dyDescent="0.35">
      <c r="A1076" s="2" t="s">
        <v>2829</v>
      </c>
      <c r="B1076" s="2" t="s">
        <v>2830</v>
      </c>
      <c r="C1076" s="2" t="s">
        <v>2831</v>
      </c>
      <c r="D1076" t="s">
        <v>6042</v>
      </c>
      <c r="E1076" t="s">
        <v>7172</v>
      </c>
      <c r="F1076" t="s">
        <v>12</v>
      </c>
      <c r="G1076" t="s">
        <v>0</v>
      </c>
      <c r="H1076" s="1">
        <f t="shared" si="12"/>
        <v>44777</v>
      </c>
    </row>
    <row r="1077" spans="1:8" x14ac:dyDescent="0.35">
      <c r="A1077" s="2" t="s">
        <v>2832</v>
      </c>
      <c r="B1077" s="2" t="s">
        <v>2833</v>
      </c>
      <c r="C1077" s="2" t="s">
        <v>2834</v>
      </c>
      <c r="D1077" t="s">
        <v>6043</v>
      </c>
      <c r="E1077" t="s">
        <v>7173</v>
      </c>
      <c r="F1077" t="s">
        <v>12</v>
      </c>
      <c r="G1077" t="s">
        <v>0</v>
      </c>
      <c r="H1077" s="1">
        <f t="shared" si="12"/>
        <v>44777</v>
      </c>
    </row>
    <row r="1078" spans="1:8" x14ac:dyDescent="0.35">
      <c r="A1078" s="2" t="s">
        <v>2835</v>
      </c>
      <c r="B1078" s="2" t="s">
        <v>2836</v>
      </c>
      <c r="C1078" s="2" t="s">
        <v>2837</v>
      </c>
      <c r="D1078" t="s">
        <v>6044</v>
      </c>
      <c r="E1078" t="s">
        <v>7174</v>
      </c>
      <c r="F1078" t="s">
        <v>12</v>
      </c>
      <c r="G1078" t="s">
        <v>0</v>
      </c>
      <c r="H1078" s="1">
        <f t="shared" si="12"/>
        <v>44777</v>
      </c>
    </row>
    <row r="1079" spans="1:8" x14ac:dyDescent="0.35">
      <c r="A1079" s="2" t="s">
        <v>2838</v>
      </c>
      <c r="B1079" s="2" t="s">
        <v>2839</v>
      </c>
      <c r="C1079" s="2" t="s">
        <v>2840</v>
      </c>
      <c r="D1079" t="s">
        <v>6045</v>
      </c>
      <c r="E1079" t="s">
        <v>7175</v>
      </c>
      <c r="F1079" t="s">
        <v>12</v>
      </c>
      <c r="G1079" t="s">
        <v>0</v>
      </c>
      <c r="H1079" s="1">
        <f>DATE(2023,11,2)</f>
        <v>45232</v>
      </c>
    </row>
    <row r="1080" spans="1:8" x14ac:dyDescent="0.35">
      <c r="A1080" s="2" t="s">
        <v>2841</v>
      </c>
      <c r="B1080" s="2" t="s">
        <v>2842</v>
      </c>
      <c r="C1080" s="2" t="s">
        <v>2843</v>
      </c>
      <c r="D1080" t="s">
        <v>6046</v>
      </c>
      <c r="E1080" t="s">
        <v>7176</v>
      </c>
      <c r="F1080" t="s">
        <v>12</v>
      </c>
      <c r="G1080" t="s">
        <v>0</v>
      </c>
      <c r="H1080" s="1">
        <f>DATE(2023,11,2)</f>
        <v>45232</v>
      </c>
    </row>
    <row r="1081" spans="1:8" x14ac:dyDescent="0.35">
      <c r="A1081" s="2" t="s">
        <v>2844</v>
      </c>
      <c r="B1081" s="2" t="s">
        <v>2845</v>
      </c>
      <c r="C1081" s="2" t="s">
        <v>2846</v>
      </c>
      <c r="D1081" t="s">
        <v>6047</v>
      </c>
      <c r="E1081" t="s">
        <v>7177</v>
      </c>
      <c r="F1081" t="s">
        <v>12</v>
      </c>
      <c r="G1081" t="s">
        <v>0</v>
      </c>
      <c r="H1081" s="1">
        <f>DATE(2022,8,5)</f>
        <v>44778</v>
      </c>
    </row>
    <row r="1082" spans="1:8" x14ac:dyDescent="0.35">
      <c r="A1082" s="2" t="s">
        <v>2847</v>
      </c>
      <c r="B1082" s="2" t="s">
        <v>2848</v>
      </c>
      <c r="C1082" s="2" t="s">
        <v>2849</v>
      </c>
      <c r="D1082" t="s">
        <v>6048</v>
      </c>
      <c r="E1082" t="s">
        <v>7178</v>
      </c>
      <c r="F1082" t="s">
        <v>12</v>
      </c>
      <c r="G1082" t="s">
        <v>0</v>
      </c>
      <c r="H1082" s="1">
        <f>DATE(2022,8,24)</f>
        <v>44797</v>
      </c>
    </row>
    <row r="1083" spans="1:8" x14ac:dyDescent="0.35">
      <c r="A1083" s="2" t="s">
        <v>2850</v>
      </c>
      <c r="B1083" s="2" t="s">
        <v>2851</v>
      </c>
      <c r="D1083" t="s">
        <v>5387</v>
      </c>
      <c r="E1083" t="e">
        <v>#VALUE!</v>
      </c>
      <c r="F1083" t="s">
        <v>12</v>
      </c>
      <c r="G1083" t="s">
        <v>0</v>
      </c>
      <c r="H1083" s="1">
        <f>DATE(2023,12,7)</f>
        <v>45267</v>
      </c>
    </row>
    <row r="1084" spans="1:8" x14ac:dyDescent="0.35">
      <c r="A1084" s="2" t="s">
        <v>2852</v>
      </c>
      <c r="B1084" s="2" t="s">
        <v>2853</v>
      </c>
      <c r="C1084" s="2" t="s">
        <v>2854</v>
      </c>
      <c r="D1084" t="s">
        <v>5423</v>
      </c>
      <c r="E1084" t="s">
        <v>6553</v>
      </c>
      <c r="F1084" t="s">
        <v>12</v>
      </c>
      <c r="G1084" t="s">
        <v>0</v>
      </c>
      <c r="H1084" s="1">
        <f>DATE(2023,12,7)</f>
        <v>45267</v>
      </c>
    </row>
    <row r="1085" spans="1:8" x14ac:dyDescent="0.35">
      <c r="A1085" s="2" t="s">
        <v>2855</v>
      </c>
      <c r="B1085" s="2" t="s">
        <v>2856</v>
      </c>
      <c r="D1085" t="s">
        <v>5387</v>
      </c>
      <c r="E1085" t="e">
        <v>#VALUE!</v>
      </c>
      <c r="F1085" t="s">
        <v>12</v>
      </c>
      <c r="G1085" t="s">
        <v>0</v>
      </c>
      <c r="H1085" s="1">
        <f>DATE(2023,12,7)</f>
        <v>45267</v>
      </c>
    </row>
    <row r="1086" spans="1:8" x14ac:dyDescent="0.35">
      <c r="A1086" s="2" t="s">
        <v>2857</v>
      </c>
      <c r="B1086" s="2" t="s">
        <v>2858</v>
      </c>
      <c r="D1086" t="s">
        <v>5387</v>
      </c>
      <c r="E1086" t="e">
        <v>#VALUE!</v>
      </c>
      <c r="F1086" t="s">
        <v>12</v>
      </c>
      <c r="G1086" t="s">
        <v>0</v>
      </c>
      <c r="H1086" s="1">
        <f>DATE(2023,9,15)</f>
        <v>45184</v>
      </c>
    </row>
    <row r="1087" spans="1:8" x14ac:dyDescent="0.35">
      <c r="A1087" s="2" t="s">
        <v>2859</v>
      </c>
      <c r="B1087" s="2" t="s">
        <v>2860</v>
      </c>
      <c r="C1087" s="2" t="s">
        <v>2861</v>
      </c>
      <c r="D1087" t="s">
        <v>6049</v>
      </c>
      <c r="E1087" t="s">
        <v>7179</v>
      </c>
      <c r="F1087" t="s">
        <v>12</v>
      </c>
      <c r="G1087" t="s">
        <v>0</v>
      </c>
      <c r="H1087" s="1">
        <f>DATE(2022,8,18)</f>
        <v>44791</v>
      </c>
    </row>
    <row r="1088" spans="1:8" x14ac:dyDescent="0.35">
      <c r="A1088" s="2" t="s">
        <v>2862</v>
      </c>
      <c r="B1088" s="2" t="s">
        <v>2863</v>
      </c>
      <c r="C1088" s="2" t="s">
        <v>2864</v>
      </c>
      <c r="D1088" t="s">
        <v>6050</v>
      </c>
      <c r="E1088" t="s">
        <v>7180</v>
      </c>
      <c r="F1088" t="s">
        <v>12</v>
      </c>
      <c r="G1088" t="s">
        <v>0</v>
      </c>
      <c r="H1088" s="1">
        <f>DATE(2022,8,22)</f>
        <v>44795</v>
      </c>
    </row>
    <row r="1089" spans="1:8" x14ac:dyDescent="0.35">
      <c r="A1089" s="2" t="s">
        <v>2865</v>
      </c>
      <c r="B1089" s="2" t="s">
        <v>2866</v>
      </c>
      <c r="C1089" s="2" t="s">
        <v>2867</v>
      </c>
      <c r="D1089" t="s">
        <v>6051</v>
      </c>
      <c r="E1089" t="s">
        <v>7181</v>
      </c>
      <c r="F1089" t="s">
        <v>12</v>
      </c>
      <c r="G1089" t="s">
        <v>0</v>
      </c>
      <c r="H1089" s="1">
        <f>DATE(2022,8,19)</f>
        <v>44792</v>
      </c>
    </row>
    <row r="1090" spans="1:8" x14ac:dyDescent="0.35">
      <c r="A1090" s="2" t="s">
        <v>2868</v>
      </c>
      <c r="B1090" s="2" t="s">
        <v>2869</v>
      </c>
      <c r="D1090" t="s">
        <v>5387</v>
      </c>
      <c r="E1090" t="e">
        <v>#VALUE!</v>
      </c>
      <c r="F1090" t="s">
        <v>12</v>
      </c>
      <c r="G1090" t="s">
        <v>0</v>
      </c>
      <c r="H1090" s="1">
        <f>DATE(2023,10,11)</f>
        <v>45210</v>
      </c>
    </row>
    <row r="1091" spans="1:8" x14ac:dyDescent="0.35">
      <c r="A1091" s="2" t="s">
        <v>2870</v>
      </c>
      <c r="B1091" s="2" t="s">
        <v>2871</v>
      </c>
      <c r="C1091" s="2" t="s">
        <v>2872</v>
      </c>
      <c r="D1091" t="s">
        <v>6052</v>
      </c>
      <c r="E1091" t="s">
        <v>7182</v>
      </c>
      <c r="F1091" t="s">
        <v>12</v>
      </c>
      <c r="G1091" t="s">
        <v>0</v>
      </c>
      <c r="H1091" s="1">
        <f>DATE(2022,8,19)</f>
        <v>44792</v>
      </c>
    </row>
    <row r="1092" spans="1:8" x14ac:dyDescent="0.35">
      <c r="A1092" s="2" t="s">
        <v>2873</v>
      </c>
      <c r="B1092" s="2" t="s">
        <v>2874</v>
      </c>
      <c r="C1092" s="2" t="s">
        <v>2875</v>
      </c>
      <c r="D1092" t="s">
        <v>6053</v>
      </c>
      <c r="E1092" t="s">
        <v>7183</v>
      </c>
      <c r="F1092" t="s">
        <v>12</v>
      </c>
      <c r="G1092" t="s">
        <v>0</v>
      </c>
      <c r="H1092" s="1">
        <f t="shared" ref="H1092:H1099" si="13">DATE(2022,8,22)</f>
        <v>44795</v>
      </c>
    </row>
    <row r="1093" spans="1:8" x14ac:dyDescent="0.35">
      <c r="A1093" s="2" t="s">
        <v>2876</v>
      </c>
      <c r="B1093" s="2" t="s">
        <v>2877</v>
      </c>
      <c r="C1093" s="2" t="s">
        <v>2878</v>
      </c>
      <c r="D1093" t="s">
        <v>6054</v>
      </c>
      <c r="E1093" t="s">
        <v>7184</v>
      </c>
      <c r="F1093" t="s">
        <v>12</v>
      </c>
      <c r="G1093" t="s">
        <v>0</v>
      </c>
      <c r="H1093" s="1">
        <f t="shared" si="13"/>
        <v>44795</v>
      </c>
    </row>
    <row r="1094" spans="1:8" x14ac:dyDescent="0.35">
      <c r="A1094" s="2" t="s">
        <v>2879</v>
      </c>
      <c r="B1094" s="2" t="s">
        <v>2880</v>
      </c>
      <c r="C1094" s="2" t="s">
        <v>2881</v>
      </c>
      <c r="D1094" t="s">
        <v>6055</v>
      </c>
      <c r="E1094" t="s">
        <v>7185</v>
      </c>
      <c r="F1094" t="s">
        <v>12</v>
      </c>
      <c r="G1094" t="s">
        <v>0</v>
      </c>
      <c r="H1094" s="1">
        <f t="shared" si="13"/>
        <v>44795</v>
      </c>
    </row>
    <row r="1095" spans="1:8" x14ac:dyDescent="0.35">
      <c r="A1095" s="2" t="s">
        <v>2882</v>
      </c>
      <c r="B1095" s="2" t="s">
        <v>2883</v>
      </c>
      <c r="C1095" s="2" t="s">
        <v>2884</v>
      </c>
      <c r="D1095" t="s">
        <v>6056</v>
      </c>
      <c r="E1095" t="s">
        <v>7186</v>
      </c>
      <c r="F1095" t="s">
        <v>12</v>
      </c>
      <c r="G1095" t="s">
        <v>0</v>
      </c>
      <c r="H1095" s="1">
        <f t="shared" si="13"/>
        <v>44795</v>
      </c>
    </row>
    <row r="1096" spans="1:8" x14ac:dyDescent="0.35">
      <c r="A1096" s="2" t="s">
        <v>2885</v>
      </c>
      <c r="B1096" s="2" t="s">
        <v>2886</v>
      </c>
      <c r="C1096" s="2" t="s">
        <v>2887</v>
      </c>
      <c r="D1096" t="s">
        <v>6057</v>
      </c>
      <c r="E1096" t="s">
        <v>7187</v>
      </c>
      <c r="F1096" t="s">
        <v>12</v>
      </c>
      <c r="G1096" t="s">
        <v>0</v>
      </c>
      <c r="H1096" s="1">
        <f t="shared" si="13"/>
        <v>44795</v>
      </c>
    </row>
    <row r="1097" spans="1:8" x14ac:dyDescent="0.35">
      <c r="A1097" s="2" t="s">
        <v>2888</v>
      </c>
      <c r="B1097" s="2" t="s">
        <v>2889</v>
      </c>
      <c r="C1097" s="2" t="s">
        <v>2890</v>
      </c>
      <c r="D1097" t="s">
        <v>6058</v>
      </c>
      <c r="E1097" t="s">
        <v>7188</v>
      </c>
      <c r="F1097" t="s">
        <v>12</v>
      </c>
      <c r="G1097" t="s">
        <v>0</v>
      </c>
      <c r="H1097" s="1">
        <f t="shared" si="13"/>
        <v>44795</v>
      </c>
    </row>
    <row r="1098" spans="1:8" x14ac:dyDescent="0.35">
      <c r="A1098" s="2" t="s">
        <v>2891</v>
      </c>
      <c r="B1098" s="2" t="s">
        <v>2892</v>
      </c>
      <c r="C1098" s="2" t="s">
        <v>2893</v>
      </c>
      <c r="D1098" t="s">
        <v>6059</v>
      </c>
      <c r="E1098" t="s">
        <v>7189</v>
      </c>
      <c r="F1098" t="s">
        <v>12</v>
      </c>
      <c r="G1098" t="s">
        <v>0</v>
      </c>
      <c r="H1098" s="1">
        <f t="shared" si="13"/>
        <v>44795</v>
      </c>
    </row>
    <row r="1099" spans="1:8" x14ac:dyDescent="0.35">
      <c r="A1099" s="2" t="s">
        <v>2894</v>
      </c>
      <c r="B1099" s="2" t="s">
        <v>2895</v>
      </c>
      <c r="C1099" s="2" t="s">
        <v>2896</v>
      </c>
      <c r="D1099" t="s">
        <v>6060</v>
      </c>
      <c r="E1099" t="s">
        <v>7190</v>
      </c>
      <c r="F1099" t="s">
        <v>12</v>
      </c>
      <c r="G1099" t="s">
        <v>0</v>
      </c>
      <c r="H1099" s="1">
        <f t="shared" si="13"/>
        <v>44795</v>
      </c>
    </row>
    <row r="1100" spans="1:8" x14ac:dyDescent="0.35">
      <c r="A1100" s="2" t="s">
        <v>2897</v>
      </c>
      <c r="B1100" s="2" t="s">
        <v>2898</v>
      </c>
      <c r="D1100" t="s">
        <v>5387</v>
      </c>
      <c r="E1100" t="e">
        <v>#VALUE!</v>
      </c>
      <c r="F1100" t="s">
        <v>12</v>
      </c>
      <c r="G1100" t="s">
        <v>0</v>
      </c>
      <c r="H1100" s="1">
        <f>DATE(2022,8,23)</f>
        <v>44796</v>
      </c>
    </row>
    <row r="1101" spans="1:8" x14ac:dyDescent="0.35">
      <c r="A1101" s="2" t="s">
        <v>2899</v>
      </c>
      <c r="B1101" s="2" t="s">
        <v>2900</v>
      </c>
      <c r="C1101" s="2" t="s">
        <v>2901</v>
      </c>
      <c r="D1101" t="s">
        <v>6061</v>
      </c>
      <c r="E1101" t="s">
        <v>7191</v>
      </c>
      <c r="F1101" t="s">
        <v>12</v>
      </c>
      <c r="G1101" t="s">
        <v>0</v>
      </c>
      <c r="H1101" s="1">
        <f>DATE(2023,7,25)</f>
        <v>45132</v>
      </c>
    </row>
    <row r="1102" spans="1:8" x14ac:dyDescent="0.35">
      <c r="A1102" s="2" t="s">
        <v>2902</v>
      </c>
      <c r="B1102" s="2" t="s">
        <v>2903</v>
      </c>
      <c r="D1102" t="s">
        <v>5387</v>
      </c>
      <c r="E1102" t="e">
        <v>#VALUE!</v>
      </c>
      <c r="F1102" t="s">
        <v>12</v>
      </c>
      <c r="G1102" t="s">
        <v>0</v>
      </c>
      <c r="H1102" s="1">
        <f>DATE(2024,1,13)</f>
        <v>45304</v>
      </c>
    </row>
    <row r="1103" spans="1:8" x14ac:dyDescent="0.35">
      <c r="A1103" s="2" t="s">
        <v>2904</v>
      </c>
      <c r="B1103" s="2" t="s">
        <v>2905</v>
      </c>
      <c r="C1103" s="2" t="s">
        <v>2906</v>
      </c>
      <c r="D1103" t="s">
        <v>6062</v>
      </c>
      <c r="E1103" t="s">
        <v>7192</v>
      </c>
      <c r="F1103" t="s">
        <v>12</v>
      </c>
      <c r="G1103" t="s">
        <v>0</v>
      </c>
      <c r="H1103" s="1">
        <f>DATE(2022,8,22)</f>
        <v>44795</v>
      </c>
    </row>
    <row r="1104" spans="1:8" x14ac:dyDescent="0.35">
      <c r="A1104" s="2" t="s">
        <v>2907</v>
      </c>
      <c r="B1104" s="2" t="s">
        <v>2908</v>
      </c>
      <c r="D1104" t="s">
        <v>5387</v>
      </c>
      <c r="E1104" t="e">
        <v>#VALUE!</v>
      </c>
      <c r="F1104" t="s">
        <v>12</v>
      </c>
      <c r="G1104" t="s">
        <v>0</v>
      </c>
      <c r="H1104" s="1">
        <f>DATE(2023,4,20)</f>
        <v>45036</v>
      </c>
    </row>
    <row r="1105" spans="1:8" x14ac:dyDescent="0.35">
      <c r="A1105" s="2" t="s">
        <v>2909</v>
      </c>
      <c r="B1105" s="2" t="s">
        <v>2910</v>
      </c>
      <c r="C1105" s="2" t="s">
        <v>2911</v>
      </c>
      <c r="D1105" t="s">
        <v>6063</v>
      </c>
      <c r="E1105" t="s">
        <v>7193</v>
      </c>
      <c r="F1105" t="s">
        <v>12</v>
      </c>
      <c r="G1105" t="s">
        <v>0</v>
      </c>
      <c r="H1105" s="1">
        <f>DATE(2022,8,22)</f>
        <v>44795</v>
      </c>
    </row>
    <row r="1106" spans="1:8" x14ac:dyDescent="0.35">
      <c r="A1106" s="2" t="s">
        <v>2912</v>
      </c>
      <c r="B1106" s="2" t="s">
        <v>2913</v>
      </c>
      <c r="C1106" s="2" t="s">
        <v>2914</v>
      </c>
      <c r="D1106" t="s">
        <v>6064</v>
      </c>
      <c r="E1106" t="s">
        <v>7194</v>
      </c>
      <c r="F1106" t="s">
        <v>12</v>
      </c>
      <c r="G1106" t="s">
        <v>0</v>
      </c>
      <c r="H1106" s="1">
        <f>DATE(2022,8,22)</f>
        <v>44795</v>
      </c>
    </row>
    <row r="1107" spans="1:8" x14ac:dyDescent="0.35">
      <c r="A1107" s="2" t="s">
        <v>2915</v>
      </c>
      <c r="B1107" s="2" t="s">
        <v>2916</v>
      </c>
      <c r="D1107" t="s">
        <v>5387</v>
      </c>
      <c r="E1107" t="e">
        <v>#VALUE!</v>
      </c>
      <c r="F1107" t="s">
        <v>12</v>
      </c>
      <c r="G1107" t="s">
        <v>0</v>
      </c>
      <c r="H1107" s="1">
        <f>DATE(2023,4,20)</f>
        <v>45036</v>
      </c>
    </row>
    <row r="1108" spans="1:8" x14ac:dyDescent="0.35">
      <c r="A1108" s="2" t="s">
        <v>2917</v>
      </c>
      <c r="B1108" s="2" t="s">
        <v>2918</v>
      </c>
      <c r="C1108" s="2" t="s">
        <v>2919</v>
      </c>
      <c r="D1108" t="s">
        <v>6065</v>
      </c>
      <c r="E1108" t="s">
        <v>7195</v>
      </c>
      <c r="F1108" t="s">
        <v>12</v>
      </c>
      <c r="G1108" t="s">
        <v>0</v>
      </c>
      <c r="H1108" s="1">
        <f>DATE(2022,8,22)</f>
        <v>44795</v>
      </c>
    </row>
    <row r="1109" spans="1:8" x14ac:dyDescent="0.35">
      <c r="A1109" s="2" t="s">
        <v>2920</v>
      </c>
      <c r="B1109" s="2" t="s">
        <v>2921</v>
      </c>
      <c r="C1109" s="2" t="s">
        <v>2922</v>
      </c>
      <c r="D1109" t="s">
        <v>6066</v>
      </c>
      <c r="E1109" t="s">
        <v>7196</v>
      </c>
      <c r="F1109" t="s">
        <v>12</v>
      </c>
      <c r="G1109" t="s">
        <v>0</v>
      </c>
      <c r="H1109" s="1">
        <f>DATE(2022,8,22)</f>
        <v>44795</v>
      </c>
    </row>
    <row r="1110" spans="1:8" x14ac:dyDescent="0.35">
      <c r="A1110" s="2" t="s">
        <v>2923</v>
      </c>
      <c r="B1110" s="2" t="s">
        <v>2924</v>
      </c>
      <c r="D1110" t="s">
        <v>5387</v>
      </c>
      <c r="E1110" t="e">
        <v>#VALUE!</v>
      </c>
      <c r="F1110" t="s">
        <v>12</v>
      </c>
      <c r="G1110" t="s">
        <v>0</v>
      </c>
      <c r="H1110" s="1">
        <f>DATE(2022,8,22)</f>
        <v>44795</v>
      </c>
    </row>
    <row r="1111" spans="1:8" x14ac:dyDescent="0.35">
      <c r="A1111" s="2" t="s">
        <v>2925</v>
      </c>
      <c r="B1111" s="2" t="s">
        <v>2926</v>
      </c>
      <c r="C1111" s="2" t="s">
        <v>2927</v>
      </c>
      <c r="D1111" t="s">
        <v>6067</v>
      </c>
      <c r="E1111" t="s">
        <v>7197</v>
      </c>
      <c r="F1111" t="s">
        <v>12</v>
      </c>
      <c r="G1111" t="s">
        <v>0</v>
      </c>
      <c r="H1111" s="1">
        <f>DATE(2022,8,22)</f>
        <v>44795</v>
      </c>
    </row>
    <row r="1112" spans="1:8" x14ac:dyDescent="0.35">
      <c r="A1112" s="2" t="s">
        <v>2928</v>
      </c>
      <c r="B1112" s="2" t="s">
        <v>2929</v>
      </c>
      <c r="C1112" s="2" t="s">
        <v>2930</v>
      </c>
      <c r="D1112" t="s">
        <v>6068</v>
      </c>
      <c r="E1112" t="s">
        <v>7198</v>
      </c>
      <c r="F1112" t="s">
        <v>12</v>
      </c>
      <c r="G1112" t="s">
        <v>0</v>
      </c>
      <c r="H1112" s="1">
        <f>DATE(2022,8,22)</f>
        <v>44795</v>
      </c>
    </row>
    <row r="1113" spans="1:8" x14ac:dyDescent="0.35">
      <c r="A1113" s="2" t="s">
        <v>2931</v>
      </c>
      <c r="B1113" s="2" t="s">
        <v>2932</v>
      </c>
      <c r="C1113" s="2" t="s">
        <v>2933</v>
      </c>
      <c r="D1113" t="s">
        <v>6069</v>
      </c>
      <c r="E1113" t="s">
        <v>7199</v>
      </c>
      <c r="F1113" t="s">
        <v>12</v>
      </c>
      <c r="G1113" t="s">
        <v>0</v>
      </c>
      <c r="H1113" s="1">
        <f>DATE(2022,8,23)</f>
        <v>44796</v>
      </c>
    </row>
    <row r="1114" spans="1:8" x14ac:dyDescent="0.35">
      <c r="A1114" s="2" t="s">
        <v>2934</v>
      </c>
      <c r="B1114" s="2" t="s">
        <v>2935</v>
      </c>
      <c r="C1114" s="2" t="s">
        <v>2936</v>
      </c>
      <c r="D1114" t="s">
        <v>6070</v>
      </c>
      <c r="E1114" t="s">
        <v>7200</v>
      </c>
      <c r="F1114" t="s">
        <v>12</v>
      </c>
      <c r="G1114" t="s">
        <v>0</v>
      </c>
      <c r="H1114" s="1">
        <f>DATE(2022,8,23)</f>
        <v>44796</v>
      </c>
    </row>
    <row r="1115" spans="1:8" x14ac:dyDescent="0.35">
      <c r="A1115" s="2" t="s">
        <v>2937</v>
      </c>
      <c r="B1115" s="2" t="s">
        <v>2938</v>
      </c>
      <c r="C1115" s="2" t="s">
        <v>2939</v>
      </c>
      <c r="D1115" t="s">
        <v>6071</v>
      </c>
      <c r="E1115" t="s">
        <v>7201</v>
      </c>
      <c r="F1115" t="s">
        <v>12</v>
      </c>
      <c r="G1115" t="s">
        <v>0</v>
      </c>
      <c r="H1115" s="1">
        <f>DATE(2022,8,23)</f>
        <v>44796</v>
      </c>
    </row>
    <row r="1116" spans="1:8" x14ac:dyDescent="0.35">
      <c r="A1116" s="2" t="s">
        <v>2940</v>
      </c>
      <c r="B1116" s="2" t="s">
        <v>2941</v>
      </c>
      <c r="C1116" s="2" t="s">
        <v>2942</v>
      </c>
      <c r="D1116" t="s">
        <v>6072</v>
      </c>
      <c r="E1116" t="s">
        <v>7202</v>
      </c>
      <c r="F1116" t="s">
        <v>12</v>
      </c>
      <c r="G1116" t="s">
        <v>0</v>
      </c>
      <c r="H1116" s="1">
        <f>DATE(2022,8,23)</f>
        <v>44796</v>
      </c>
    </row>
    <row r="1117" spans="1:8" x14ac:dyDescent="0.35">
      <c r="A1117" s="2" t="s">
        <v>2943</v>
      </c>
      <c r="B1117" s="2" t="s">
        <v>2944</v>
      </c>
      <c r="C1117" s="2" t="s">
        <v>2945</v>
      </c>
      <c r="D1117" t="s">
        <v>6073</v>
      </c>
      <c r="E1117" t="s">
        <v>7203</v>
      </c>
      <c r="F1117" t="s">
        <v>12</v>
      </c>
      <c r="G1117" t="s">
        <v>0</v>
      </c>
      <c r="H1117" s="1">
        <f>DATE(2022,8,24)</f>
        <v>44797</v>
      </c>
    </row>
    <row r="1118" spans="1:8" x14ac:dyDescent="0.35">
      <c r="A1118" s="2" t="s">
        <v>2946</v>
      </c>
      <c r="B1118" s="2" t="s">
        <v>2947</v>
      </c>
      <c r="C1118" s="2" t="s">
        <v>2948</v>
      </c>
      <c r="D1118" t="s">
        <v>6074</v>
      </c>
      <c r="E1118" t="s">
        <v>7204</v>
      </c>
      <c r="F1118" t="s">
        <v>12</v>
      </c>
      <c r="G1118" t="s">
        <v>0</v>
      </c>
      <c r="H1118" s="1">
        <f>DATE(2023,3,9)</f>
        <v>44994</v>
      </c>
    </row>
    <row r="1119" spans="1:8" x14ac:dyDescent="0.35">
      <c r="A1119" s="2" t="s">
        <v>2949</v>
      </c>
      <c r="B1119" s="2" t="s">
        <v>2950</v>
      </c>
      <c r="C1119" s="2" t="s">
        <v>2951</v>
      </c>
      <c r="D1119" t="s">
        <v>6075</v>
      </c>
      <c r="E1119" t="s">
        <v>7205</v>
      </c>
      <c r="F1119" t="s">
        <v>12</v>
      </c>
      <c r="G1119" t="s">
        <v>0</v>
      </c>
      <c r="H1119" s="1">
        <f>DATE(2022,8,25)</f>
        <v>44798</v>
      </c>
    </row>
    <row r="1120" spans="1:8" x14ac:dyDescent="0.35">
      <c r="A1120" s="2" t="s">
        <v>2952</v>
      </c>
      <c r="B1120" s="2" t="s">
        <v>2953</v>
      </c>
      <c r="D1120" t="s">
        <v>5387</v>
      </c>
      <c r="E1120" t="e">
        <v>#VALUE!</v>
      </c>
      <c r="F1120" t="s">
        <v>12</v>
      </c>
      <c r="G1120" t="s">
        <v>0</v>
      </c>
      <c r="H1120" s="1">
        <f>DATE(2023,2,7)</f>
        <v>44964</v>
      </c>
    </row>
    <row r="1121" spans="1:8" x14ac:dyDescent="0.35">
      <c r="A1121" s="2" t="s">
        <v>2954</v>
      </c>
      <c r="B1121" s="2" t="s">
        <v>2955</v>
      </c>
      <c r="D1121" t="s">
        <v>5387</v>
      </c>
      <c r="E1121" t="e">
        <v>#VALUE!</v>
      </c>
      <c r="F1121" t="s">
        <v>12</v>
      </c>
      <c r="G1121" t="s">
        <v>0</v>
      </c>
      <c r="H1121" s="1">
        <f>DATE(2022,8,25)</f>
        <v>44798</v>
      </c>
    </row>
    <row r="1122" spans="1:8" x14ac:dyDescent="0.35">
      <c r="A1122" s="2" t="s">
        <v>2956</v>
      </c>
      <c r="B1122" s="2" t="s">
        <v>2957</v>
      </c>
      <c r="D1122" t="s">
        <v>5387</v>
      </c>
      <c r="E1122" t="e">
        <v>#VALUE!</v>
      </c>
      <c r="F1122" t="s">
        <v>12</v>
      </c>
      <c r="G1122" t="s">
        <v>0</v>
      </c>
      <c r="H1122" s="1">
        <f>DATE(2022,8,25)</f>
        <v>44798</v>
      </c>
    </row>
    <row r="1123" spans="1:8" x14ac:dyDescent="0.35">
      <c r="A1123" s="2" t="s">
        <v>2958</v>
      </c>
      <c r="B1123" s="2" t="s">
        <v>2959</v>
      </c>
      <c r="C1123" s="2" t="s">
        <v>2960</v>
      </c>
      <c r="D1123" t="s">
        <v>6076</v>
      </c>
      <c r="E1123" t="s">
        <v>7206</v>
      </c>
      <c r="F1123" t="s">
        <v>12</v>
      </c>
      <c r="G1123" t="s">
        <v>0</v>
      </c>
      <c r="H1123" s="1">
        <f>DATE(2022,8,26)</f>
        <v>44799</v>
      </c>
    </row>
    <row r="1124" spans="1:8" x14ac:dyDescent="0.35">
      <c r="A1124" s="2" t="s">
        <v>2961</v>
      </c>
      <c r="B1124" s="2" t="s">
        <v>2962</v>
      </c>
      <c r="D1124" t="s">
        <v>5387</v>
      </c>
      <c r="E1124" t="e">
        <v>#VALUE!</v>
      </c>
      <c r="F1124" t="s">
        <v>12</v>
      </c>
      <c r="G1124" t="s">
        <v>0</v>
      </c>
      <c r="H1124" s="1">
        <f>DATE(2022,8,29)</f>
        <v>44802</v>
      </c>
    </row>
    <row r="1125" spans="1:8" x14ac:dyDescent="0.35">
      <c r="A1125" s="2" t="s">
        <v>2963</v>
      </c>
      <c r="B1125" s="2" t="s">
        <v>2964</v>
      </c>
      <c r="C1125" s="2" t="s">
        <v>2965</v>
      </c>
      <c r="D1125" t="s">
        <v>6077</v>
      </c>
      <c r="E1125" t="s">
        <v>7207</v>
      </c>
      <c r="F1125" t="s">
        <v>12</v>
      </c>
      <c r="G1125" t="s">
        <v>0</v>
      </c>
      <c r="H1125" s="1">
        <f>DATE(2022,9,5)</f>
        <v>44809</v>
      </c>
    </row>
    <row r="1126" spans="1:8" x14ac:dyDescent="0.35">
      <c r="A1126" s="2" t="s">
        <v>2966</v>
      </c>
      <c r="B1126" s="2" t="s">
        <v>2967</v>
      </c>
      <c r="D1126" t="s">
        <v>5387</v>
      </c>
      <c r="E1126" t="e">
        <v>#VALUE!</v>
      </c>
      <c r="F1126" t="s">
        <v>12</v>
      </c>
      <c r="G1126" t="s">
        <v>0</v>
      </c>
      <c r="H1126" s="1">
        <f>DATE(2022,9,5)</f>
        <v>44809</v>
      </c>
    </row>
    <row r="1127" spans="1:8" x14ac:dyDescent="0.35">
      <c r="A1127" s="2" t="s">
        <v>2968</v>
      </c>
      <c r="B1127" s="2" t="s">
        <v>2892</v>
      </c>
      <c r="C1127" s="2" t="s">
        <v>2969</v>
      </c>
      <c r="D1127" t="s">
        <v>6059</v>
      </c>
      <c r="E1127" t="s">
        <v>7189</v>
      </c>
      <c r="F1127" t="s">
        <v>12</v>
      </c>
      <c r="G1127" t="s">
        <v>0</v>
      </c>
      <c r="H1127" s="1">
        <f>DATE(2023,9,29)</f>
        <v>45198</v>
      </c>
    </row>
    <row r="1128" spans="1:8" x14ac:dyDescent="0.35">
      <c r="A1128" s="2" t="s">
        <v>2970</v>
      </c>
      <c r="B1128" s="2" t="s">
        <v>2971</v>
      </c>
      <c r="C1128" s="2" t="s">
        <v>2972</v>
      </c>
      <c r="D1128" t="s">
        <v>6078</v>
      </c>
      <c r="E1128" t="s">
        <v>7208</v>
      </c>
      <c r="F1128" t="s">
        <v>12</v>
      </c>
      <c r="G1128" t="s">
        <v>0</v>
      </c>
      <c r="H1128" s="1">
        <f>DATE(2023,9,21)</f>
        <v>45190</v>
      </c>
    </row>
    <row r="1129" spans="1:8" x14ac:dyDescent="0.35">
      <c r="A1129" s="2" t="s">
        <v>2973</v>
      </c>
      <c r="B1129" s="2" t="s">
        <v>1635</v>
      </c>
      <c r="C1129" s="2" t="s">
        <v>2974</v>
      </c>
      <c r="D1129" t="s">
        <v>5745</v>
      </c>
      <c r="E1129" t="s">
        <v>6875</v>
      </c>
      <c r="F1129" t="s">
        <v>12</v>
      </c>
      <c r="G1129" t="s">
        <v>0</v>
      </c>
      <c r="H1129" s="1">
        <f>DATE(2022,9,7)</f>
        <v>44811</v>
      </c>
    </row>
    <row r="1130" spans="1:8" x14ac:dyDescent="0.35">
      <c r="A1130" s="2" t="s">
        <v>2975</v>
      </c>
      <c r="B1130" s="2" t="s">
        <v>2976</v>
      </c>
      <c r="C1130" s="2" t="s">
        <v>2977</v>
      </c>
      <c r="D1130" t="s">
        <v>6079</v>
      </c>
      <c r="E1130" t="s">
        <v>7209</v>
      </c>
      <c r="F1130" t="s">
        <v>12</v>
      </c>
      <c r="G1130" t="s">
        <v>0</v>
      </c>
      <c r="H1130" s="1">
        <f>DATE(2022,9,9)</f>
        <v>44813</v>
      </c>
    </row>
    <row r="1131" spans="1:8" x14ac:dyDescent="0.35">
      <c r="A1131" s="2" t="s">
        <v>2978</v>
      </c>
      <c r="B1131" s="2" t="s">
        <v>2979</v>
      </c>
      <c r="C1131" s="2" t="s">
        <v>2980</v>
      </c>
      <c r="D1131" t="s">
        <v>6080</v>
      </c>
      <c r="E1131" t="s">
        <v>7210</v>
      </c>
      <c r="F1131" t="s">
        <v>12</v>
      </c>
      <c r="G1131" t="s">
        <v>0</v>
      </c>
      <c r="H1131" s="1">
        <f>DATE(2022,9,13)</f>
        <v>44817</v>
      </c>
    </row>
    <row r="1132" spans="1:8" x14ac:dyDescent="0.35">
      <c r="A1132" s="2" t="s">
        <v>2981</v>
      </c>
      <c r="B1132" s="2" t="s">
        <v>2982</v>
      </c>
      <c r="C1132" s="2" t="s">
        <v>2983</v>
      </c>
      <c r="D1132" t="s">
        <v>6081</v>
      </c>
      <c r="E1132" t="s">
        <v>7211</v>
      </c>
      <c r="F1132" t="s">
        <v>12</v>
      </c>
      <c r="G1132" t="s">
        <v>0</v>
      </c>
      <c r="H1132" s="1">
        <f>DATE(2022,9,14)</f>
        <v>44818</v>
      </c>
    </row>
    <row r="1133" spans="1:8" x14ac:dyDescent="0.35">
      <c r="A1133" s="2" t="s">
        <v>2984</v>
      </c>
      <c r="B1133" s="2" t="s">
        <v>2985</v>
      </c>
      <c r="D1133" t="s">
        <v>5387</v>
      </c>
      <c r="E1133" t="e">
        <v>#VALUE!</v>
      </c>
      <c r="F1133" t="s">
        <v>12</v>
      </c>
      <c r="G1133" t="s">
        <v>0</v>
      </c>
      <c r="H1133" s="1">
        <f>DATE(2022,9,19)</f>
        <v>44823</v>
      </c>
    </row>
    <row r="1134" spans="1:8" x14ac:dyDescent="0.35">
      <c r="A1134" s="2" t="s">
        <v>2986</v>
      </c>
      <c r="B1134" s="2" t="s">
        <v>2987</v>
      </c>
      <c r="C1134" s="2" t="s">
        <v>2988</v>
      </c>
      <c r="D1134" t="s">
        <v>6082</v>
      </c>
      <c r="E1134" t="s">
        <v>7212</v>
      </c>
      <c r="F1134" t="s">
        <v>12</v>
      </c>
      <c r="G1134" t="s">
        <v>0</v>
      </c>
      <c r="H1134" s="1">
        <f>DATE(2022,9,19)</f>
        <v>44823</v>
      </c>
    </row>
    <row r="1135" spans="1:8" x14ac:dyDescent="0.35">
      <c r="A1135" s="2" t="s">
        <v>2989</v>
      </c>
      <c r="B1135" s="2" t="s">
        <v>2990</v>
      </c>
      <c r="C1135" s="2" t="s">
        <v>2991</v>
      </c>
      <c r="D1135" t="s">
        <v>6083</v>
      </c>
      <c r="E1135" t="s">
        <v>7213</v>
      </c>
      <c r="F1135" t="s">
        <v>12</v>
      </c>
      <c r="G1135" t="s">
        <v>0</v>
      </c>
      <c r="H1135" s="1">
        <f>DATE(2022,9,20)</f>
        <v>44824</v>
      </c>
    </row>
    <row r="1136" spans="1:8" x14ac:dyDescent="0.35">
      <c r="A1136" s="2" t="s">
        <v>2992</v>
      </c>
      <c r="B1136" s="2" t="s">
        <v>2993</v>
      </c>
      <c r="C1136" s="2" t="s">
        <v>2994</v>
      </c>
      <c r="D1136" t="s">
        <v>6084</v>
      </c>
      <c r="E1136" t="s">
        <v>7214</v>
      </c>
      <c r="F1136" t="s">
        <v>12</v>
      </c>
      <c r="G1136" t="s">
        <v>0</v>
      </c>
      <c r="H1136" s="1">
        <f>DATE(2023,3,29)</f>
        <v>45014</v>
      </c>
    </row>
    <row r="1137" spans="1:8" x14ac:dyDescent="0.35">
      <c r="A1137" s="2" t="s">
        <v>2995</v>
      </c>
      <c r="B1137" s="2" t="s">
        <v>2996</v>
      </c>
      <c r="C1137" s="2" t="s">
        <v>2997</v>
      </c>
      <c r="D1137" t="s">
        <v>6085</v>
      </c>
      <c r="E1137" t="s">
        <v>7215</v>
      </c>
      <c r="F1137" t="s">
        <v>12</v>
      </c>
      <c r="G1137" t="s">
        <v>0</v>
      </c>
      <c r="H1137" s="1">
        <f>DATE(2022,9,23)</f>
        <v>44827</v>
      </c>
    </row>
    <row r="1138" spans="1:8" x14ac:dyDescent="0.35">
      <c r="A1138" s="2" t="s">
        <v>2998</v>
      </c>
      <c r="B1138" s="2" t="s">
        <v>2999</v>
      </c>
      <c r="C1138" s="2" t="s">
        <v>3000</v>
      </c>
      <c r="D1138" t="s">
        <v>6086</v>
      </c>
      <c r="E1138" t="s">
        <v>7216</v>
      </c>
      <c r="F1138" t="s">
        <v>12</v>
      </c>
      <c r="G1138" t="s">
        <v>0</v>
      </c>
      <c r="H1138" s="1">
        <f>DATE(2022,9,23)</f>
        <v>44827</v>
      </c>
    </row>
    <row r="1139" spans="1:8" x14ac:dyDescent="0.35">
      <c r="A1139" s="2" t="s">
        <v>3001</v>
      </c>
      <c r="B1139" s="2" t="s">
        <v>3002</v>
      </c>
      <c r="C1139" s="2" t="s">
        <v>3003</v>
      </c>
      <c r="D1139" t="s">
        <v>6087</v>
      </c>
      <c r="E1139" t="s">
        <v>7217</v>
      </c>
      <c r="F1139" t="s">
        <v>12</v>
      </c>
      <c r="G1139" t="s">
        <v>0</v>
      </c>
      <c r="H1139" s="1">
        <f>DATE(2022,9,23)</f>
        <v>44827</v>
      </c>
    </row>
    <row r="1140" spans="1:8" x14ac:dyDescent="0.35">
      <c r="A1140" s="2" t="s">
        <v>3004</v>
      </c>
      <c r="B1140" s="2" t="s">
        <v>3005</v>
      </c>
      <c r="C1140" s="2" t="s">
        <v>3006</v>
      </c>
      <c r="D1140" t="s">
        <v>6088</v>
      </c>
      <c r="E1140" t="s">
        <v>7218</v>
      </c>
      <c r="F1140" t="s">
        <v>12</v>
      </c>
      <c r="G1140" t="s">
        <v>0</v>
      </c>
      <c r="H1140" s="1">
        <f>DATE(2022,9,29)</f>
        <v>44833</v>
      </c>
    </row>
    <row r="1141" spans="1:8" x14ac:dyDescent="0.35">
      <c r="A1141" s="2" t="s">
        <v>3007</v>
      </c>
      <c r="B1141" s="2" t="s">
        <v>3008</v>
      </c>
      <c r="C1141" s="2" t="s">
        <v>3009</v>
      </c>
      <c r="D1141" t="s">
        <v>6089</v>
      </c>
      <c r="E1141" t="s">
        <v>7219</v>
      </c>
      <c r="F1141" t="s">
        <v>12</v>
      </c>
      <c r="G1141" t="s">
        <v>0</v>
      </c>
      <c r="H1141" s="1">
        <f>DATE(2022,9,29)</f>
        <v>44833</v>
      </c>
    </row>
    <row r="1142" spans="1:8" x14ac:dyDescent="0.35">
      <c r="A1142" s="2" t="s">
        <v>3010</v>
      </c>
      <c r="B1142" s="2" t="s">
        <v>3011</v>
      </c>
      <c r="C1142" s="2" t="s">
        <v>3012</v>
      </c>
      <c r="D1142" t="s">
        <v>6090</v>
      </c>
      <c r="E1142" t="s">
        <v>7220</v>
      </c>
      <c r="F1142" t="s">
        <v>12</v>
      </c>
      <c r="G1142" t="s">
        <v>0</v>
      </c>
      <c r="H1142" s="1">
        <f>DATE(2023,10,11)</f>
        <v>45210</v>
      </c>
    </row>
    <row r="1143" spans="1:8" x14ac:dyDescent="0.35">
      <c r="A1143" s="2" t="s">
        <v>3013</v>
      </c>
      <c r="B1143" s="2" t="s">
        <v>3014</v>
      </c>
      <c r="D1143" t="s">
        <v>5387</v>
      </c>
      <c r="E1143" t="e">
        <v>#VALUE!</v>
      </c>
      <c r="F1143" t="s">
        <v>12</v>
      </c>
      <c r="G1143" t="s">
        <v>0</v>
      </c>
      <c r="H1143" s="1">
        <f>DATE(2023,6,8)</f>
        <v>45085</v>
      </c>
    </row>
    <row r="1144" spans="1:8" x14ac:dyDescent="0.35">
      <c r="A1144" s="2" t="s">
        <v>3015</v>
      </c>
      <c r="B1144" s="2" t="s">
        <v>3016</v>
      </c>
      <c r="D1144" t="s">
        <v>5387</v>
      </c>
      <c r="E1144" t="e">
        <v>#VALUE!</v>
      </c>
      <c r="F1144" t="s">
        <v>12</v>
      </c>
      <c r="G1144" t="s">
        <v>0</v>
      </c>
      <c r="H1144" s="1">
        <f>DATE(2023,10,5)</f>
        <v>45204</v>
      </c>
    </row>
    <row r="1145" spans="1:8" x14ac:dyDescent="0.35">
      <c r="A1145" s="2" t="s">
        <v>3017</v>
      </c>
      <c r="B1145" s="2" t="s">
        <v>3018</v>
      </c>
      <c r="D1145" t="s">
        <v>5387</v>
      </c>
      <c r="E1145" t="e">
        <v>#VALUE!</v>
      </c>
      <c r="F1145" t="s">
        <v>12</v>
      </c>
      <c r="G1145" t="s">
        <v>0</v>
      </c>
      <c r="H1145" s="1">
        <f>DATE(2022,10,10)</f>
        <v>44844</v>
      </c>
    </row>
    <row r="1146" spans="1:8" x14ac:dyDescent="0.35">
      <c r="A1146" s="2" t="s">
        <v>3019</v>
      </c>
      <c r="B1146" s="2" t="s">
        <v>3020</v>
      </c>
      <c r="C1146" s="2" t="s">
        <v>3021</v>
      </c>
      <c r="D1146" t="s">
        <v>6091</v>
      </c>
      <c r="E1146" t="s">
        <v>7221</v>
      </c>
      <c r="F1146" t="s">
        <v>12</v>
      </c>
      <c r="G1146" t="s">
        <v>0</v>
      </c>
      <c r="H1146" s="1">
        <f>DATE(2023,8,21)</f>
        <v>45159</v>
      </c>
    </row>
    <row r="1147" spans="1:8" x14ac:dyDescent="0.35">
      <c r="A1147" s="2" t="s">
        <v>3022</v>
      </c>
      <c r="B1147" s="2" t="s">
        <v>3023</v>
      </c>
      <c r="C1147" s="2" t="s">
        <v>3024</v>
      </c>
      <c r="D1147" t="s">
        <v>6092</v>
      </c>
      <c r="E1147" t="s">
        <v>7222</v>
      </c>
      <c r="F1147" t="s">
        <v>12</v>
      </c>
      <c r="G1147" t="s">
        <v>0</v>
      </c>
      <c r="H1147" s="1">
        <f>DATE(2022,12,1)</f>
        <v>44896</v>
      </c>
    </row>
    <row r="1148" spans="1:8" x14ac:dyDescent="0.35">
      <c r="A1148" s="2" t="s">
        <v>3025</v>
      </c>
      <c r="B1148" s="2" t="s">
        <v>3026</v>
      </c>
      <c r="C1148" s="2" t="s">
        <v>3027</v>
      </c>
      <c r="D1148" t="s">
        <v>5762</v>
      </c>
      <c r="E1148" t="s">
        <v>6892</v>
      </c>
      <c r="F1148" t="s">
        <v>12</v>
      </c>
      <c r="G1148" t="s">
        <v>0</v>
      </c>
      <c r="H1148" s="1">
        <f>DATE(2022,10,14)</f>
        <v>44848</v>
      </c>
    </row>
    <row r="1149" spans="1:8" x14ac:dyDescent="0.35">
      <c r="A1149" s="2" t="s">
        <v>3028</v>
      </c>
      <c r="B1149" s="2" t="s">
        <v>3029</v>
      </c>
      <c r="C1149" s="2" t="s">
        <v>3030</v>
      </c>
      <c r="D1149" t="s">
        <v>6093</v>
      </c>
      <c r="E1149" t="s">
        <v>7223</v>
      </c>
      <c r="F1149" t="s">
        <v>12</v>
      </c>
      <c r="G1149" t="s">
        <v>0</v>
      </c>
      <c r="H1149" s="1">
        <f>DATE(2023,2,2)</f>
        <v>44959</v>
      </c>
    </row>
    <row r="1150" spans="1:8" x14ac:dyDescent="0.35">
      <c r="A1150" s="2" t="s">
        <v>3031</v>
      </c>
      <c r="B1150" s="2" t="s">
        <v>3032</v>
      </c>
      <c r="C1150" s="2" t="s">
        <v>3033</v>
      </c>
      <c r="D1150" t="s">
        <v>6094</v>
      </c>
      <c r="E1150" t="s">
        <v>7224</v>
      </c>
      <c r="F1150" t="s">
        <v>12</v>
      </c>
      <c r="G1150" t="s">
        <v>0</v>
      </c>
      <c r="H1150" s="1">
        <f>DATE(2022,10,14)</f>
        <v>44848</v>
      </c>
    </row>
    <row r="1151" spans="1:8" x14ac:dyDescent="0.35">
      <c r="A1151" s="2" t="s">
        <v>3034</v>
      </c>
      <c r="B1151" s="2" t="s">
        <v>3035</v>
      </c>
      <c r="C1151" s="2" t="s">
        <v>3036</v>
      </c>
      <c r="D1151" t="s">
        <v>6095</v>
      </c>
      <c r="E1151" t="s">
        <v>7225</v>
      </c>
      <c r="F1151" t="s">
        <v>12</v>
      </c>
      <c r="G1151" t="s">
        <v>0</v>
      </c>
      <c r="H1151" s="1">
        <f>DATE(2022,10,14)</f>
        <v>44848</v>
      </c>
    </row>
    <row r="1152" spans="1:8" x14ac:dyDescent="0.35">
      <c r="A1152" s="2" t="s">
        <v>3037</v>
      </c>
      <c r="B1152" s="2" t="s">
        <v>3038</v>
      </c>
      <c r="C1152" s="2" t="s">
        <v>3039</v>
      </c>
      <c r="D1152" t="s">
        <v>6096</v>
      </c>
      <c r="E1152" t="s">
        <v>7226</v>
      </c>
      <c r="F1152" t="s">
        <v>12</v>
      </c>
      <c r="G1152" t="s">
        <v>0</v>
      </c>
      <c r="H1152" s="1">
        <f>DATE(2022,10,14)</f>
        <v>44848</v>
      </c>
    </row>
    <row r="1153" spans="1:8" x14ac:dyDescent="0.35">
      <c r="A1153" s="2" t="s">
        <v>3040</v>
      </c>
      <c r="B1153" s="2" t="s">
        <v>3041</v>
      </c>
      <c r="C1153" s="2" t="s">
        <v>3042</v>
      </c>
      <c r="D1153" t="s">
        <v>6093</v>
      </c>
      <c r="E1153" t="s">
        <v>7223</v>
      </c>
      <c r="F1153" t="s">
        <v>12</v>
      </c>
      <c r="G1153" t="s">
        <v>0</v>
      </c>
      <c r="H1153" s="1">
        <f>DATE(2023,10,20)</f>
        <v>45219</v>
      </c>
    </row>
    <row r="1154" spans="1:8" x14ac:dyDescent="0.35">
      <c r="A1154" s="2" t="s">
        <v>3043</v>
      </c>
      <c r="B1154" s="2" t="s">
        <v>3044</v>
      </c>
      <c r="C1154" s="2" t="s">
        <v>3045</v>
      </c>
      <c r="D1154" t="s">
        <v>6097</v>
      </c>
      <c r="E1154" t="s">
        <v>7227</v>
      </c>
      <c r="F1154" t="s">
        <v>12</v>
      </c>
      <c r="G1154" t="s">
        <v>0</v>
      </c>
      <c r="H1154" s="1">
        <f>DATE(2022,10,14)</f>
        <v>44848</v>
      </c>
    </row>
    <row r="1155" spans="1:8" x14ac:dyDescent="0.35">
      <c r="A1155" s="2" t="s">
        <v>3046</v>
      </c>
      <c r="B1155" s="2" t="s">
        <v>3047</v>
      </c>
      <c r="C1155" s="2" t="s">
        <v>3048</v>
      </c>
      <c r="D1155" t="s">
        <v>6093</v>
      </c>
      <c r="E1155" t="s">
        <v>7223</v>
      </c>
      <c r="F1155" t="s">
        <v>12</v>
      </c>
      <c r="G1155" t="s">
        <v>0</v>
      </c>
      <c r="H1155" s="1">
        <f>DATE(2022,10,14)</f>
        <v>44848</v>
      </c>
    </row>
    <row r="1156" spans="1:8" x14ac:dyDescent="0.35">
      <c r="A1156" s="2" t="s">
        <v>3049</v>
      </c>
      <c r="B1156" s="2" t="s">
        <v>3050</v>
      </c>
      <c r="C1156" s="2" t="s">
        <v>3051</v>
      </c>
      <c r="D1156" t="s">
        <v>6093</v>
      </c>
      <c r="E1156" t="s">
        <v>7223</v>
      </c>
      <c r="F1156" t="s">
        <v>12</v>
      </c>
      <c r="G1156" t="s">
        <v>0</v>
      </c>
      <c r="H1156" s="1">
        <f>DATE(2022,10,14)</f>
        <v>44848</v>
      </c>
    </row>
    <row r="1157" spans="1:8" x14ac:dyDescent="0.35">
      <c r="A1157" s="2" t="s">
        <v>3052</v>
      </c>
      <c r="B1157" s="2" t="s">
        <v>3053</v>
      </c>
      <c r="C1157" s="2" t="s">
        <v>3054</v>
      </c>
      <c r="D1157" t="s">
        <v>6093</v>
      </c>
      <c r="E1157" t="s">
        <v>7223</v>
      </c>
      <c r="F1157" t="s">
        <v>12</v>
      </c>
      <c r="G1157" t="s">
        <v>0</v>
      </c>
      <c r="H1157" s="1">
        <f>DATE(2022,12,22)</f>
        <v>44917</v>
      </c>
    </row>
    <row r="1158" spans="1:8" x14ac:dyDescent="0.35">
      <c r="A1158" s="2" t="s">
        <v>3055</v>
      </c>
      <c r="B1158" s="2" t="s">
        <v>3056</v>
      </c>
      <c r="C1158" s="2" t="s">
        <v>3057</v>
      </c>
      <c r="D1158" t="s">
        <v>6098</v>
      </c>
      <c r="E1158" t="s">
        <v>7228</v>
      </c>
      <c r="F1158" t="s">
        <v>12</v>
      </c>
      <c r="G1158" t="s">
        <v>0</v>
      </c>
      <c r="H1158" s="1">
        <f>DATE(2022,10,14)</f>
        <v>44848</v>
      </c>
    </row>
    <row r="1159" spans="1:8" x14ac:dyDescent="0.35">
      <c r="A1159" s="2" t="s">
        <v>3058</v>
      </c>
      <c r="B1159" s="2" t="s">
        <v>3059</v>
      </c>
      <c r="D1159" t="s">
        <v>5387</v>
      </c>
      <c r="E1159" t="e">
        <v>#VALUE!</v>
      </c>
      <c r="F1159" t="s">
        <v>12</v>
      </c>
      <c r="G1159" t="s">
        <v>0</v>
      </c>
      <c r="H1159" s="1">
        <f>DATE(2022,10,17)</f>
        <v>44851</v>
      </c>
    </row>
    <row r="1160" spans="1:8" x14ac:dyDescent="0.35">
      <c r="A1160" s="2" t="s">
        <v>3060</v>
      </c>
      <c r="B1160" s="2" t="s">
        <v>3061</v>
      </c>
      <c r="C1160" s="2" t="s">
        <v>3062</v>
      </c>
      <c r="D1160" t="s">
        <v>5927</v>
      </c>
      <c r="E1160" t="s">
        <v>7057</v>
      </c>
      <c r="F1160" t="s">
        <v>12</v>
      </c>
      <c r="G1160" t="s">
        <v>0</v>
      </c>
      <c r="H1160" s="1">
        <f>DATE(2022,10,17)</f>
        <v>44851</v>
      </c>
    </row>
    <row r="1161" spans="1:8" x14ac:dyDescent="0.35">
      <c r="A1161" s="2" t="s">
        <v>3063</v>
      </c>
      <c r="B1161" s="2" t="s">
        <v>3064</v>
      </c>
      <c r="C1161" s="2" t="s">
        <v>3065</v>
      </c>
      <c r="D1161" t="s">
        <v>6099</v>
      </c>
      <c r="E1161" t="s">
        <v>7229</v>
      </c>
      <c r="F1161" t="s">
        <v>12</v>
      </c>
      <c r="G1161" t="s">
        <v>0</v>
      </c>
      <c r="H1161" s="1">
        <f>DATE(2023,10,11)</f>
        <v>45210</v>
      </c>
    </row>
    <row r="1162" spans="1:8" x14ac:dyDescent="0.35">
      <c r="A1162" s="2" t="s">
        <v>3066</v>
      </c>
      <c r="B1162" s="2" t="s">
        <v>3067</v>
      </c>
      <c r="C1162" s="2" t="s">
        <v>3068</v>
      </c>
      <c r="D1162" t="s">
        <v>6100</v>
      </c>
      <c r="E1162" t="s">
        <v>7230</v>
      </c>
      <c r="F1162" t="s">
        <v>12</v>
      </c>
      <c r="G1162" t="s">
        <v>0</v>
      </c>
      <c r="H1162" s="1">
        <f>DATE(2023,5,31)</f>
        <v>45077</v>
      </c>
    </row>
    <row r="1163" spans="1:8" x14ac:dyDescent="0.35">
      <c r="A1163" s="2" t="s">
        <v>3069</v>
      </c>
      <c r="B1163" s="2" t="s">
        <v>3070</v>
      </c>
      <c r="C1163" s="2" t="s">
        <v>3071</v>
      </c>
      <c r="D1163" t="s">
        <v>6101</v>
      </c>
      <c r="E1163" t="s">
        <v>7231</v>
      </c>
      <c r="F1163" t="s">
        <v>12</v>
      </c>
      <c r="G1163" t="s">
        <v>0</v>
      </c>
      <c r="H1163" s="1">
        <f>DATE(2023,5,17)</f>
        <v>45063</v>
      </c>
    </row>
    <row r="1164" spans="1:8" x14ac:dyDescent="0.35">
      <c r="A1164" s="2" t="s">
        <v>3072</v>
      </c>
      <c r="B1164" s="2" t="s">
        <v>3073</v>
      </c>
      <c r="D1164" t="s">
        <v>5387</v>
      </c>
      <c r="E1164" t="e">
        <v>#VALUE!</v>
      </c>
      <c r="F1164" t="s">
        <v>12</v>
      </c>
      <c r="G1164" t="s">
        <v>0</v>
      </c>
      <c r="H1164" s="1">
        <f>DATE(2022,10,26)</f>
        <v>44860</v>
      </c>
    </row>
    <row r="1165" spans="1:8" x14ac:dyDescent="0.35">
      <c r="A1165" s="2" t="s">
        <v>3074</v>
      </c>
      <c r="B1165" s="2" t="s">
        <v>3075</v>
      </c>
      <c r="D1165" t="s">
        <v>5387</v>
      </c>
      <c r="E1165" t="e">
        <v>#VALUE!</v>
      </c>
      <c r="F1165" t="s">
        <v>12</v>
      </c>
      <c r="G1165" t="s">
        <v>0</v>
      </c>
      <c r="H1165" s="1">
        <f>DATE(2022,10,26)</f>
        <v>44860</v>
      </c>
    </row>
    <row r="1166" spans="1:8" x14ac:dyDescent="0.35">
      <c r="A1166" s="2" t="s">
        <v>3076</v>
      </c>
      <c r="B1166" s="2" t="s">
        <v>3077</v>
      </c>
      <c r="C1166" s="2" t="s">
        <v>3078</v>
      </c>
      <c r="D1166" t="s">
        <v>6102</v>
      </c>
      <c r="E1166" t="s">
        <v>7232</v>
      </c>
      <c r="F1166" t="s">
        <v>12</v>
      </c>
      <c r="G1166" t="s">
        <v>0</v>
      </c>
      <c r="H1166" s="1">
        <f>DATE(2023,1,18)</f>
        <v>44944</v>
      </c>
    </row>
    <row r="1167" spans="1:8" x14ac:dyDescent="0.35">
      <c r="A1167" s="2" t="s">
        <v>3079</v>
      </c>
      <c r="B1167" s="2" t="s">
        <v>3080</v>
      </c>
      <c r="C1167" s="2" t="s">
        <v>3081</v>
      </c>
      <c r="D1167" t="s">
        <v>6103</v>
      </c>
      <c r="E1167" t="s">
        <v>7233</v>
      </c>
      <c r="F1167" t="s">
        <v>12</v>
      </c>
      <c r="G1167" t="s">
        <v>0</v>
      </c>
      <c r="H1167" s="1">
        <f>DATE(2022,11,2)</f>
        <v>44867</v>
      </c>
    </row>
    <row r="1168" spans="1:8" x14ac:dyDescent="0.35">
      <c r="A1168" s="2" t="s">
        <v>3082</v>
      </c>
      <c r="B1168" s="2" t="s">
        <v>3083</v>
      </c>
      <c r="D1168" t="s">
        <v>5387</v>
      </c>
      <c r="E1168" t="e">
        <v>#VALUE!</v>
      </c>
      <c r="F1168" t="s">
        <v>12</v>
      </c>
      <c r="G1168" t="s">
        <v>0</v>
      </c>
      <c r="H1168" s="1">
        <f>DATE(2022,11,2)</f>
        <v>44867</v>
      </c>
    </row>
    <row r="1169" spans="1:8" x14ac:dyDescent="0.35">
      <c r="A1169" s="2" t="s">
        <v>3084</v>
      </c>
      <c r="B1169" s="2" t="s">
        <v>3085</v>
      </c>
      <c r="C1169" s="2" t="s">
        <v>3086</v>
      </c>
      <c r="D1169" t="s">
        <v>5479</v>
      </c>
      <c r="E1169" t="s">
        <v>6608</v>
      </c>
      <c r="F1169" t="s">
        <v>12</v>
      </c>
      <c r="G1169" t="s">
        <v>0</v>
      </c>
      <c r="H1169" s="1">
        <f>DATE(2023,10,11)</f>
        <v>45210</v>
      </c>
    </row>
    <row r="1170" spans="1:8" x14ac:dyDescent="0.35">
      <c r="A1170" s="2" t="s">
        <v>3087</v>
      </c>
      <c r="B1170" s="2" t="s">
        <v>3088</v>
      </c>
      <c r="C1170" s="2" t="s">
        <v>3089</v>
      </c>
      <c r="D1170" t="s">
        <v>6104</v>
      </c>
      <c r="E1170" t="s">
        <v>7234</v>
      </c>
      <c r="F1170" t="s">
        <v>12</v>
      </c>
      <c r="G1170" t="s">
        <v>0</v>
      </c>
      <c r="H1170" s="1">
        <f>DATE(2022,11,4)</f>
        <v>44869</v>
      </c>
    </row>
    <row r="1171" spans="1:8" x14ac:dyDescent="0.35">
      <c r="A1171" s="2" t="s">
        <v>3090</v>
      </c>
      <c r="B1171" s="2" t="s">
        <v>3091</v>
      </c>
      <c r="D1171" t="s">
        <v>5387</v>
      </c>
      <c r="E1171" t="e">
        <v>#VALUE!</v>
      </c>
      <c r="F1171" t="s">
        <v>12</v>
      </c>
      <c r="G1171" t="s">
        <v>0</v>
      </c>
      <c r="H1171" s="1">
        <f>DATE(2022,11,2)</f>
        <v>44867</v>
      </c>
    </row>
    <row r="1172" spans="1:8" x14ac:dyDescent="0.35">
      <c r="A1172" s="2" t="s">
        <v>3092</v>
      </c>
      <c r="B1172" s="2" t="s">
        <v>3093</v>
      </c>
      <c r="C1172" s="2" t="s">
        <v>3094</v>
      </c>
      <c r="D1172" t="s">
        <v>6105</v>
      </c>
      <c r="E1172" t="s">
        <v>7235</v>
      </c>
      <c r="F1172" t="s">
        <v>12</v>
      </c>
      <c r="G1172" t="s">
        <v>0</v>
      </c>
      <c r="H1172" s="1">
        <f>DATE(2022,11,4)</f>
        <v>44869</v>
      </c>
    </row>
    <row r="1173" spans="1:8" x14ac:dyDescent="0.35">
      <c r="A1173" s="2" t="s">
        <v>3095</v>
      </c>
      <c r="B1173" s="2" t="s">
        <v>3096</v>
      </c>
      <c r="C1173" s="2" t="s">
        <v>3097</v>
      </c>
      <c r="D1173" t="s">
        <v>6106</v>
      </c>
      <c r="E1173" t="s">
        <v>7236</v>
      </c>
      <c r="F1173" t="s">
        <v>12</v>
      </c>
      <c r="G1173" t="s">
        <v>0</v>
      </c>
      <c r="H1173" s="1">
        <f>DATE(2022,11,7)</f>
        <v>44872</v>
      </c>
    </row>
    <row r="1174" spans="1:8" x14ac:dyDescent="0.35">
      <c r="A1174" s="2" t="s">
        <v>3098</v>
      </c>
      <c r="B1174" s="2" t="s">
        <v>3099</v>
      </c>
      <c r="D1174" t="s">
        <v>5387</v>
      </c>
      <c r="E1174" t="e">
        <v>#VALUE!</v>
      </c>
      <c r="F1174" t="s">
        <v>12</v>
      </c>
      <c r="G1174" t="s">
        <v>0</v>
      </c>
      <c r="H1174" s="1">
        <f>DATE(2022,11,8)</f>
        <v>44873</v>
      </c>
    </row>
    <row r="1175" spans="1:8" x14ac:dyDescent="0.35">
      <c r="A1175" s="2" t="s">
        <v>3100</v>
      </c>
      <c r="B1175" s="2" t="s">
        <v>3101</v>
      </c>
      <c r="D1175" t="s">
        <v>5387</v>
      </c>
      <c r="E1175" t="e">
        <v>#VALUE!</v>
      </c>
      <c r="F1175" t="s">
        <v>12</v>
      </c>
      <c r="G1175" t="s">
        <v>0</v>
      </c>
      <c r="H1175" s="1">
        <f>DATE(2023,10,11)</f>
        <v>45210</v>
      </c>
    </row>
    <row r="1176" spans="1:8" x14ac:dyDescent="0.35">
      <c r="A1176" s="2" t="s">
        <v>3102</v>
      </c>
      <c r="B1176" s="2" t="s">
        <v>3103</v>
      </c>
      <c r="D1176" t="s">
        <v>5387</v>
      </c>
      <c r="E1176" t="e">
        <v>#VALUE!</v>
      </c>
      <c r="F1176" t="s">
        <v>12</v>
      </c>
      <c r="G1176" t="s">
        <v>0</v>
      </c>
      <c r="H1176" s="1">
        <f>DATE(2022,11,8)</f>
        <v>44873</v>
      </c>
    </row>
    <row r="1177" spans="1:8" x14ac:dyDescent="0.35">
      <c r="A1177" s="2" t="s">
        <v>3104</v>
      </c>
      <c r="B1177" s="2" t="s">
        <v>3105</v>
      </c>
      <c r="C1177" s="2" t="s">
        <v>3106</v>
      </c>
      <c r="D1177" t="s">
        <v>6107</v>
      </c>
      <c r="E1177" t="s">
        <v>7237</v>
      </c>
      <c r="F1177" t="s">
        <v>12</v>
      </c>
      <c r="G1177" t="s">
        <v>0</v>
      </c>
      <c r="H1177" s="1">
        <f>DATE(2022,11,8)</f>
        <v>44873</v>
      </c>
    </row>
    <row r="1178" spans="1:8" x14ac:dyDescent="0.35">
      <c r="A1178" s="2" t="s">
        <v>3107</v>
      </c>
      <c r="B1178" s="2" t="s">
        <v>3108</v>
      </c>
      <c r="D1178" t="s">
        <v>5387</v>
      </c>
      <c r="E1178" t="e">
        <v>#VALUE!</v>
      </c>
      <c r="F1178" t="s">
        <v>12</v>
      </c>
      <c r="G1178" t="s">
        <v>0</v>
      </c>
      <c r="H1178" s="1">
        <f>DATE(2023,10,11)</f>
        <v>45210</v>
      </c>
    </row>
    <row r="1179" spans="1:8" x14ac:dyDescent="0.35">
      <c r="A1179" s="2" t="s">
        <v>3109</v>
      </c>
      <c r="B1179" s="2" t="s">
        <v>3110</v>
      </c>
      <c r="C1179" s="2" t="s">
        <v>3111</v>
      </c>
      <c r="D1179" t="s">
        <v>6108</v>
      </c>
      <c r="E1179" t="s">
        <v>7238</v>
      </c>
      <c r="F1179" t="s">
        <v>12</v>
      </c>
      <c r="G1179" t="s">
        <v>0</v>
      </c>
      <c r="H1179" s="1">
        <f>DATE(2022,11,14)</f>
        <v>44879</v>
      </c>
    </row>
    <row r="1180" spans="1:8" x14ac:dyDescent="0.35">
      <c r="A1180" s="2" t="s">
        <v>3112</v>
      </c>
      <c r="B1180" s="2" t="s">
        <v>3113</v>
      </c>
      <c r="D1180" t="s">
        <v>5387</v>
      </c>
      <c r="E1180" t="e">
        <v>#VALUE!</v>
      </c>
      <c r="F1180" t="s">
        <v>12</v>
      </c>
      <c r="G1180" t="s">
        <v>0</v>
      </c>
      <c r="H1180" s="1">
        <f>DATE(2022,11,14)</f>
        <v>44879</v>
      </c>
    </row>
    <row r="1181" spans="1:8" x14ac:dyDescent="0.35">
      <c r="A1181" s="2" t="s">
        <v>3114</v>
      </c>
      <c r="B1181" s="2" t="s">
        <v>3115</v>
      </c>
      <c r="C1181" s="2" t="s">
        <v>3116</v>
      </c>
      <c r="D1181" t="s">
        <v>6109</v>
      </c>
      <c r="E1181" t="s">
        <v>7239</v>
      </c>
      <c r="F1181" t="s">
        <v>12</v>
      </c>
      <c r="G1181" t="s">
        <v>0</v>
      </c>
      <c r="H1181" s="1">
        <f>DATE(2023,2,22)</f>
        <v>44979</v>
      </c>
    </row>
    <row r="1182" spans="1:8" x14ac:dyDescent="0.35">
      <c r="A1182" s="2" t="s">
        <v>3117</v>
      </c>
      <c r="B1182" s="2" t="s">
        <v>3118</v>
      </c>
      <c r="D1182" t="s">
        <v>5387</v>
      </c>
      <c r="E1182" t="e">
        <v>#VALUE!</v>
      </c>
      <c r="F1182" t="s">
        <v>12</v>
      </c>
      <c r="G1182" t="s">
        <v>0</v>
      </c>
      <c r="H1182" s="1">
        <f>DATE(2022,11,15)</f>
        <v>44880</v>
      </c>
    </row>
    <row r="1183" spans="1:8" x14ac:dyDescent="0.35">
      <c r="A1183" s="2" t="s">
        <v>3119</v>
      </c>
      <c r="B1183" s="2" t="s">
        <v>3120</v>
      </c>
      <c r="C1183" s="2" t="s">
        <v>3121</v>
      </c>
      <c r="D1183" t="s">
        <v>6110</v>
      </c>
      <c r="E1183" t="s">
        <v>7240</v>
      </c>
      <c r="F1183" t="s">
        <v>12</v>
      </c>
      <c r="G1183" t="s">
        <v>0</v>
      </c>
      <c r="H1183" s="1">
        <f>DATE(2022,11,15)</f>
        <v>44880</v>
      </c>
    </row>
    <row r="1184" spans="1:8" x14ac:dyDescent="0.35">
      <c r="A1184" s="2" t="s">
        <v>3122</v>
      </c>
      <c r="B1184" s="2" t="s">
        <v>3123</v>
      </c>
      <c r="C1184" s="2" t="s">
        <v>3124</v>
      </c>
      <c r="D1184" t="s">
        <v>6111</v>
      </c>
      <c r="E1184" t="s">
        <v>7241</v>
      </c>
      <c r="F1184" t="s">
        <v>12</v>
      </c>
      <c r="G1184" t="s">
        <v>0</v>
      </c>
      <c r="H1184" s="1">
        <f>DATE(2022,11,15)</f>
        <v>44880</v>
      </c>
    </row>
    <row r="1185" spans="1:8" x14ac:dyDescent="0.35">
      <c r="A1185" s="2" t="s">
        <v>3125</v>
      </c>
      <c r="B1185" s="2" t="s">
        <v>3126</v>
      </c>
      <c r="D1185" t="s">
        <v>5387</v>
      </c>
      <c r="E1185" t="e">
        <v>#VALUE!</v>
      </c>
      <c r="F1185" t="s">
        <v>12</v>
      </c>
      <c r="G1185" t="s">
        <v>0</v>
      </c>
      <c r="H1185" s="1">
        <f>DATE(2023,10,11)</f>
        <v>45210</v>
      </c>
    </row>
    <row r="1186" spans="1:8" x14ac:dyDescent="0.35">
      <c r="A1186" s="2" t="s">
        <v>3127</v>
      </c>
      <c r="B1186" s="2" t="s">
        <v>3128</v>
      </c>
      <c r="D1186" t="s">
        <v>5387</v>
      </c>
      <c r="E1186" t="e">
        <v>#VALUE!</v>
      </c>
      <c r="F1186" t="s">
        <v>12</v>
      </c>
      <c r="G1186" t="s">
        <v>0</v>
      </c>
      <c r="H1186" s="1">
        <f>DATE(2023,2,22)</f>
        <v>44979</v>
      </c>
    </row>
    <row r="1187" spans="1:8" x14ac:dyDescent="0.35">
      <c r="A1187" s="2" t="s">
        <v>3129</v>
      </c>
      <c r="B1187" s="2" t="s">
        <v>3130</v>
      </c>
      <c r="C1187" s="2" t="s">
        <v>3131</v>
      </c>
      <c r="D1187" t="s">
        <v>5954</v>
      </c>
      <c r="E1187" t="s">
        <v>7084</v>
      </c>
      <c r="F1187" t="s">
        <v>12</v>
      </c>
      <c r="G1187" t="s">
        <v>0</v>
      </c>
      <c r="H1187" s="1">
        <f>DATE(2022,11,16)</f>
        <v>44881</v>
      </c>
    </row>
    <row r="1188" spans="1:8" x14ac:dyDescent="0.35">
      <c r="A1188" s="2" t="s">
        <v>3132</v>
      </c>
      <c r="B1188" s="2" t="s">
        <v>3133</v>
      </c>
      <c r="C1188" s="2" t="s">
        <v>3134</v>
      </c>
      <c r="D1188" t="s">
        <v>6112</v>
      </c>
      <c r="E1188" t="s">
        <v>7242</v>
      </c>
      <c r="F1188" t="s">
        <v>12</v>
      </c>
      <c r="G1188" t="s">
        <v>0</v>
      </c>
      <c r="H1188" s="1">
        <f>DATE(2024,1,22)</f>
        <v>45313</v>
      </c>
    </row>
    <row r="1189" spans="1:8" x14ac:dyDescent="0.35">
      <c r="A1189" s="2" t="s">
        <v>3135</v>
      </c>
      <c r="B1189" s="2" t="s">
        <v>3136</v>
      </c>
      <c r="D1189" t="s">
        <v>5387</v>
      </c>
      <c r="E1189" t="e">
        <v>#VALUE!</v>
      </c>
      <c r="F1189" t="s">
        <v>12</v>
      </c>
      <c r="G1189" t="s">
        <v>0</v>
      </c>
      <c r="H1189" s="1">
        <f>DATE(2022,11,18)</f>
        <v>44883</v>
      </c>
    </row>
    <row r="1190" spans="1:8" x14ac:dyDescent="0.35">
      <c r="A1190" s="2" t="s">
        <v>3137</v>
      </c>
      <c r="B1190" s="2" t="s">
        <v>3138</v>
      </c>
      <c r="C1190" s="2" t="s">
        <v>889</v>
      </c>
      <c r="D1190" t="s">
        <v>889</v>
      </c>
      <c r="E1190" t="s">
        <v>6694</v>
      </c>
      <c r="F1190" t="s">
        <v>12</v>
      </c>
      <c r="G1190" t="s">
        <v>0</v>
      </c>
      <c r="H1190" s="1">
        <f>DATE(2022,12,20)</f>
        <v>44915</v>
      </c>
    </row>
    <row r="1191" spans="1:8" x14ac:dyDescent="0.35">
      <c r="A1191" s="2" t="s">
        <v>3139</v>
      </c>
      <c r="B1191" s="2" t="s">
        <v>3140</v>
      </c>
      <c r="D1191" t="s">
        <v>5387</v>
      </c>
      <c r="E1191" t="e">
        <v>#VALUE!</v>
      </c>
      <c r="F1191" t="s">
        <v>12</v>
      </c>
      <c r="G1191" t="s">
        <v>0</v>
      </c>
      <c r="H1191" s="1">
        <f>DATE(2022,11,21)</f>
        <v>44886</v>
      </c>
    </row>
    <row r="1192" spans="1:8" x14ac:dyDescent="0.35">
      <c r="A1192" s="2" t="s">
        <v>3141</v>
      </c>
      <c r="B1192" s="2" t="s">
        <v>3142</v>
      </c>
      <c r="C1192" s="2" t="s">
        <v>3143</v>
      </c>
      <c r="D1192" t="s">
        <v>6113</v>
      </c>
      <c r="E1192" t="s">
        <v>7243</v>
      </c>
      <c r="F1192" t="s">
        <v>12</v>
      </c>
      <c r="G1192" t="s">
        <v>0</v>
      </c>
      <c r="H1192" s="1">
        <f>DATE(2023,11,16)</f>
        <v>45246</v>
      </c>
    </row>
    <row r="1193" spans="1:8" x14ac:dyDescent="0.35">
      <c r="A1193" s="2" t="s">
        <v>3144</v>
      </c>
      <c r="B1193" s="2" t="s">
        <v>3145</v>
      </c>
      <c r="D1193" t="s">
        <v>5387</v>
      </c>
      <c r="E1193" t="e">
        <v>#VALUE!</v>
      </c>
      <c r="F1193" t="s">
        <v>12</v>
      </c>
      <c r="G1193" t="s">
        <v>0</v>
      </c>
      <c r="H1193" s="1">
        <f>DATE(2023,10,11)</f>
        <v>45210</v>
      </c>
    </row>
    <row r="1194" spans="1:8" x14ac:dyDescent="0.35">
      <c r="A1194" s="2" t="s">
        <v>3146</v>
      </c>
      <c r="B1194" s="2" t="s">
        <v>3147</v>
      </c>
      <c r="D1194" t="s">
        <v>5387</v>
      </c>
      <c r="E1194" t="e">
        <v>#VALUE!</v>
      </c>
      <c r="F1194" t="s">
        <v>12</v>
      </c>
      <c r="G1194" t="s">
        <v>0</v>
      </c>
      <c r="H1194" s="1">
        <f>DATE(2022,11,21)</f>
        <v>44886</v>
      </c>
    </row>
    <row r="1195" spans="1:8" x14ac:dyDescent="0.35">
      <c r="A1195" s="2" t="s">
        <v>3148</v>
      </c>
      <c r="B1195" s="2" t="s">
        <v>3149</v>
      </c>
      <c r="C1195" s="2" t="s">
        <v>3150</v>
      </c>
      <c r="D1195" t="s">
        <v>6114</v>
      </c>
      <c r="E1195" t="s">
        <v>7244</v>
      </c>
      <c r="F1195" t="s">
        <v>12</v>
      </c>
      <c r="G1195" t="s">
        <v>0</v>
      </c>
      <c r="H1195" s="1">
        <f>DATE(2024,1,9)</f>
        <v>45300</v>
      </c>
    </row>
    <row r="1196" spans="1:8" x14ac:dyDescent="0.35">
      <c r="A1196" s="2" t="s">
        <v>3151</v>
      </c>
      <c r="B1196" s="2" t="s">
        <v>3152</v>
      </c>
      <c r="C1196" s="2" t="s">
        <v>3153</v>
      </c>
      <c r="D1196" t="s">
        <v>6115</v>
      </c>
      <c r="E1196" t="s">
        <v>7245</v>
      </c>
      <c r="F1196" t="s">
        <v>12</v>
      </c>
      <c r="G1196" t="s">
        <v>0</v>
      </c>
      <c r="H1196" s="1">
        <f>DATE(2023,12,19)</f>
        <v>45279</v>
      </c>
    </row>
    <row r="1197" spans="1:8" x14ac:dyDescent="0.35">
      <c r="A1197" s="2" t="s">
        <v>3154</v>
      </c>
      <c r="B1197" s="2" t="s">
        <v>3155</v>
      </c>
      <c r="D1197" t="s">
        <v>5387</v>
      </c>
      <c r="E1197" t="e">
        <v>#VALUE!</v>
      </c>
      <c r="F1197" t="s">
        <v>12</v>
      </c>
      <c r="G1197" t="s">
        <v>0</v>
      </c>
      <c r="H1197" s="1">
        <f>DATE(2024,1,11)</f>
        <v>45302</v>
      </c>
    </row>
    <row r="1198" spans="1:8" x14ac:dyDescent="0.35">
      <c r="A1198" s="2" t="s">
        <v>3156</v>
      </c>
      <c r="B1198" s="2" t="s">
        <v>3157</v>
      </c>
      <c r="C1198" s="2" t="s">
        <v>906</v>
      </c>
      <c r="D1198" t="s">
        <v>5569</v>
      </c>
      <c r="E1198" t="s">
        <v>6699</v>
      </c>
      <c r="F1198" t="s">
        <v>12</v>
      </c>
      <c r="G1198" t="s">
        <v>0</v>
      </c>
      <c r="H1198" s="1">
        <f>DATE(2023,12,19)</f>
        <v>45279</v>
      </c>
    </row>
    <row r="1199" spans="1:8" x14ac:dyDescent="0.35">
      <c r="A1199" s="2" t="s">
        <v>3158</v>
      </c>
      <c r="B1199" s="2" t="s">
        <v>3159</v>
      </c>
      <c r="D1199" t="s">
        <v>5387</v>
      </c>
      <c r="E1199" t="e">
        <v>#VALUE!</v>
      </c>
      <c r="F1199" t="s">
        <v>12</v>
      </c>
      <c r="G1199" t="s">
        <v>0</v>
      </c>
      <c r="H1199" s="1">
        <f>DATE(2023,12,19)</f>
        <v>45279</v>
      </c>
    </row>
    <row r="1200" spans="1:8" x14ac:dyDescent="0.35">
      <c r="A1200" s="2" t="s">
        <v>3160</v>
      </c>
      <c r="B1200" s="2" t="s">
        <v>3161</v>
      </c>
      <c r="C1200" s="2" t="s">
        <v>3162</v>
      </c>
      <c r="D1200" t="s">
        <v>6116</v>
      </c>
      <c r="E1200" t="s">
        <v>7246</v>
      </c>
      <c r="F1200" t="s">
        <v>12</v>
      </c>
      <c r="G1200" t="s">
        <v>0</v>
      </c>
      <c r="H1200" s="1">
        <f>DATE(2023,12,21)</f>
        <v>45281</v>
      </c>
    </row>
    <row r="1201" spans="1:8" x14ac:dyDescent="0.35">
      <c r="A1201" s="2" t="s">
        <v>3163</v>
      </c>
      <c r="B1201" s="2" t="s">
        <v>3164</v>
      </c>
      <c r="C1201" s="2" t="s">
        <v>3165</v>
      </c>
      <c r="D1201" t="s">
        <v>6117</v>
      </c>
      <c r="E1201" t="s">
        <v>7247</v>
      </c>
      <c r="F1201" t="s">
        <v>12</v>
      </c>
      <c r="G1201" t="s">
        <v>0</v>
      </c>
      <c r="H1201" s="1">
        <f>DATE(2023,12,19)</f>
        <v>45279</v>
      </c>
    </row>
    <row r="1202" spans="1:8" x14ac:dyDescent="0.35">
      <c r="A1202" s="2" t="s">
        <v>3166</v>
      </c>
      <c r="B1202" s="2" t="s">
        <v>3167</v>
      </c>
      <c r="C1202" s="2" t="s">
        <v>3168</v>
      </c>
      <c r="D1202" t="s">
        <v>6118</v>
      </c>
      <c r="E1202" t="s">
        <v>7248</v>
      </c>
      <c r="F1202" t="s">
        <v>12</v>
      </c>
      <c r="G1202" t="s">
        <v>0</v>
      </c>
      <c r="H1202" s="1">
        <f>DATE(2024,1,8)</f>
        <v>45299</v>
      </c>
    </row>
    <row r="1203" spans="1:8" x14ac:dyDescent="0.35">
      <c r="A1203" s="2" t="s">
        <v>3169</v>
      </c>
      <c r="B1203" s="2" t="s">
        <v>2719</v>
      </c>
      <c r="C1203" s="2" t="s">
        <v>2720</v>
      </c>
      <c r="D1203" t="s">
        <v>6016</v>
      </c>
      <c r="E1203" t="s">
        <v>7146</v>
      </c>
      <c r="F1203" t="s">
        <v>12</v>
      </c>
      <c r="G1203" t="s">
        <v>0</v>
      </c>
      <c r="H1203" s="1">
        <f>DATE(2024,1,10)</f>
        <v>45301</v>
      </c>
    </row>
    <row r="1204" spans="1:8" x14ac:dyDescent="0.35">
      <c r="A1204" s="2" t="s">
        <v>3170</v>
      </c>
      <c r="B1204" s="2" t="s">
        <v>3171</v>
      </c>
      <c r="C1204" s="2" t="s">
        <v>3172</v>
      </c>
      <c r="D1204" t="s">
        <v>6119</v>
      </c>
      <c r="E1204" t="s">
        <v>7249</v>
      </c>
      <c r="F1204" t="s">
        <v>12</v>
      </c>
      <c r="G1204" t="s">
        <v>0</v>
      </c>
      <c r="H1204" s="1">
        <f>DATE(2023,12,21)</f>
        <v>45281</v>
      </c>
    </row>
    <row r="1205" spans="1:8" x14ac:dyDescent="0.35">
      <c r="A1205" s="2" t="s">
        <v>3173</v>
      </c>
      <c r="B1205" s="2" t="s">
        <v>3174</v>
      </c>
      <c r="C1205" s="2" t="s">
        <v>3175</v>
      </c>
      <c r="D1205" t="s">
        <v>6120</v>
      </c>
      <c r="E1205" t="s">
        <v>7250</v>
      </c>
      <c r="F1205" t="s">
        <v>12</v>
      </c>
      <c r="G1205" t="s">
        <v>0</v>
      </c>
      <c r="H1205" s="1">
        <f>DATE(2023,12,26)</f>
        <v>45286</v>
      </c>
    </row>
    <row r="1206" spans="1:8" x14ac:dyDescent="0.35">
      <c r="A1206" s="2" t="s">
        <v>3176</v>
      </c>
      <c r="B1206" s="2" t="s">
        <v>3177</v>
      </c>
      <c r="C1206" s="2" t="s">
        <v>3178</v>
      </c>
      <c r="D1206" t="s">
        <v>6121</v>
      </c>
      <c r="E1206" t="s">
        <v>7251</v>
      </c>
      <c r="F1206" t="s">
        <v>12</v>
      </c>
      <c r="G1206" t="s">
        <v>0</v>
      </c>
      <c r="H1206" s="1">
        <f>DATE(2023,12,26)</f>
        <v>45286</v>
      </c>
    </row>
    <row r="1207" spans="1:8" x14ac:dyDescent="0.35">
      <c r="A1207" s="2" t="s">
        <v>3179</v>
      </c>
      <c r="B1207" s="2" t="s">
        <v>3180</v>
      </c>
      <c r="C1207" s="2" t="s">
        <v>3181</v>
      </c>
      <c r="D1207" t="s">
        <v>5762</v>
      </c>
      <c r="E1207" t="s">
        <v>6892</v>
      </c>
      <c r="F1207" t="s">
        <v>12</v>
      </c>
      <c r="G1207" t="s">
        <v>0</v>
      </c>
      <c r="H1207" s="1">
        <f>DATE(2023,12,26)</f>
        <v>45286</v>
      </c>
    </row>
    <row r="1208" spans="1:8" x14ac:dyDescent="0.35">
      <c r="A1208" s="2" t="s">
        <v>3182</v>
      </c>
      <c r="B1208" s="2" t="s">
        <v>3183</v>
      </c>
      <c r="D1208" t="s">
        <v>5387</v>
      </c>
      <c r="E1208" t="e">
        <v>#VALUE!</v>
      </c>
      <c r="F1208" t="s">
        <v>12</v>
      </c>
      <c r="G1208" t="s">
        <v>0</v>
      </c>
      <c r="H1208" s="1">
        <f>DATE(2023,12,26)</f>
        <v>45286</v>
      </c>
    </row>
    <row r="1209" spans="1:8" x14ac:dyDescent="0.35">
      <c r="A1209" s="2" t="s">
        <v>3184</v>
      </c>
      <c r="B1209" s="2" t="s">
        <v>3185</v>
      </c>
      <c r="C1209" s="2" t="s">
        <v>3186</v>
      </c>
      <c r="D1209" t="s">
        <v>6122</v>
      </c>
      <c r="E1209" t="s">
        <v>7252</v>
      </c>
      <c r="F1209" t="s">
        <v>12</v>
      </c>
      <c r="G1209" t="s">
        <v>0</v>
      </c>
      <c r="H1209" s="1">
        <f>DATE(2024,1,11)</f>
        <v>45302</v>
      </c>
    </row>
    <row r="1210" spans="1:8" x14ac:dyDescent="0.35">
      <c r="A1210" s="2" t="s">
        <v>3187</v>
      </c>
      <c r="B1210" s="2" t="s">
        <v>3188</v>
      </c>
      <c r="C1210" s="2" t="s">
        <v>3189</v>
      </c>
      <c r="D1210" t="s">
        <v>6123</v>
      </c>
      <c r="E1210" t="s">
        <v>7253</v>
      </c>
      <c r="F1210" t="s">
        <v>12</v>
      </c>
      <c r="G1210" t="s">
        <v>0</v>
      </c>
      <c r="H1210" s="1">
        <f>DATE(2023,12,26)</f>
        <v>45286</v>
      </c>
    </row>
    <row r="1211" spans="1:8" x14ac:dyDescent="0.35">
      <c r="A1211" s="2" t="s">
        <v>3190</v>
      </c>
      <c r="B1211" s="2" t="s">
        <v>3191</v>
      </c>
      <c r="C1211" s="2" t="s">
        <v>3192</v>
      </c>
      <c r="D1211" t="s">
        <v>6124</v>
      </c>
      <c r="E1211" t="s">
        <v>7254</v>
      </c>
      <c r="F1211" t="s">
        <v>12</v>
      </c>
      <c r="G1211" t="s">
        <v>0</v>
      </c>
      <c r="H1211" s="1">
        <f>DATE(2024,1,9)</f>
        <v>45300</v>
      </c>
    </row>
    <row r="1212" spans="1:8" x14ac:dyDescent="0.35">
      <c r="A1212" s="2" t="s">
        <v>3193</v>
      </c>
      <c r="B1212" s="2" t="s">
        <v>3194</v>
      </c>
      <c r="C1212" s="2" t="s">
        <v>3195</v>
      </c>
      <c r="D1212" t="s">
        <v>6125</v>
      </c>
      <c r="E1212" t="s">
        <v>7255</v>
      </c>
      <c r="F1212" t="s">
        <v>12</v>
      </c>
      <c r="G1212" t="s">
        <v>0</v>
      </c>
      <c r="H1212" s="1">
        <f>DATE(2024,1,3)</f>
        <v>45294</v>
      </c>
    </row>
    <row r="1213" spans="1:8" x14ac:dyDescent="0.35">
      <c r="A1213" s="2" t="s">
        <v>3196</v>
      </c>
      <c r="B1213" s="2" t="s">
        <v>3197</v>
      </c>
      <c r="D1213" t="s">
        <v>5387</v>
      </c>
      <c r="E1213" t="e">
        <v>#VALUE!</v>
      </c>
      <c r="F1213" t="s">
        <v>3198</v>
      </c>
      <c r="G1213" t="s">
        <v>0</v>
      </c>
      <c r="H1213" s="1">
        <f>DATE(2024,1,3)</f>
        <v>45294</v>
      </c>
    </row>
    <row r="1214" spans="1:8" x14ac:dyDescent="0.35">
      <c r="A1214" s="2" t="s">
        <v>3199</v>
      </c>
      <c r="B1214" s="2" t="s">
        <v>3200</v>
      </c>
      <c r="D1214" t="s">
        <v>5387</v>
      </c>
      <c r="E1214" t="e">
        <v>#VALUE!</v>
      </c>
      <c r="F1214" t="s">
        <v>50</v>
      </c>
      <c r="G1214" t="s">
        <v>0</v>
      </c>
      <c r="H1214" s="1">
        <f>DATE(2024,1,3)</f>
        <v>45294</v>
      </c>
    </row>
    <row r="1215" spans="1:8" x14ac:dyDescent="0.35">
      <c r="A1215" s="2" t="s">
        <v>3201</v>
      </c>
      <c r="B1215" s="2" t="s">
        <v>3202</v>
      </c>
      <c r="D1215" t="s">
        <v>5387</v>
      </c>
      <c r="E1215" t="e">
        <v>#VALUE!</v>
      </c>
      <c r="F1215" t="s">
        <v>12</v>
      </c>
      <c r="G1215" t="s">
        <v>0</v>
      </c>
      <c r="H1215" s="1">
        <f>DATE(2024,1,3)</f>
        <v>45294</v>
      </c>
    </row>
    <row r="1216" spans="1:8" x14ac:dyDescent="0.35">
      <c r="A1216" s="2" t="s">
        <v>3203</v>
      </c>
      <c r="B1216" s="2" t="s">
        <v>3204</v>
      </c>
      <c r="C1216" s="2" t="s">
        <v>3205</v>
      </c>
      <c r="D1216" t="s">
        <v>6126</v>
      </c>
      <c r="E1216" t="s">
        <v>7256</v>
      </c>
      <c r="F1216" t="s">
        <v>12</v>
      </c>
      <c r="G1216" t="s">
        <v>0</v>
      </c>
      <c r="H1216" s="1">
        <f>DATE(2024,1,3)</f>
        <v>45294</v>
      </c>
    </row>
    <row r="1217" spans="1:8" x14ac:dyDescent="0.35">
      <c r="A1217" s="2" t="s">
        <v>3206</v>
      </c>
      <c r="B1217" s="2" t="s">
        <v>3207</v>
      </c>
      <c r="C1217" s="2" t="s">
        <v>3208</v>
      </c>
      <c r="D1217" t="s">
        <v>6127</v>
      </c>
      <c r="E1217" t="s">
        <v>7257</v>
      </c>
      <c r="F1217" t="s">
        <v>12</v>
      </c>
      <c r="G1217" t="s">
        <v>0</v>
      </c>
      <c r="H1217" s="1">
        <f>DATE(2024,1,12)</f>
        <v>45303</v>
      </c>
    </row>
    <row r="1218" spans="1:8" x14ac:dyDescent="0.35">
      <c r="A1218" s="2" t="s">
        <v>3209</v>
      </c>
      <c r="B1218" s="2" t="s">
        <v>3210</v>
      </c>
      <c r="C1218" s="2" t="s">
        <v>3211</v>
      </c>
      <c r="D1218" t="s">
        <v>6128</v>
      </c>
      <c r="E1218" t="s">
        <v>7258</v>
      </c>
      <c r="F1218" t="s">
        <v>12</v>
      </c>
      <c r="G1218" t="s">
        <v>0</v>
      </c>
      <c r="H1218" s="1">
        <f>DATE(2024,1,4)</f>
        <v>45295</v>
      </c>
    </row>
    <row r="1219" spans="1:8" x14ac:dyDescent="0.35">
      <c r="A1219" s="2" t="s">
        <v>3212</v>
      </c>
      <c r="B1219" s="2" t="s">
        <v>3213</v>
      </c>
      <c r="C1219" s="2" t="s">
        <v>3214</v>
      </c>
      <c r="D1219" t="s">
        <v>6129</v>
      </c>
      <c r="E1219" t="s">
        <v>7259</v>
      </c>
      <c r="F1219" t="s">
        <v>12</v>
      </c>
      <c r="G1219" t="s">
        <v>0</v>
      </c>
      <c r="H1219" s="1">
        <f>DATE(2024,1,15)</f>
        <v>45306</v>
      </c>
    </row>
    <row r="1220" spans="1:8" x14ac:dyDescent="0.35">
      <c r="A1220" s="2" t="s">
        <v>3215</v>
      </c>
      <c r="B1220" s="2" t="s">
        <v>3216</v>
      </c>
      <c r="D1220" t="s">
        <v>5387</v>
      </c>
      <c r="E1220" t="e">
        <v>#VALUE!</v>
      </c>
      <c r="F1220" t="s">
        <v>12</v>
      </c>
      <c r="G1220" t="s">
        <v>0</v>
      </c>
      <c r="H1220" s="1">
        <f>DATE(2024,1,9)</f>
        <v>45300</v>
      </c>
    </row>
    <row r="1221" spans="1:8" x14ac:dyDescent="0.35">
      <c r="A1221" s="2" t="s">
        <v>3217</v>
      </c>
      <c r="B1221" s="2" t="s">
        <v>3218</v>
      </c>
      <c r="D1221" t="s">
        <v>5387</v>
      </c>
      <c r="E1221" t="e">
        <v>#VALUE!</v>
      </c>
      <c r="F1221" t="s">
        <v>12</v>
      </c>
      <c r="G1221" t="s">
        <v>0</v>
      </c>
      <c r="H1221" s="1">
        <f>DATE(2024,1,4)</f>
        <v>45295</v>
      </c>
    </row>
    <row r="1222" spans="1:8" x14ac:dyDescent="0.35">
      <c r="A1222" s="2" t="s">
        <v>3219</v>
      </c>
      <c r="B1222" s="2" t="s">
        <v>3220</v>
      </c>
      <c r="C1222" s="2" t="s">
        <v>3221</v>
      </c>
      <c r="D1222" t="s">
        <v>6130</v>
      </c>
      <c r="E1222" t="s">
        <v>7260</v>
      </c>
      <c r="F1222" t="s">
        <v>12</v>
      </c>
      <c r="G1222" t="s">
        <v>0</v>
      </c>
      <c r="H1222" s="1">
        <f>DATE(2024,1,11)</f>
        <v>45302</v>
      </c>
    </row>
    <row r="1223" spans="1:8" x14ac:dyDescent="0.35">
      <c r="A1223" s="2" t="s">
        <v>3222</v>
      </c>
      <c r="B1223" s="2" t="s">
        <v>3223</v>
      </c>
      <c r="D1223" t="s">
        <v>5387</v>
      </c>
      <c r="E1223" t="e">
        <v>#VALUE!</v>
      </c>
      <c r="F1223" t="s">
        <v>12</v>
      </c>
      <c r="G1223" t="s">
        <v>0</v>
      </c>
      <c r="H1223" s="1">
        <f>DATE(2024,1,4)</f>
        <v>45295</v>
      </c>
    </row>
    <row r="1224" spans="1:8" x14ac:dyDescent="0.35">
      <c r="A1224" s="2" t="s">
        <v>3224</v>
      </c>
      <c r="B1224" s="2" t="s">
        <v>3225</v>
      </c>
      <c r="C1224" s="2" t="s">
        <v>3226</v>
      </c>
      <c r="D1224" t="s">
        <v>5941</v>
      </c>
      <c r="E1224" t="s">
        <v>7071</v>
      </c>
      <c r="F1224" t="s">
        <v>12</v>
      </c>
      <c r="G1224" t="s">
        <v>0</v>
      </c>
      <c r="H1224" s="1">
        <f>DATE(2024,1,8)</f>
        <v>45299</v>
      </c>
    </row>
    <row r="1225" spans="1:8" x14ac:dyDescent="0.35">
      <c r="A1225" s="2" t="s">
        <v>3227</v>
      </c>
      <c r="B1225" s="2" t="s">
        <v>3228</v>
      </c>
      <c r="C1225" s="2" t="s">
        <v>3229</v>
      </c>
      <c r="D1225" t="s">
        <v>6131</v>
      </c>
      <c r="E1225" t="s">
        <v>7261</v>
      </c>
      <c r="F1225" t="s">
        <v>12</v>
      </c>
      <c r="G1225" t="s">
        <v>0</v>
      </c>
      <c r="H1225" s="1">
        <f>DATE(2024,1,8)</f>
        <v>45299</v>
      </c>
    </row>
    <row r="1226" spans="1:8" x14ac:dyDescent="0.35">
      <c r="A1226" s="2" t="s">
        <v>3230</v>
      </c>
      <c r="B1226" s="2" t="s">
        <v>3231</v>
      </c>
      <c r="C1226" s="2" t="s">
        <v>3232</v>
      </c>
      <c r="D1226" t="s">
        <v>6132</v>
      </c>
      <c r="E1226" t="s">
        <v>7262</v>
      </c>
      <c r="F1226" t="s">
        <v>12</v>
      </c>
      <c r="G1226" t="s">
        <v>0</v>
      </c>
      <c r="H1226" s="1">
        <f>DATE(2024,1,8)</f>
        <v>45299</v>
      </c>
    </row>
    <row r="1227" spans="1:8" x14ac:dyDescent="0.35">
      <c r="A1227" s="2" t="s">
        <v>3233</v>
      </c>
      <c r="B1227" s="2" t="s">
        <v>3234</v>
      </c>
      <c r="C1227" s="2" t="s">
        <v>3235</v>
      </c>
      <c r="D1227" t="s">
        <v>6133</v>
      </c>
      <c r="E1227" t="s">
        <v>7263</v>
      </c>
      <c r="F1227" t="s">
        <v>12</v>
      </c>
      <c r="G1227" t="s">
        <v>0</v>
      </c>
      <c r="H1227" s="1">
        <f>DATE(2024,1,8)</f>
        <v>45299</v>
      </c>
    </row>
    <row r="1228" spans="1:8" x14ac:dyDescent="0.35">
      <c r="A1228" s="2" t="s">
        <v>3236</v>
      </c>
      <c r="B1228" s="2" t="s">
        <v>3237</v>
      </c>
      <c r="C1228" s="2" t="s">
        <v>3238</v>
      </c>
      <c r="D1228" t="s">
        <v>6134</v>
      </c>
      <c r="E1228" t="s">
        <v>7264</v>
      </c>
      <c r="F1228" t="s">
        <v>12</v>
      </c>
      <c r="G1228" t="s">
        <v>0</v>
      </c>
      <c r="H1228" s="1">
        <f>DATE(2024,1,10)</f>
        <v>45301</v>
      </c>
    </row>
    <row r="1229" spans="1:8" x14ac:dyDescent="0.35">
      <c r="A1229" s="2" t="s">
        <v>3239</v>
      </c>
      <c r="B1229" s="2" t="s">
        <v>3240</v>
      </c>
      <c r="D1229" t="s">
        <v>5387</v>
      </c>
      <c r="E1229" t="e">
        <v>#VALUE!</v>
      </c>
      <c r="F1229" t="s">
        <v>12</v>
      </c>
      <c r="G1229" t="s">
        <v>0</v>
      </c>
      <c r="H1229" s="1">
        <f>DATE(2024,1,9)</f>
        <v>45300</v>
      </c>
    </row>
    <row r="1230" spans="1:8" x14ac:dyDescent="0.35">
      <c r="A1230" s="2" t="s">
        <v>3241</v>
      </c>
      <c r="B1230" s="2" t="s">
        <v>3242</v>
      </c>
      <c r="C1230" s="2" t="s">
        <v>3243</v>
      </c>
      <c r="D1230" t="s">
        <v>6135</v>
      </c>
      <c r="E1230" t="s">
        <v>7265</v>
      </c>
      <c r="F1230" t="s">
        <v>12</v>
      </c>
      <c r="G1230" t="s">
        <v>0</v>
      </c>
      <c r="H1230" s="1">
        <f>DATE(2024,1,9)</f>
        <v>45300</v>
      </c>
    </row>
    <row r="1231" spans="1:8" x14ac:dyDescent="0.35">
      <c r="A1231" s="2" t="s">
        <v>3244</v>
      </c>
      <c r="B1231" s="2" t="s">
        <v>3245</v>
      </c>
      <c r="D1231" t="s">
        <v>5387</v>
      </c>
      <c r="E1231" t="e">
        <v>#VALUE!</v>
      </c>
      <c r="F1231" t="s">
        <v>50</v>
      </c>
      <c r="G1231" t="s">
        <v>0</v>
      </c>
      <c r="H1231" s="1">
        <f>DATE(2024,1,10)</f>
        <v>45301</v>
      </c>
    </row>
    <row r="1232" spans="1:8" x14ac:dyDescent="0.35">
      <c r="A1232" s="2" t="s">
        <v>3246</v>
      </c>
      <c r="B1232" s="2" t="s">
        <v>3247</v>
      </c>
      <c r="D1232" t="s">
        <v>5387</v>
      </c>
      <c r="E1232" t="e">
        <v>#VALUE!</v>
      </c>
      <c r="F1232" t="s">
        <v>12</v>
      </c>
      <c r="G1232" t="s">
        <v>0</v>
      </c>
      <c r="H1232" s="1">
        <f>DATE(2024,1,19)</f>
        <v>45310</v>
      </c>
    </row>
    <row r="1233" spans="1:8" x14ac:dyDescent="0.35">
      <c r="A1233" s="2" t="s">
        <v>3248</v>
      </c>
      <c r="B1233" s="2" t="s">
        <v>3249</v>
      </c>
      <c r="C1233" s="2" t="s">
        <v>3250</v>
      </c>
      <c r="D1233" t="s">
        <v>6136</v>
      </c>
      <c r="E1233" t="s">
        <v>7266</v>
      </c>
      <c r="F1233" t="s">
        <v>12</v>
      </c>
      <c r="G1233" t="s">
        <v>0</v>
      </c>
      <c r="H1233" s="1">
        <f>DATE(2024,1,16)</f>
        <v>45307</v>
      </c>
    </row>
    <row r="1234" spans="1:8" x14ac:dyDescent="0.35">
      <c r="A1234" s="2" t="s">
        <v>3251</v>
      </c>
      <c r="B1234" s="2" t="s">
        <v>3252</v>
      </c>
      <c r="D1234" t="s">
        <v>5387</v>
      </c>
      <c r="E1234" t="e">
        <v>#VALUE!</v>
      </c>
      <c r="F1234" t="s">
        <v>12</v>
      </c>
      <c r="G1234" t="s">
        <v>0</v>
      </c>
      <c r="H1234" s="1">
        <f>DATE(2024,1,19)</f>
        <v>45310</v>
      </c>
    </row>
    <row r="1235" spans="1:8" x14ac:dyDescent="0.35">
      <c r="A1235" s="2" t="s">
        <v>3253</v>
      </c>
      <c r="B1235" s="2" t="s">
        <v>3254</v>
      </c>
      <c r="D1235" t="s">
        <v>5387</v>
      </c>
      <c r="E1235" t="e">
        <v>#VALUE!</v>
      </c>
      <c r="F1235" t="s">
        <v>12</v>
      </c>
      <c r="G1235" t="s">
        <v>0</v>
      </c>
      <c r="H1235" s="1">
        <f>DATE(2024,1,10)</f>
        <v>45301</v>
      </c>
    </row>
    <row r="1236" spans="1:8" x14ac:dyDescent="0.35">
      <c r="A1236" s="2" t="s">
        <v>3255</v>
      </c>
      <c r="B1236" s="2" t="s">
        <v>3256</v>
      </c>
      <c r="C1236" s="2" t="s">
        <v>3257</v>
      </c>
      <c r="D1236" t="s">
        <v>6137</v>
      </c>
      <c r="E1236" t="s">
        <v>7267</v>
      </c>
      <c r="F1236" t="s">
        <v>12</v>
      </c>
      <c r="G1236" t="s">
        <v>0</v>
      </c>
      <c r="H1236" s="1">
        <f>DATE(2024,1,19)</f>
        <v>45310</v>
      </c>
    </row>
    <row r="1237" spans="1:8" x14ac:dyDescent="0.35">
      <c r="A1237" s="2" t="s">
        <v>3258</v>
      </c>
      <c r="B1237" s="2" t="s">
        <v>3259</v>
      </c>
      <c r="C1237" s="2" t="s">
        <v>3260</v>
      </c>
      <c r="D1237" t="s">
        <v>6138</v>
      </c>
      <c r="E1237" t="s">
        <v>7268</v>
      </c>
      <c r="F1237" t="s">
        <v>12</v>
      </c>
      <c r="G1237" t="s">
        <v>0</v>
      </c>
      <c r="H1237" s="1">
        <f>DATE(2024,1,19)</f>
        <v>45310</v>
      </c>
    </row>
    <row r="1238" spans="1:8" x14ac:dyDescent="0.35">
      <c r="A1238" s="2" t="s">
        <v>3261</v>
      </c>
      <c r="B1238" s="2" t="s">
        <v>3262</v>
      </c>
      <c r="C1238" s="2" t="s">
        <v>3263</v>
      </c>
      <c r="D1238" t="s">
        <v>6139</v>
      </c>
      <c r="E1238" t="s">
        <v>7269</v>
      </c>
      <c r="F1238" t="s">
        <v>12</v>
      </c>
      <c r="G1238" t="s">
        <v>0</v>
      </c>
      <c r="H1238" s="1">
        <f>DATE(2024,1,22)</f>
        <v>45313</v>
      </c>
    </row>
    <row r="1239" spans="1:8" x14ac:dyDescent="0.35">
      <c r="A1239" s="2" t="s">
        <v>3264</v>
      </c>
      <c r="B1239" s="2" t="s">
        <v>3265</v>
      </c>
      <c r="C1239" s="2" t="s">
        <v>2165</v>
      </c>
      <c r="D1239" t="s">
        <v>5885</v>
      </c>
      <c r="E1239" t="s">
        <v>7015</v>
      </c>
      <c r="F1239" t="s">
        <v>12</v>
      </c>
      <c r="G1239" t="s">
        <v>0</v>
      </c>
      <c r="H1239" s="1">
        <f>DATE(2024,1,23)</f>
        <v>45314</v>
      </c>
    </row>
    <row r="1240" spans="1:8" x14ac:dyDescent="0.35">
      <c r="A1240" s="2" t="s">
        <v>3266</v>
      </c>
      <c r="B1240" s="2" t="s">
        <v>3267</v>
      </c>
      <c r="C1240" s="2" t="s">
        <v>3268</v>
      </c>
      <c r="D1240" t="s">
        <v>6140</v>
      </c>
      <c r="E1240" t="s">
        <v>7270</v>
      </c>
      <c r="F1240" t="s">
        <v>12</v>
      </c>
      <c r="G1240" t="s">
        <v>0</v>
      </c>
      <c r="H1240" s="1">
        <f>DATE(2024,1,23)</f>
        <v>45314</v>
      </c>
    </row>
    <row r="1241" spans="1:8" x14ac:dyDescent="0.35">
      <c r="A1241" s="2" t="s">
        <v>3269</v>
      </c>
      <c r="B1241" s="2" t="s">
        <v>3270</v>
      </c>
      <c r="C1241" s="2" t="s">
        <v>3271</v>
      </c>
      <c r="D1241" t="s">
        <v>6141</v>
      </c>
      <c r="E1241" t="s">
        <v>7271</v>
      </c>
      <c r="F1241" t="s">
        <v>12</v>
      </c>
      <c r="G1241" t="s">
        <v>0</v>
      </c>
      <c r="H1241" s="1">
        <f>DATE(2024,1,24)</f>
        <v>45315</v>
      </c>
    </row>
    <row r="1242" spans="1:8" x14ac:dyDescent="0.35">
      <c r="A1242" s="2" t="s">
        <v>3272</v>
      </c>
      <c r="B1242" s="2" t="s">
        <v>3273</v>
      </c>
      <c r="D1242" t="s">
        <v>5387</v>
      </c>
      <c r="E1242" t="e">
        <v>#VALUE!</v>
      </c>
      <c r="F1242" t="s">
        <v>12</v>
      </c>
      <c r="G1242" t="s">
        <v>0</v>
      </c>
      <c r="H1242" s="1">
        <f>DATE(2024,1,24)</f>
        <v>45315</v>
      </c>
    </row>
    <row r="1243" spans="1:8" x14ac:dyDescent="0.35">
      <c r="A1243" s="2" t="s">
        <v>3274</v>
      </c>
      <c r="B1243" s="2" t="s">
        <v>3275</v>
      </c>
      <c r="D1243" t="s">
        <v>5387</v>
      </c>
      <c r="E1243" t="e">
        <v>#VALUE!</v>
      </c>
      <c r="F1243" t="s">
        <v>12</v>
      </c>
      <c r="G1243" t="s">
        <v>0</v>
      </c>
      <c r="H1243" s="1">
        <f>DATE(2024,1,26)</f>
        <v>45317</v>
      </c>
    </row>
    <row r="1244" spans="1:8" x14ac:dyDescent="0.35">
      <c r="A1244" s="2" t="s">
        <v>3276</v>
      </c>
      <c r="B1244" s="2" t="s">
        <v>3277</v>
      </c>
      <c r="C1244" s="2" t="s">
        <v>3278</v>
      </c>
      <c r="D1244" t="s">
        <v>6142</v>
      </c>
      <c r="E1244" t="s">
        <v>7272</v>
      </c>
      <c r="F1244" t="s">
        <v>12</v>
      </c>
      <c r="G1244" t="s">
        <v>0</v>
      </c>
      <c r="H1244" s="1">
        <f>DATE(2024,1,26)</f>
        <v>45317</v>
      </c>
    </row>
    <row r="1245" spans="1:8" x14ac:dyDescent="0.35">
      <c r="A1245" s="2" t="s">
        <v>3279</v>
      </c>
      <c r="B1245" s="2" t="s">
        <v>3280</v>
      </c>
      <c r="D1245" t="s">
        <v>5387</v>
      </c>
      <c r="E1245" t="e">
        <v>#VALUE!</v>
      </c>
      <c r="F1245" t="s">
        <v>12</v>
      </c>
      <c r="G1245" t="s">
        <v>0</v>
      </c>
      <c r="H1245" s="1">
        <f>DATE(2024,1,26)</f>
        <v>45317</v>
      </c>
    </row>
    <row r="1246" spans="1:8" x14ac:dyDescent="0.35">
      <c r="A1246" s="2" t="s">
        <v>3281</v>
      </c>
      <c r="B1246" s="2" t="s">
        <v>3282</v>
      </c>
      <c r="C1246" s="2" t="s">
        <v>3283</v>
      </c>
      <c r="D1246" t="s">
        <v>6143</v>
      </c>
      <c r="E1246" t="s">
        <v>7273</v>
      </c>
      <c r="F1246" t="s">
        <v>12</v>
      </c>
      <c r="G1246" t="s">
        <v>0</v>
      </c>
      <c r="H1246" s="1">
        <f>DATE(2024,2,2)</f>
        <v>45324</v>
      </c>
    </row>
    <row r="1247" spans="1:8" x14ac:dyDescent="0.35">
      <c r="A1247" s="2" t="s">
        <v>3284</v>
      </c>
      <c r="B1247" s="2" t="s">
        <v>3285</v>
      </c>
      <c r="D1247" t="s">
        <v>5387</v>
      </c>
      <c r="E1247" t="e">
        <v>#VALUE!</v>
      </c>
      <c r="F1247" t="s">
        <v>12</v>
      </c>
      <c r="G1247" t="s">
        <v>0</v>
      </c>
      <c r="H1247" s="1">
        <f>DATE(2024,2,2)</f>
        <v>45324</v>
      </c>
    </row>
    <row r="1248" spans="1:8" x14ac:dyDescent="0.35">
      <c r="A1248" s="2" t="s">
        <v>3286</v>
      </c>
      <c r="B1248" s="2" t="s">
        <v>3287</v>
      </c>
      <c r="D1248" t="s">
        <v>5387</v>
      </c>
      <c r="E1248" t="e">
        <v>#VALUE!</v>
      </c>
      <c r="F1248" t="s">
        <v>12</v>
      </c>
      <c r="G1248" t="s">
        <v>0</v>
      </c>
      <c r="H1248" s="1">
        <f>DATE(2024,2,2)</f>
        <v>45324</v>
      </c>
    </row>
    <row r="1249" spans="1:8" x14ac:dyDescent="0.35">
      <c r="A1249" s="2" t="s">
        <v>3288</v>
      </c>
      <c r="B1249" s="2" t="s">
        <v>3289</v>
      </c>
      <c r="D1249" t="s">
        <v>5387</v>
      </c>
      <c r="E1249" t="e">
        <v>#VALUE!</v>
      </c>
      <c r="F1249" t="s">
        <v>12</v>
      </c>
      <c r="G1249" t="s">
        <v>0</v>
      </c>
      <c r="H1249" s="1">
        <f>DATE(2024,2,6)</f>
        <v>45328</v>
      </c>
    </row>
    <row r="1250" spans="1:8" x14ac:dyDescent="0.35">
      <c r="A1250" s="2" t="s">
        <v>3290</v>
      </c>
      <c r="B1250" s="2" t="s">
        <v>3291</v>
      </c>
      <c r="D1250" t="s">
        <v>5387</v>
      </c>
      <c r="E1250" t="e">
        <v>#VALUE!</v>
      </c>
      <c r="F1250" t="s">
        <v>12</v>
      </c>
      <c r="G1250" t="s">
        <v>0</v>
      </c>
      <c r="H1250" s="1">
        <f>DATE(2023,5,4)</f>
        <v>45050</v>
      </c>
    </row>
    <row r="1251" spans="1:8" x14ac:dyDescent="0.35">
      <c r="A1251" s="2" t="s">
        <v>3292</v>
      </c>
      <c r="B1251" s="2" t="s">
        <v>3293</v>
      </c>
      <c r="C1251" s="2" t="s">
        <v>3294</v>
      </c>
      <c r="D1251" t="s">
        <v>6144</v>
      </c>
      <c r="E1251" t="s">
        <v>7274</v>
      </c>
      <c r="F1251" t="s">
        <v>12</v>
      </c>
      <c r="G1251" t="s">
        <v>0</v>
      </c>
      <c r="H1251" s="1">
        <f>DATE(2023,5,5)</f>
        <v>45051</v>
      </c>
    </row>
    <row r="1252" spans="1:8" x14ac:dyDescent="0.35">
      <c r="A1252" s="2" t="s">
        <v>3295</v>
      </c>
      <c r="B1252" s="2" t="s">
        <v>3296</v>
      </c>
      <c r="C1252" s="2" t="s">
        <v>3297</v>
      </c>
      <c r="D1252" t="s">
        <v>6145</v>
      </c>
      <c r="E1252" t="s">
        <v>7275</v>
      </c>
      <c r="F1252" t="s">
        <v>12</v>
      </c>
      <c r="G1252" t="s">
        <v>0</v>
      </c>
      <c r="H1252" s="1">
        <f>DATE(2023,5,9)</f>
        <v>45055</v>
      </c>
    </row>
    <row r="1253" spans="1:8" x14ac:dyDescent="0.35">
      <c r="A1253" s="2" t="s">
        <v>3298</v>
      </c>
      <c r="B1253" s="2" t="s">
        <v>3299</v>
      </c>
      <c r="C1253" s="2" t="s">
        <v>3300</v>
      </c>
      <c r="D1253" t="s">
        <v>6093</v>
      </c>
      <c r="E1253" t="s">
        <v>7223</v>
      </c>
      <c r="F1253" t="s">
        <v>12</v>
      </c>
      <c r="G1253" t="s">
        <v>0</v>
      </c>
      <c r="H1253" s="1">
        <f>DATE(2023,5,11)</f>
        <v>45057</v>
      </c>
    </row>
    <row r="1254" spans="1:8" x14ac:dyDescent="0.35">
      <c r="A1254" s="2" t="s">
        <v>3301</v>
      </c>
      <c r="B1254" s="2" t="s">
        <v>3302</v>
      </c>
      <c r="C1254" s="2" t="s">
        <v>3303</v>
      </c>
      <c r="D1254" t="s">
        <v>6093</v>
      </c>
      <c r="E1254" t="s">
        <v>7223</v>
      </c>
      <c r="F1254" t="s">
        <v>12</v>
      </c>
      <c r="G1254" t="s">
        <v>0</v>
      </c>
      <c r="H1254" s="1">
        <f>DATE(2023,5,11)</f>
        <v>45057</v>
      </c>
    </row>
    <row r="1255" spans="1:8" x14ac:dyDescent="0.35">
      <c r="A1255" s="2" t="s">
        <v>3304</v>
      </c>
      <c r="B1255" s="2" t="s">
        <v>3305</v>
      </c>
      <c r="C1255" s="2" t="s">
        <v>3306</v>
      </c>
      <c r="D1255" t="s">
        <v>6146</v>
      </c>
      <c r="E1255" t="s">
        <v>7276</v>
      </c>
      <c r="F1255" t="s">
        <v>12</v>
      </c>
      <c r="G1255" t="s">
        <v>0</v>
      </c>
      <c r="H1255" s="1">
        <f>DATE(2023,5,11)</f>
        <v>45057</v>
      </c>
    </row>
    <row r="1256" spans="1:8" x14ac:dyDescent="0.35">
      <c r="A1256" s="2" t="s">
        <v>3307</v>
      </c>
      <c r="B1256" s="2" t="s">
        <v>3308</v>
      </c>
      <c r="C1256" s="2" t="s">
        <v>3309</v>
      </c>
      <c r="D1256" t="s">
        <v>5762</v>
      </c>
      <c r="E1256" t="s">
        <v>6892</v>
      </c>
      <c r="F1256" t="s">
        <v>12</v>
      </c>
      <c r="G1256" t="s">
        <v>0</v>
      </c>
      <c r="H1256" s="1">
        <f>DATE(2023,5,11)</f>
        <v>45057</v>
      </c>
    </row>
    <row r="1257" spans="1:8" x14ac:dyDescent="0.35">
      <c r="A1257" s="2" t="s">
        <v>3310</v>
      </c>
      <c r="B1257" s="2" t="s">
        <v>3311</v>
      </c>
      <c r="C1257" s="2" t="s">
        <v>3312</v>
      </c>
      <c r="D1257" t="s">
        <v>6147</v>
      </c>
      <c r="E1257" t="s">
        <v>7277</v>
      </c>
      <c r="F1257" t="s">
        <v>12</v>
      </c>
      <c r="G1257" t="s">
        <v>0</v>
      </c>
      <c r="H1257" s="1">
        <f>DATE(2023,10,11)</f>
        <v>45210</v>
      </c>
    </row>
    <row r="1258" spans="1:8" x14ac:dyDescent="0.35">
      <c r="A1258" s="2" t="s">
        <v>3313</v>
      </c>
      <c r="B1258" s="2" t="s">
        <v>3314</v>
      </c>
      <c r="C1258" s="2" t="s">
        <v>3315</v>
      </c>
      <c r="D1258" t="s">
        <v>6148</v>
      </c>
      <c r="E1258" t="s">
        <v>7278</v>
      </c>
      <c r="F1258" t="s">
        <v>12</v>
      </c>
      <c r="G1258" t="s">
        <v>0</v>
      </c>
      <c r="H1258" s="1">
        <f>DATE(2023,5,17)</f>
        <v>45063</v>
      </c>
    </row>
    <row r="1259" spans="1:8" x14ac:dyDescent="0.35">
      <c r="A1259" s="2" t="s">
        <v>3316</v>
      </c>
      <c r="B1259" s="2" t="s">
        <v>3317</v>
      </c>
      <c r="C1259" s="2" t="s">
        <v>3318</v>
      </c>
      <c r="D1259" t="s">
        <v>6149</v>
      </c>
      <c r="E1259" t="s">
        <v>7279</v>
      </c>
      <c r="F1259" t="s">
        <v>12</v>
      </c>
      <c r="G1259" t="s">
        <v>0</v>
      </c>
      <c r="H1259" s="1">
        <f>DATE(2023,5,17)</f>
        <v>45063</v>
      </c>
    </row>
    <row r="1260" spans="1:8" x14ac:dyDescent="0.35">
      <c r="A1260" s="2" t="s">
        <v>3319</v>
      </c>
      <c r="B1260" s="2" t="s">
        <v>3320</v>
      </c>
      <c r="C1260" s="2" t="s">
        <v>3321</v>
      </c>
      <c r="D1260" t="s">
        <v>6150</v>
      </c>
      <c r="E1260" t="s">
        <v>7280</v>
      </c>
      <c r="F1260" t="s">
        <v>12</v>
      </c>
      <c r="G1260" t="s">
        <v>0</v>
      </c>
      <c r="H1260" s="1">
        <f>DATE(2023,5,19)</f>
        <v>45065</v>
      </c>
    </row>
    <row r="1261" spans="1:8" x14ac:dyDescent="0.35">
      <c r="A1261" s="2" t="s">
        <v>3322</v>
      </c>
      <c r="B1261" s="2" t="s">
        <v>3323</v>
      </c>
      <c r="C1261" s="2" t="s">
        <v>3324</v>
      </c>
      <c r="D1261" t="s">
        <v>6151</v>
      </c>
      <c r="E1261" t="s">
        <v>7281</v>
      </c>
      <c r="F1261" t="s">
        <v>12</v>
      </c>
      <c r="G1261" t="s">
        <v>0</v>
      </c>
      <c r="H1261" s="1">
        <f>DATE(2023,5,22)</f>
        <v>45068</v>
      </c>
    </row>
    <row r="1262" spans="1:8" x14ac:dyDescent="0.35">
      <c r="A1262" s="2" t="s">
        <v>3325</v>
      </c>
      <c r="B1262" s="2" t="s">
        <v>3326</v>
      </c>
      <c r="D1262" t="s">
        <v>5387</v>
      </c>
      <c r="E1262" t="e">
        <v>#VALUE!</v>
      </c>
      <c r="F1262" t="s">
        <v>12</v>
      </c>
      <c r="G1262" t="s">
        <v>0</v>
      </c>
      <c r="H1262" s="1">
        <f>DATE(2023,5,22)</f>
        <v>45068</v>
      </c>
    </row>
    <row r="1263" spans="1:8" x14ac:dyDescent="0.35">
      <c r="A1263" s="2" t="s">
        <v>3327</v>
      </c>
      <c r="B1263" s="2" t="s">
        <v>3328</v>
      </c>
      <c r="C1263" s="2" t="s">
        <v>3329</v>
      </c>
      <c r="D1263" t="s">
        <v>6152</v>
      </c>
      <c r="E1263" t="s">
        <v>7282</v>
      </c>
      <c r="F1263" t="s">
        <v>12</v>
      </c>
      <c r="G1263" t="s">
        <v>0</v>
      </c>
      <c r="H1263" s="1">
        <f t="shared" ref="H1263:H1269" si="14">DATE(2023,5,24)</f>
        <v>45070</v>
      </c>
    </row>
    <row r="1264" spans="1:8" x14ac:dyDescent="0.35">
      <c r="A1264" s="2" t="s">
        <v>3330</v>
      </c>
      <c r="B1264" s="2" t="s">
        <v>3331</v>
      </c>
      <c r="C1264" s="2" t="s">
        <v>3332</v>
      </c>
      <c r="D1264" t="s">
        <v>6153</v>
      </c>
      <c r="E1264" t="s">
        <v>7283</v>
      </c>
      <c r="F1264" t="s">
        <v>12</v>
      </c>
      <c r="G1264" t="s">
        <v>0</v>
      </c>
      <c r="H1264" s="1">
        <f t="shared" si="14"/>
        <v>45070</v>
      </c>
    </row>
    <row r="1265" spans="1:8" x14ac:dyDescent="0.35">
      <c r="A1265" s="2" t="s">
        <v>3333</v>
      </c>
      <c r="B1265" s="2" t="s">
        <v>3334</v>
      </c>
      <c r="C1265" s="2" t="s">
        <v>3335</v>
      </c>
      <c r="D1265" t="s">
        <v>6093</v>
      </c>
      <c r="E1265" t="s">
        <v>7223</v>
      </c>
      <c r="F1265" t="s">
        <v>12</v>
      </c>
      <c r="G1265" t="s">
        <v>0</v>
      </c>
      <c r="H1265" s="1">
        <f t="shared" si="14"/>
        <v>45070</v>
      </c>
    </row>
    <row r="1266" spans="1:8" x14ac:dyDescent="0.35">
      <c r="A1266" s="2" t="s">
        <v>3336</v>
      </c>
      <c r="B1266" s="2" t="s">
        <v>3337</v>
      </c>
      <c r="C1266" s="2" t="s">
        <v>3338</v>
      </c>
      <c r="D1266" t="s">
        <v>5762</v>
      </c>
      <c r="E1266" t="s">
        <v>6892</v>
      </c>
      <c r="F1266" t="s">
        <v>12</v>
      </c>
      <c r="G1266" t="s">
        <v>0</v>
      </c>
      <c r="H1266" s="1">
        <f t="shared" si="14"/>
        <v>45070</v>
      </c>
    </row>
    <row r="1267" spans="1:8" x14ac:dyDescent="0.35">
      <c r="A1267" s="2" t="s">
        <v>3339</v>
      </c>
      <c r="B1267" s="2" t="s">
        <v>3340</v>
      </c>
      <c r="C1267" s="2" t="s">
        <v>3341</v>
      </c>
      <c r="D1267" t="s">
        <v>5762</v>
      </c>
      <c r="E1267" t="s">
        <v>6892</v>
      </c>
      <c r="F1267" t="s">
        <v>12</v>
      </c>
      <c r="G1267" t="s">
        <v>0</v>
      </c>
      <c r="H1267" s="1">
        <f t="shared" si="14"/>
        <v>45070</v>
      </c>
    </row>
    <row r="1268" spans="1:8" x14ac:dyDescent="0.35">
      <c r="A1268" s="2" t="s">
        <v>3342</v>
      </c>
      <c r="B1268" s="2" t="s">
        <v>3343</v>
      </c>
      <c r="C1268" s="2" t="s">
        <v>3344</v>
      </c>
      <c r="D1268" t="s">
        <v>6154</v>
      </c>
      <c r="E1268" t="s">
        <v>7284</v>
      </c>
      <c r="F1268" t="s">
        <v>12</v>
      </c>
      <c r="G1268" t="s">
        <v>0</v>
      </c>
      <c r="H1268" s="1">
        <f t="shared" si="14"/>
        <v>45070</v>
      </c>
    </row>
    <row r="1269" spans="1:8" x14ac:dyDescent="0.35">
      <c r="A1269" s="2" t="s">
        <v>3345</v>
      </c>
      <c r="B1269" s="2" t="s">
        <v>3346</v>
      </c>
      <c r="D1269" t="s">
        <v>5387</v>
      </c>
      <c r="E1269" t="e">
        <v>#VALUE!</v>
      </c>
      <c r="F1269" t="s">
        <v>12</v>
      </c>
      <c r="G1269" t="s">
        <v>0</v>
      </c>
      <c r="H1269" s="1">
        <f t="shared" si="14"/>
        <v>45070</v>
      </c>
    </row>
    <row r="1270" spans="1:8" x14ac:dyDescent="0.35">
      <c r="A1270" s="2" t="s">
        <v>3347</v>
      </c>
      <c r="B1270" s="2" t="s">
        <v>3348</v>
      </c>
      <c r="D1270" t="s">
        <v>5387</v>
      </c>
      <c r="E1270" t="e">
        <v>#VALUE!</v>
      </c>
      <c r="F1270" t="s">
        <v>1245</v>
      </c>
      <c r="G1270" t="s">
        <v>0</v>
      </c>
      <c r="H1270" s="1">
        <f>DATE(2023,10,6)</f>
        <v>45205</v>
      </c>
    </row>
    <row r="1271" spans="1:8" x14ac:dyDescent="0.35">
      <c r="A1271" s="2" t="s">
        <v>3349</v>
      </c>
      <c r="B1271" s="2" t="s">
        <v>3350</v>
      </c>
      <c r="D1271" t="s">
        <v>5387</v>
      </c>
      <c r="E1271" t="e">
        <v>#VALUE!</v>
      </c>
      <c r="F1271" t="s">
        <v>12</v>
      </c>
      <c r="G1271" t="s">
        <v>0</v>
      </c>
      <c r="H1271" s="1">
        <f>DATE(2023,10,6)</f>
        <v>45205</v>
      </c>
    </row>
    <row r="1272" spans="1:8" x14ac:dyDescent="0.35">
      <c r="A1272" s="2" t="s">
        <v>3351</v>
      </c>
      <c r="B1272" s="2" t="s">
        <v>3352</v>
      </c>
      <c r="D1272" t="s">
        <v>5387</v>
      </c>
      <c r="E1272" t="e">
        <v>#VALUE!</v>
      </c>
      <c r="F1272" t="s">
        <v>12</v>
      </c>
      <c r="G1272" t="s">
        <v>0</v>
      </c>
      <c r="H1272" s="1">
        <f>DATE(2023,10,6)</f>
        <v>45205</v>
      </c>
    </row>
    <row r="1273" spans="1:8" x14ac:dyDescent="0.35">
      <c r="A1273" s="2" t="s">
        <v>3353</v>
      </c>
      <c r="B1273" s="2" t="s">
        <v>3354</v>
      </c>
      <c r="C1273" s="2" t="s">
        <v>3355</v>
      </c>
      <c r="D1273" t="s">
        <v>6155</v>
      </c>
      <c r="E1273" t="s">
        <v>7285</v>
      </c>
      <c r="F1273" t="s">
        <v>12</v>
      </c>
      <c r="G1273" t="s">
        <v>0</v>
      </c>
      <c r="H1273" s="1">
        <f>DATE(2023,7,24)</f>
        <v>45131</v>
      </c>
    </row>
    <row r="1274" spans="1:8" x14ac:dyDescent="0.35">
      <c r="A1274" s="2" t="s">
        <v>3356</v>
      </c>
      <c r="B1274" s="2" t="s">
        <v>3357</v>
      </c>
      <c r="C1274" s="2" t="s">
        <v>3358</v>
      </c>
      <c r="D1274" t="s">
        <v>6156</v>
      </c>
      <c r="E1274" t="s">
        <v>7286</v>
      </c>
      <c r="F1274" t="s">
        <v>12</v>
      </c>
      <c r="G1274" t="s">
        <v>0</v>
      </c>
      <c r="H1274" s="1">
        <f>DATE(2023,11,30)</f>
        <v>45260</v>
      </c>
    </row>
    <row r="1275" spans="1:8" x14ac:dyDescent="0.35">
      <c r="A1275" s="2" t="s">
        <v>3359</v>
      </c>
      <c r="B1275" s="2" t="s">
        <v>3360</v>
      </c>
      <c r="D1275" t="s">
        <v>5387</v>
      </c>
      <c r="E1275" t="e">
        <v>#VALUE!</v>
      </c>
      <c r="F1275" t="s">
        <v>12</v>
      </c>
      <c r="G1275" t="s">
        <v>0</v>
      </c>
      <c r="H1275" s="1">
        <f>DATE(2023,6,6)</f>
        <v>45083</v>
      </c>
    </row>
    <row r="1276" spans="1:8" x14ac:dyDescent="0.35">
      <c r="A1276" s="2" t="s">
        <v>3361</v>
      </c>
      <c r="B1276" s="2" t="s">
        <v>3362</v>
      </c>
      <c r="D1276" t="s">
        <v>5387</v>
      </c>
      <c r="E1276" t="e">
        <v>#VALUE!</v>
      </c>
      <c r="F1276" t="s">
        <v>12</v>
      </c>
      <c r="G1276" t="s">
        <v>0</v>
      </c>
      <c r="H1276" s="1">
        <f>DATE(2023,6,7)</f>
        <v>45084</v>
      </c>
    </row>
    <row r="1277" spans="1:8" x14ac:dyDescent="0.35">
      <c r="A1277" s="2" t="s">
        <v>3363</v>
      </c>
      <c r="B1277" s="2" t="s">
        <v>3364</v>
      </c>
      <c r="C1277" s="2" t="s">
        <v>3365</v>
      </c>
      <c r="D1277" t="s">
        <v>6157</v>
      </c>
      <c r="E1277" t="s">
        <v>7287</v>
      </c>
      <c r="F1277" t="s">
        <v>12</v>
      </c>
      <c r="G1277" t="s">
        <v>0</v>
      </c>
      <c r="H1277" s="1">
        <f>DATE(2023,6,7)</f>
        <v>45084</v>
      </c>
    </row>
    <row r="1278" spans="1:8" x14ac:dyDescent="0.35">
      <c r="A1278" s="2" t="s">
        <v>3366</v>
      </c>
      <c r="B1278" s="2" t="s">
        <v>3174</v>
      </c>
      <c r="C1278" s="2" t="s">
        <v>3367</v>
      </c>
      <c r="D1278" t="s">
        <v>6158</v>
      </c>
      <c r="E1278" t="s">
        <v>7288</v>
      </c>
      <c r="F1278" t="s">
        <v>12</v>
      </c>
      <c r="G1278" t="s">
        <v>0</v>
      </c>
      <c r="H1278" s="1">
        <f>DATE(2023,6,7)</f>
        <v>45084</v>
      </c>
    </row>
    <row r="1279" spans="1:8" x14ac:dyDescent="0.35">
      <c r="A1279" s="2" t="s">
        <v>3368</v>
      </c>
      <c r="B1279" s="2" t="s">
        <v>3369</v>
      </c>
      <c r="C1279" s="2" t="s">
        <v>3370</v>
      </c>
      <c r="D1279" t="s">
        <v>6159</v>
      </c>
      <c r="E1279" t="s">
        <v>7289</v>
      </c>
      <c r="F1279" t="s">
        <v>12</v>
      </c>
      <c r="G1279" t="s">
        <v>0</v>
      </c>
      <c r="H1279" s="1">
        <f>DATE(2023,12,8)</f>
        <v>45268</v>
      </c>
    </row>
    <row r="1280" spans="1:8" x14ac:dyDescent="0.35">
      <c r="A1280" s="2" t="s">
        <v>3371</v>
      </c>
      <c r="B1280" s="2" t="s">
        <v>3372</v>
      </c>
      <c r="C1280" s="2" t="s">
        <v>3373</v>
      </c>
      <c r="D1280" t="s">
        <v>6158</v>
      </c>
      <c r="E1280" t="s">
        <v>7288</v>
      </c>
      <c r="F1280" t="s">
        <v>12</v>
      </c>
      <c r="G1280" t="s">
        <v>0</v>
      </c>
      <c r="H1280" s="1">
        <f>DATE(2023,7,5)</f>
        <v>45112</v>
      </c>
    </row>
    <row r="1281" spans="1:8" x14ac:dyDescent="0.35">
      <c r="A1281" s="2" t="s">
        <v>3374</v>
      </c>
      <c r="B1281" s="2" t="s">
        <v>3375</v>
      </c>
      <c r="C1281" s="2" t="s">
        <v>3376</v>
      </c>
      <c r="D1281" t="s">
        <v>6158</v>
      </c>
      <c r="E1281" t="s">
        <v>7288</v>
      </c>
      <c r="F1281" t="s">
        <v>12</v>
      </c>
      <c r="G1281" t="s">
        <v>0</v>
      </c>
      <c r="H1281" s="1">
        <f>DATE(2023,7,5)</f>
        <v>45112</v>
      </c>
    </row>
    <row r="1282" spans="1:8" x14ac:dyDescent="0.35">
      <c r="A1282" s="2" t="s">
        <v>3377</v>
      </c>
      <c r="B1282" s="2" t="s">
        <v>3378</v>
      </c>
      <c r="C1282" s="2" t="s">
        <v>3379</v>
      </c>
      <c r="D1282" t="s">
        <v>6157</v>
      </c>
      <c r="E1282" t="s">
        <v>7287</v>
      </c>
      <c r="F1282" t="s">
        <v>12</v>
      </c>
      <c r="G1282" t="s">
        <v>0</v>
      </c>
      <c r="H1282" s="1">
        <f>DATE(2023,7,5)</f>
        <v>45112</v>
      </c>
    </row>
    <row r="1283" spans="1:8" x14ac:dyDescent="0.35">
      <c r="A1283" s="2" t="s">
        <v>3380</v>
      </c>
      <c r="B1283" s="2" t="s">
        <v>3381</v>
      </c>
      <c r="D1283" t="s">
        <v>5387</v>
      </c>
      <c r="E1283" t="e">
        <v>#VALUE!</v>
      </c>
      <c r="F1283" t="s">
        <v>12</v>
      </c>
      <c r="G1283" t="s">
        <v>0</v>
      </c>
      <c r="H1283" s="1">
        <f>DATE(2023,6,9)</f>
        <v>45086</v>
      </c>
    </row>
    <row r="1284" spans="1:8" x14ac:dyDescent="0.35">
      <c r="A1284" s="2" t="s">
        <v>3382</v>
      </c>
      <c r="B1284" s="2" t="s">
        <v>3383</v>
      </c>
      <c r="D1284" t="s">
        <v>5387</v>
      </c>
      <c r="E1284" t="e">
        <v>#VALUE!</v>
      </c>
      <c r="F1284" t="s">
        <v>12</v>
      </c>
      <c r="G1284" t="s">
        <v>0</v>
      </c>
      <c r="H1284" s="1">
        <f>DATE(2023,12,15)</f>
        <v>45275</v>
      </c>
    </row>
    <row r="1285" spans="1:8" x14ac:dyDescent="0.35">
      <c r="A1285" s="2" t="s">
        <v>3384</v>
      </c>
      <c r="B1285" s="2" t="s">
        <v>3385</v>
      </c>
      <c r="D1285" t="s">
        <v>5387</v>
      </c>
      <c r="E1285" t="e">
        <v>#VALUE!</v>
      </c>
      <c r="F1285" t="s">
        <v>12</v>
      </c>
      <c r="G1285" t="s">
        <v>0</v>
      </c>
      <c r="H1285" s="1">
        <f>DATE(2023,6,9)</f>
        <v>45086</v>
      </c>
    </row>
    <row r="1286" spans="1:8" x14ac:dyDescent="0.35">
      <c r="A1286" s="2" t="s">
        <v>3386</v>
      </c>
      <c r="B1286" s="2" t="s">
        <v>3387</v>
      </c>
      <c r="D1286" t="s">
        <v>5387</v>
      </c>
      <c r="E1286" t="e">
        <v>#VALUE!</v>
      </c>
      <c r="F1286" t="s">
        <v>12</v>
      </c>
      <c r="G1286" t="s">
        <v>0</v>
      </c>
      <c r="H1286" s="1">
        <f>DATE(2023,6,9)</f>
        <v>45086</v>
      </c>
    </row>
    <row r="1287" spans="1:8" x14ac:dyDescent="0.35">
      <c r="A1287" s="2" t="s">
        <v>3388</v>
      </c>
      <c r="B1287" s="2" t="s">
        <v>3389</v>
      </c>
      <c r="D1287" t="s">
        <v>5387</v>
      </c>
      <c r="E1287" t="e">
        <v>#VALUE!</v>
      </c>
      <c r="F1287" t="s">
        <v>12</v>
      </c>
      <c r="G1287" t="s">
        <v>0</v>
      </c>
      <c r="H1287" s="1">
        <f>DATE(2023,6,9)</f>
        <v>45086</v>
      </c>
    </row>
    <row r="1288" spans="1:8" x14ac:dyDescent="0.35">
      <c r="A1288" s="2" t="s">
        <v>3390</v>
      </c>
      <c r="B1288" s="2" t="s">
        <v>3391</v>
      </c>
      <c r="D1288" t="s">
        <v>5387</v>
      </c>
      <c r="E1288" t="e">
        <v>#VALUE!</v>
      </c>
      <c r="F1288" t="s">
        <v>12</v>
      </c>
      <c r="G1288" t="s">
        <v>0</v>
      </c>
      <c r="H1288" s="1">
        <f>DATE(2023,6,9)</f>
        <v>45086</v>
      </c>
    </row>
    <row r="1289" spans="1:8" x14ac:dyDescent="0.35">
      <c r="A1289" s="2" t="s">
        <v>3392</v>
      </c>
      <c r="B1289" s="2" t="s">
        <v>3393</v>
      </c>
      <c r="D1289" t="s">
        <v>5387</v>
      </c>
      <c r="E1289" t="e">
        <v>#VALUE!</v>
      </c>
      <c r="F1289" t="s">
        <v>12</v>
      </c>
      <c r="G1289" t="s">
        <v>0</v>
      </c>
      <c r="H1289" s="1">
        <f>DATE(2023,6,9)</f>
        <v>45086</v>
      </c>
    </row>
    <row r="1290" spans="1:8" x14ac:dyDescent="0.35">
      <c r="A1290" s="2" t="s">
        <v>3394</v>
      </c>
      <c r="B1290" s="2" t="s">
        <v>588</v>
      </c>
      <c r="C1290" s="2" t="s">
        <v>3395</v>
      </c>
      <c r="D1290" t="s">
        <v>6160</v>
      </c>
      <c r="E1290" t="s">
        <v>7290</v>
      </c>
      <c r="F1290" t="s">
        <v>12</v>
      </c>
      <c r="G1290" t="s">
        <v>0</v>
      </c>
      <c r="H1290" s="1">
        <f>DATE(2023,12,13)</f>
        <v>45273</v>
      </c>
    </row>
    <row r="1291" spans="1:8" x14ac:dyDescent="0.35">
      <c r="A1291" s="2" t="s">
        <v>3396</v>
      </c>
      <c r="B1291" s="2" t="s">
        <v>3397</v>
      </c>
      <c r="C1291" s="2" t="s">
        <v>3398</v>
      </c>
      <c r="D1291" t="s">
        <v>6161</v>
      </c>
      <c r="E1291" t="s">
        <v>7291</v>
      </c>
      <c r="F1291" t="s">
        <v>12</v>
      </c>
      <c r="G1291" t="s">
        <v>0</v>
      </c>
      <c r="H1291" s="1">
        <f>DATE(2023,6,14)</f>
        <v>45091</v>
      </c>
    </row>
    <row r="1292" spans="1:8" x14ac:dyDescent="0.35">
      <c r="A1292" s="2" t="s">
        <v>3399</v>
      </c>
      <c r="B1292" s="2" t="s">
        <v>3400</v>
      </c>
      <c r="D1292" t="s">
        <v>5387</v>
      </c>
      <c r="E1292" t="e">
        <v>#VALUE!</v>
      </c>
      <c r="F1292" t="s">
        <v>12</v>
      </c>
      <c r="G1292" t="s">
        <v>0</v>
      </c>
      <c r="H1292" s="1">
        <f>DATE(2023,9,1)</f>
        <v>45170</v>
      </c>
    </row>
    <row r="1293" spans="1:8" x14ac:dyDescent="0.35">
      <c r="A1293" s="2" t="s">
        <v>3401</v>
      </c>
      <c r="B1293" s="2" t="s">
        <v>3402</v>
      </c>
      <c r="D1293" t="s">
        <v>5387</v>
      </c>
      <c r="E1293" t="e">
        <v>#VALUE!</v>
      </c>
      <c r="F1293" t="s">
        <v>12</v>
      </c>
      <c r="G1293" t="s">
        <v>0</v>
      </c>
      <c r="H1293" s="1">
        <f>DATE(2023,7,5)</f>
        <v>45112</v>
      </c>
    </row>
    <row r="1294" spans="1:8" x14ac:dyDescent="0.35">
      <c r="A1294" s="2" t="s">
        <v>3403</v>
      </c>
      <c r="B1294" s="2" t="s">
        <v>3404</v>
      </c>
      <c r="C1294" s="2" t="s">
        <v>3405</v>
      </c>
      <c r="D1294" t="s">
        <v>6162</v>
      </c>
      <c r="E1294" t="s">
        <v>7292</v>
      </c>
      <c r="F1294" t="s">
        <v>12</v>
      </c>
      <c r="G1294" t="s">
        <v>0</v>
      </c>
      <c r="H1294" s="1">
        <f>DATE(2023,7,4)</f>
        <v>45111</v>
      </c>
    </row>
    <row r="1295" spans="1:8" x14ac:dyDescent="0.35">
      <c r="A1295" s="2" t="s">
        <v>3406</v>
      </c>
      <c r="B1295" s="2" t="s">
        <v>3407</v>
      </c>
      <c r="D1295" t="s">
        <v>5387</v>
      </c>
      <c r="E1295" t="e">
        <v>#VALUE!</v>
      </c>
      <c r="F1295" t="s">
        <v>12</v>
      </c>
      <c r="G1295" t="s">
        <v>0</v>
      </c>
      <c r="H1295" s="1">
        <f>DATE(2023,10,11)</f>
        <v>45210</v>
      </c>
    </row>
    <row r="1296" spans="1:8" x14ac:dyDescent="0.35">
      <c r="A1296" s="2" t="s">
        <v>3408</v>
      </c>
      <c r="B1296" s="2" t="s">
        <v>3409</v>
      </c>
      <c r="C1296" s="2" t="s">
        <v>3410</v>
      </c>
      <c r="D1296" t="s">
        <v>6163</v>
      </c>
      <c r="E1296" t="s">
        <v>7293</v>
      </c>
      <c r="F1296" t="s">
        <v>12</v>
      </c>
      <c r="G1296" t="s">
        <v>0</v>
      </c>
      <c r="H1296" s="1">
        <f>DATE(2023,7,7)</f>
        <v>45114</v>
      </c>
    </row>
    <row r="1297" spans="1:8" x14ac:dyDescent="0.35">
      <c r="A1297" s="2" t="s">
        <v>3411</v>
      </c>
      <c r="B1297" s="2" t="s">
        <v>3412</v>
      </c>
      <c r="C1297" s="2" t="s">
        <v>3413</v>
      </c>
      <c r="D1297" t="s">
        <v>6164</v>
      </c>
      <c r="E1297" t="s">
        <v>7294</v>
      </c>
      <c r="F1297" t="s">
        <v>12</v>
      </c>
      <c r="G1297" t="s">
        <v>0</v>
      </c>
      <c r="H1297" s="1">
        <f>DATE(2023,7,7)</f>
        <v>45114</v>
      </c>
    </row>
    <row r="1298" spans="1:8" x14ac:dyDescent="0.35">
      <c r="A1298" s="2" t="s">
        <v>3414</v>
      </c>
      <c r="B1298" s="2" t="s">
        <v>3415</v>
      </c>
      <c r="C1298" s="2" t="s">
        <v>944</v>
      </c>
      <c r="D1298" t="s">
        <v>5578</v>
      </c>
      <c r="E1298" t="s">
        <v>6708</v>
      </c>
      <c r="F1298" t="s">
        <v>12</v>
      </c>
      <c r="G1298" t="s">
        <v>0</v>
      </c>
      <c r="H1298" s="1">
        <f>DATE(2023,7,7)</f>
        <v>45114</v>
      </c>
    </row>
    <row r="1299" spans="1:8" x14ac:dyDescent="0.35">
      <c r="A1299" s="2" t="s">
        <v>3416</v>
      </c>
      <c r="B1299" s="2" t="s">
        <v>3417</v>
      </c>
      <c r="C1299" s="2" t="s">
        <v>3418</v>
      </c>
      <c r="D1299" t="s">
        <v>6165</v>
      </c>
      <c r="E1299" t="s">
        <v>7295</v>
      </c>
      <c r="F1299" t="s">
        <v>12</v>
      </c>
      <c r="G1299" t="s">
        <v>0</v>
      </c>
      <c r="H1299" s="1">
        <f>DATE(2023,7,7)</f>
        <v>45114</v>
      </c>
    </row>
    <row r="1300" spans="1:8" x14ac:dyDescent="0.35">
      <c r="A1300" s="2" t="s">
        <v>3419</v>
      </c>
      <c r="B1300" s="2" t="s">
        <v>3420</v>
      </c>
      <c r="C1300" s="2" t="s">
        <v>3421</v>
      </c>
      <c r="D1300" t="s">
        <v>6166</v>
      </c>
      <c r="E1300" t="s">
        <v>7296</v>
      </c>
      <c r="F1300" t="s">
        <v>12</v>
      </c>
      <c r="G1300" t="s">
        <v>0</v>
      </c>
      <c r="H1300" s="1">
        <f>DATE(2023,7,8)</f>
        <v>45115</v>
      </c>
    </row>
    <row r="1301" spans="1:8" x14ac:dyDescent="0.35">
      <c r="A1301" s="2" t="s">
        <v>3422</v>
      </c>
      <c r="B1301" s="2" t="s">
        <v>3423</v>
      </c>
      <c r="D1301" t="s">
        <v>5387</v>
      </c>
      <c r="E1301" t="e">
        <v>#VALUE!</v>
      </c>
      <c r="F1301" t="s">
        <v>12</v>
      </c>
      <c r="G1301" t="s">
        <v>0</v>
      </c>
      <c r="H1301" s="1">
        <f>DATE(2023,7,8)</f>
        <v>45115</v>
      </c>
    </row>
    <row r="1302" spans="1:8" x14ac:dyDescent="0.35">
      <c r="A1302" s="2" t="s">
        <v>3424</v>
      </c>
      <c r="B1302" s="2" t="s">
        <v>3425</v>
      </c>
      <c r="C1302" s="2" t="s">
        <v>3426</v>
      </c>
      <c r="D1302" t="s">
        <v>6167</v>
      </c>
      <c r="E1302" t="s">
        <v>7297</v>
      </c>
      <c r="F1302" t="s">
        <v>12</v>
      </c>
      <c r="G1302" t="s">
        <v>0</v>
      </c>
      <c r="H1302" s="1">
        <f>DATE(2023,7,8)</f>
        <v>45115</v>
      </c>
    </row>
    <row r="1303" spans="1:8" x14ac:dyDescent="0.35">
      <c r="A1303" s="2" t="s">
        <v>3427</v>
      </c>
      <c r="B1303" s="2" t="s">
        <v>3428</v>
      </c>
      <c r="D1303" t="s">
        <v>5387</v>
      </c>
      <c r="E1303" t="e">
        <v>#VALUE!</v>
      </c>
      <c r="F1303" t="s">
        <v>12</v>
      </c>
      <c r="G1303" t="s">
        <v>0</v>
      </c>
      <c r="H1303" s="1">
        <f>DATE(2023,7,9)</f>
        <v>45116</v>
      </c>
    </row>
    <row r="1304" spans="1:8" x14ac:dyDescent="0.35">
      <c r="A1304" s="2" t="s">
        <v>3429</v>
      </c>
      <c r="B1304" s="2" t="s">
        <v>3430</v>
      </c>
      <c r="C1304" s="2" t="s">
        <v>3431</v>
      </c>
      <c r="D1304" t="s">
        <v>6168</v>
      </c>
      <c r="E1304" t="s">
        <v>7298</v>
      </c>
      <c r="F1304" t="s">
        <v>12</v>
      </c>
      <c r="G1304" t="s">
        <v>0</v>
      </c>
      <c r="H1304" s="1">
        <f>DATE(2023,7,9)</f>
        <v>45116</v>
      </c>
    </row>
    <row r="1305" spans="1:8" x14ac:dyDescent="0.35">
      <c r="A1305" s="2" t="s">
        <v>3432</v>
      </c>
      <c r="B1305" s="2" t="s">
        <v>3433</v>
      </c>
      <c r="C1305" s="2" t="s">
        <v>3434</v>
      </c>
      <c r="D1305" t="s">
        <v>6169</v>
      </c>
      <c r="E1305" t="s">
        <v>7299</v>
      </c>
      <c r="F1305" t="s">
        <v>12</v>
      </c>
      <c r="G1305" t="s">
        <v>0</v>
      </c>
      <c r="H1305" s="1">
        <f>DATE(2023,7,10)</f>
        <v>45117</v>
      </c>
    </row>
    <row r="1306" spans="1:8" x14ac:dyDescent="0.35">
      <c r="A1306" s="2" t="s">
        <v>3435</v>
      </c>
      <c r="B1306" s="2" t="s">
        <v>3436</v>
      </c>
      <c r="D1306" t="s">
        <v>5387</v>
      </c>
      <c r="E1306" t="e">
        <v>#VALUE!</v>
      </c>
      <c r="F1306" t="s">
        <v>12</v>
      </c>
      <c r="G1306" t="s">
        <v>0</v>
      </c>
      <c r="H1306" s="1">
        <f>DATE(2023,7,10)</f>
        <v>45117</v>
      </c>
    </row>
    <row r="1307" spans="1:8" x14ac:dyDescent="0.35">
      <c r="A1307" s="2" t="s">
        <v>3437</v>
      </c>
      <c r="B1307" s="2" t="s">
        <v>3438</v>
      </c>
      <c r="C1307" s="2" t="s">
        <v>3439</v>
      </c>
      <c r="D1307" t="s">
        <v>6170</v>
      </c>
      <c r="E1307" t="s">
        <v>7300</v>
      </c>
      <c r="F1307" t="s">
        <v>12</v>
      </c>
      <c r="G1307" t="s">
        <v>0</v>
      </c>
      <c r="H1307" s="1">
        <f>DATE(2023,7,10)</f>
        <v>45117</v>
      </c>
    </row>
    <row r="1308" spans="1:8" x14ac:dyDescent="0.35">
      <c r="A1308" s="2" t="s">
        <v>3440</v>
      </c>
      <c r="B1308" s="2" t="s">
        <v>3441</v>
      </c>
      <c r="D1308" t="s">
        <v>5387</v>
      </c>
      <c r="E1308" t="e">
        <v>#VALUE!</v>
      </c>
      <c r="F1308" t="s">
        <v>12</v>
      </c>
      <c r="G1308" t="s">
        <v>0</v>
      </c>
      <c r="H1308" s="1">
        <f>DATE(2023,7,11)</f>
        <v>45118</v>
      </c>
    </row>
    <row r="1309" spans="1:8" x14ac:dyDescent="0.35">
      <c r="A1309" s="2" t="s">
        <v>3442</v>
      </c>
      <c r="B1309" s="2" t="s">
        <v>3443</v>
      </c>
      <c r="C1309" s="2" t="s">
        <v>3444</v>
      </c>
      <c r="D1309" t="s">
        <v>6019</v>
      </c>
      <c r="E1309" t="s">
        <v>7149</v>
      </c>
      <c r="F1309" t="s">
        <v>12</v>
      </c>
      <c r="G1309" t="s">
        <v>0</v>
      </c>
      <c r="H1309" s="1">
        <f>DATE(2023,7,21)</f>
        <v>45128</v>
      </c>
    </row>
    <row r="1310" spans="1:8" x14ac:dyDescent="0.35">
      <c r="A1310" s="2" t="s">
        <v>3445</v>
      </c>
      <c r="B1310" s="2" t="s">
        <v>3446</v>
      </c>
      <c r="C1310" s="2" t="s">
        <v>3447</v>
      </c>
      <c r="D1310" t="s">
        <v>6171</v>
      </c>
      <c r="E1310" t="s">
        <v>7301</v>
      </c>
      <c r="F1310" t="s">
        <v>12</v>
      </c>
      <c r="G1310" t="s">
        <v>0</v>
      </c>
      <c r="H1310" s="1">
        <f>DATE(2023,7,26)</f>
        <v>45133</v>
      </c>
    </row>
    <row r="1311" spans="1:8" x14ac:dyDescent="0.35">
      <c r="A1311" s="2" t="s">
        <v>3448</v>
      </c>
      <c r="B1311" s="2" t="s">
        <v>3449</v>
      </c>
      <c r="C1311" s="2" t="s">
        <v>3450</v>
      </c>
      <c r="D1311" t="s">
        <v>6172</v>
      </c>
      <c r="E1311" t="s">
        <v>7302</v>
      </c>
      <c r="F1311" t="s">
        <v>12</v>
      </c>
      <c r="G1311" t="s">
        <v>0</v>
      </c>
      <c r="H1311" s="1">
        <f>DATE(2023,7,24)</f>
        <v>45131</v>
      </c>
    </row>
    <row r="1312" spans="1:8" x14ac:dyDescent="0.35">
      <c r="A1312" s="2" t="s">
        <v>3451</v>
      </c>
      <c r="B1312" s="2" t="s">
        <v>3452</v>
      </c>
      <c r="C1312" s="2" t="s">
        <v>3453</v>
      </c>
      <c r="D1312" t="s">
        <v>6173</v>
      </c>
      <c r="E1312" t="s">
        <v>7303</v>
      </c>
      <c r="F1312" t="s">
        <v>12</v>
      </c>
      <c r="G1312" t="s">
        <v>0</v>
      </c>
      <c r="H1312" s="1">
        <f>DATE(2023,7,24)</f>
        <v>45131</v>
      </c>
    </row>
    <row r="1313" spans="1:8" x14ac:dyDescent="0.35">
      <c r="A1313" s="2" t="s">
        <v>3454</v>
      </c>
      <c r="B1313" s="2" t="s">
        <v>3455</v>
      </c>
      <c r="D1313" t="s">
        <v>5387</v>
      </c>
      <c r="E1313" t="e">
        <v>#VALUE!</v>
      </c>
      <c r="F1313" t="s">
        <v>12</v>
      </c>
      <c r="G1313" t="s">
        <v>0</v>
      </c>
      <c r="H1313" s="1">
        <f>DATE(2023,7,26)</f>
        <v>45133</v>
      </c>
    </row>
    <row r="1314" spans="1:8" x14ac:dyDescent="0.35">
      <c r="A1314" s="2" t="s">
        <v>3456</v>
      </c>
      <c r="B1314" s="2" t="s">
        <v>3457</v>
      </c>
      <c r="C1314" s="2" t="s">
        <v>3458</v>
      </c>
      <c r="D1314" t="s">
        <v>6174</v>
      </c>
      <c r="E1314" t="s">
        <v>7304</v>
      </c>
      <c r="F1314" t="s">
        <v>12</v>
      </c>
      <c r="G1314" t="s">
        <v>0</v>
      </c>
      <c r="H1314" s="1">
        <f>DATE(2023,11,30)</f>
        <v>45260</v>
      </c>
    </row>
    <row r="1315" spans="1:8" x14ac:dyDescent="0.35">
      <c r="A1315" s="2" t="s">
        <v>3459</v>
      </c>
      <c r="B1315" s="2" t="s">
        <v>3460</v>
      </c>
      <c r="D1315" t="s">
        <v>5387</v>
      </c>
      <c r="E1315" t="e">
        <v>#VALUE!</v>
      </c>
      <c r="F1315" t="s">
        <v>12</v>
      </c>
      <c r="G1315" t="s">
        <v>0</v>
      </c>
      <c r="H1315" s="1">
        <f>DATE(2023,9,1)</f>
        <v>45170</v>
      </c>
    </row>
    <row r="1316" spans="1:8" x14ac:dyDescent="0.35">
      <c r="A1316" s="2" t="s">
        <v>3461</v>
      </c>
      <c r="B1316" s="2" t="s">
        <v>3462</v>
      </c>
      <c r="D1316" t="s">
        <v>5387</v>
      </c>
      <c r="E1316" t="e">
        <v>#VALUE!</v>
      </c>
      <c r="F1316" t="s">
        <v>12</v>
      </c>
      <c r="G1316" t="s">
        <v>0</v>
      </c>
      <c r="H1316" s="1">
        <f>DATE(2023,9,1)</f>
        <v>45170</v>
      </c>
    </row>
    <row r="1317" spans="1:8" x14ac:dyDescent="0.35">
      <c r="A1317" s="2" t="s">
        <v>3463</v>
      </c>
      <c r="B1317" s="2" t="s">
        <v>3464</v>
      </c>
      <c r="D1317" t="s">
        <v>5387</v>
      </c>
      <c r="E1317" t="e">
        <v>#VALUE!</v>
      </c>
      <c r="F1317" t="s">
        <v>12</v>
      </c>
      <c r="G1317" t="s">
        <v>0</v>
      </c>
      <c r="H1317" s="1">
        <f>DATE(2023,9,1)</f>
        <v>45170</v>
      </c>
    </row>
    <row r="1318" spans="1:8" x14ac:dyDescent="0.35">
      <c r="A1318" s="2" t="s">
        <v>3465</v>
      </c>
      <c r="B1318" s="2" t="s">
        <v>3466</v>
      </c>
      <c r="D1318" t="s">
        <v>5387</v>
      </c>
      <c r="E1318" t="e">
        <v>#VALUE!</v>
      </c>
      <c r="F1318" t="s">
        <v>3467</v>
      </c>
      <c r="G1318" t="s">
        <v>0</v>
      </c>
      <c r="H1318" s="1">
        <f>DATE(2023,10,6)</f>
        <v>45205</v>
      </c>
    </row>
    <row r="1319" spans="1:8" x14ac:dyDescent="0.35">
      <c r="A1319" s="2" t="s">
        <v>3468</v>
      </c>
      <c r="B1319" s="2" t="s">
        <v>3469</v>
      </c>
      <c r="C1319" s="2" t="s">
        <v>3470</v>
      </c>
      <c r="D1319" t="s">
        <v>6175</v>
      </c>
      <c r="E1319" t="s">
        <v>7305</v>
      </c>
      <c r="F1319" t="s">
        <v>12</v>
      </c>
      <c r="G1319" t="s">
        <v>0</v>
      </c>
      <c r="H1319" s="1">
        <f>DATE(2023,8,3)</f>
        <v>45141</v>
      </c>
    </row>
    <row r="1320" spans="1:8" x14ac:dyDescent="0.35">
      <c r="A1320" s="2" t="s">
        <v>3471</v>
      </c>
      <c r="B1320" s="2" t="s">
        <v>3472</v>
      </c>
      <c r="C1320" s="2" t="s">
        <v>3473</v>
      </c>
      <c r="D1320" t="s">
        <v>6176</v>
      </c>
      <c r="E1320" t="s">
        <v>7306</v>
      </c>
      <c r="F1320" t="s">
        <v>12</v>
      </c>
      <c r="G1320" t="s">
        <v>0</v>
      </c>
      <c r="H1320" s="1">
        <f>DATE(2023,8,3)</f>
        <v>45141</v>
      </c>
    </row>
    <row r="1321" spans="1:8" x14ac:dyDescent="0.35">
      <c r="A1321" s="2" t="s">
        <v>3474</v>
      </c>
      <c r="B1321" s="2" t="s">
        <v>1963</v>
      </c>
      <c r="C1321" s="2" t="s">
        <v>1964</v>
      </c>
      <c r="D1321" t="s">
        <v>5841</v>
      </c>
      <c r="E1321" t="s">
        <v>6971</v>
      </c>
      <c r="F1321" t="s">
        <v>12</v>
      </c>
      <c r="G1321" t="s">
        <v>0</v>
      </c>
      <c r="H1321" s="1">
        <f>DATE(2023,9,4)</f>
        <v>45173</v>
      </c>
    </row>
    <row r="1322" spans="1:8" x14ac:dyDescent="0.35">
      <c r="A1322" s="2" t="s">
        <v>3475</v>
      </c>
      <c r="B1322" s="2" t="s">
        <v>3476</v>
      </c>
      <c r="C1322" s="2" t="s">
        <v>3477</v>
      </c>
      <c r="D1322" t="s">
        <v>6177</v>
      </c>
      <c r="E1322" t="s">
        <v>7307</v>
      </c>
      <c r="F1322" t="s">
        <v>12</v>
      </c>
      <c r="G1322" t="s">
        <v>0</v>
      </c>
      <c r="H1322" s="1">
        <f>DATE(2023,8,4)</f>
        <v>45142</v>
      </c>
    </row>
    <row r="1323" spans="1:8" x14ac:dyDescent="0.35">
      <c r="A1323" s="2" t="s">
        <v>3478</v>
      </c>
      <c r="B1323" s="2" t="s">
        <v>3479</v>
      </c>
      <c r="C1323" s="2" t="s">
        <v>3480</v>
      </c>
      <c r="D1323" t="s">
        <v>6178</v>
      </c>
      <c r="E1323" t="s">
        <v>7308</v>
      </c>
      <c r="F1323" t="s">
        <v>12</v>
      </c>
      <c r="G1323" t="s">
        <v>0</v>
      </c>
      <c r="H1323" s="1">
        <f>DATE(2023,8,8)</f>
        <v>45146</v>
      </c>
    </row>
    <row r="1324" spans="1:8" x14ac:dyDescent="0.35">
      <c r="A1324" s="2" t="s">
        <v>3481</v>
      </c>
      <c r="B1324" s="2" t="s">
        <v>3482</v>
      </c>
      <c r="C1324" s="2" t="s">
        <v>3483</v>
      </c>
      <c r="D1324" t="s">
        <v>6179</v>
      </c>
      <c r="E1324" t="s">
        <v>7309</v>
      </c>
      <c r="F1324" t="s">
        <v>12</v>
      </c>
      <c r="G1324" t="s">
        <v>0</v>
      </c>
      <c r="H1324" s="1">
        <f>DATE(2023,8,10)</f>
        <v>45148</v>
      </c>
    </row>
    <row r="1325" spans="1:8" x14ac:dyDescent="0.35">
      <c r="A1325" s="2" t="s">
        <v>3484</v>
      </c>
      <c r="B1325" s="2" t="s">
        <v>3485</v>
      </c>
      <c r="D1325" t="s">
        <v>5387</v>
      </c>
      <c r="E1325" t="e">
        <v>#VALUE!</v>
      </c>
      <c r="F1325" t="s">
        <v>12</v>
      </c>
      <c r="G1325" t="s">
        <v>0</v>
      </c>
      <c r="H1325" s="1">
        <f>DATE(2023,12,7)</f>
        <v>45267</v>
      </c>
    </row>
    <row r="1326" spans="1:8" x14ac:dyDescent="0.35">
      <c r="A1326" s="2" t="s">
        <v>3486</v>
      </c>
      <c r="B1326" s="2" t="s">
        <v>3487</v>
      </c>
      <c r="C1326" s="2" t="s">
        <v>3488</v>
      </c>
      <c r="D1326" t="s">
        <v>6180</v>
      </c>
      <c r="E1326" t="s">
        <v>7310</v>
      </c>
      <c r="F1326" t="s">
        <v>12</v>
      </c>
      <c r="G1326" t="s">
        <v>0</v>
      </c>
      <c r="H1326" s="1">
        <f>DATE(2023,8,14)</f>
        <v>45152</v>
      </c>
    </row>
    <row r="1327" spans="1:8" x14ac:dyDescent="0.35">
      <c r="A1327" s="2" t="s">
        <v>3489</v>
      </c>
      <c r="B1327" s="2" t="s">
        <v>3490</v>
      </c>
      <c r="C1327" s="2" t="s">
        <v>3491</v>
      </c>
      <c r="D1327" t="s">
        <v>6181</v>
      </c>
      <c r="E1327" t="s">
        <v>7311</v>
      </c>
      <c r="F1327" t="s">
        <v>12</v>
      </c>
      <c r="G1327" t="s">
        <v>0</v>
      </c>
      <c r="H1327" s="1">
        <f>DATE(2023,8,18)</f>
        <v>45156</v>
      </c>
    </row>
    <row r="1328" spans="1:8" x14ac:dyDescent="0.35">
      <c r="A1328" s="2" t="s">
        <v>3492</v>
      </c>
      <c r="B1328" s="2" t="s">
        <v>3493</v>
      </c>
      <c r="D1328" t="s">
        <v>5387</v>
      </c>
      <c r="E1328" t="e">
        <v>#VALUE!</v>
      </c>
      <c r="F1328" t="s">
        <v>12</v>
      </c>
      <c r="G1328" t="s">
        <v>0</v>
      </c>
      <c r="H1328" s="1">
        <f>DATE(2023,9,1)</f>
        <v>45170</v>
      </c>
    </row>
    <row r="1329" spans="1:8" x14ac:dyDescent="0.35">
      <c r="A1329" s="2" t="s">
        <v>3494</v>
      </c>
      <c r="B1329" s="2" t="s">
        <v>3495</v>
      </c>
      <c r="D1329" t="s">
        <v>5387</v>
      </c>
      <c r="E1329" t="e">
        <v>#VALUE!</v>
      </c>
      <c r="F1329" t="s">
        <v>12</v>
      </c>
      <c r="G1329" t="s">
        <v>0</v>
      </c>
      <c r="H1329" s="1">
        <f>DATE(2023,9,1)</f>
        <v>45170</v>
      </c>
    </row>
    <row r="1330" spans="1:8" x14ac:dyDescent="0.35">
      <c r="A1330" s="2" t="s">
        <v>3496</v>
      </c>
      <c r="B1330" s="2" t="s">
        <v>3497</v>
      </c>
      <c r="D1330" t="s">
        <v>5387</v>
      </c>
      <c r="E1330" t="e">
        <v>#VALUE!</v>
      </c>
      <c r="F1330" t="s">
        <v>12</v>
      </c>
      <c r="G1330" t="s">
        <v>0</v>
      </c>
      <c r="H1330" s="1">
        <f>DATE(2023,8,21)</f>
        <v>45159</v>
      </c>
    </row>
    <row r="1331" spans="1:8" x14ac:dyDescent="0.35">
      <c r="A1331" s="2" t="s">
        <v>3498</v>
      </c>
      <c r="B1331" s="2" t="s">
        <v>3499</v>
      </c>
      <c r="D1331" t="s">
        <v>5387</v>
      </c>
      <c r="E1331" t="e">
        <v>#VALUE!</v>
      </c>
      <c r="F1331" t="s">
        <v>12</v>
      </c>
      <c r="G1331" t="s">
        <v>0</v>
      </c>
      <c r="H1331" s="1">
        <f>DATE(2023,8,21)</f>
        <v>45159</v>
      </c>
    </row>
    <row r="1332" spans="1:8" x14ac:dyDescent="0.35">
      <c r="A1332" s="2" t="s">
        <v>3500</v>
      </c>
      <c r="B1332" s="2" t="s">
        <v>3501</v>
      </c>
      <c r="D1332" t="s">
        <v>5387</v>
      </c>
      <c r="E1332" t="e">
        <v>#VALUE!</v>
      </c>
      <c r="F1332" t="s">
        <v>12</v>
      </c>
      <c r="G1332" t="s">
        <v>0</v>
      </c>
      <c r="H1332" s="1">
        <f>DATE(2023,8,21)</f>
        <v>45159</v>
      </c>
    </row>
    <row r="1333" spans="1:8" x14ac:dyDescent="0.35">
      <c r="A1333" s="2" t="s">
        <v>3502</v>
      </c>
      <c r="B1333" s="2" t="s">
        <v>3503</v>
      </c>
      <c r="D1333" t="s">
        <v>5387</v>
      </c>
      <c r="E1333" t="e">
        <v>#VALUE!</v>
      </c>
      <c r="F1333" t="s">
        <v>12</v>
      </c>
      <c r="G1333" t="s">
        <v>0</v>
      </c>
      <c r="H1333" s="1">
        <f>DATE(2023,8,21)</f>
        <v>45159</v>
      </c>
    </row>
    <row r="1334" spans="1:8" x14ac:dyDescent="0.35">
      <c r="A1334" s="2" t="s">
        <v>3504</v>
      </c>
      <c r="B1334" s="2" t="s">
        <v>3505</v>
      </c>
      <c r="D1334" t="s">
        <v>5387</v>
      </c>
      <c r="E1334" t="e">
        <v>#VALUE!</v>
      </c>
      <c r="F1334" t="s">
        <v>12</v>
      </c>
      <c r="G1334" t="s">
        <v>0</v>
      </c>
      <c r="H1334" s="1">
        <f>DATE(2023,9,13)</f>
        <v>45182</v>
      </c>
    </row>
    <row r="1335" spans="1:8" x14ac:dyDescent="0.35">
      <c r="A1335" s="2" t="s">
        <v>3506</v>
      </c>
      <c r="B1335" s="2" t="s">
        <v>3507</v>
      </c>
      <c r="D1335" t="s">
        <v>5387</v>
      </c>
      <c r="E1335" t="e">
        <v>#VALUE!</v>
      </c>
      <c r="F1335" t="s">
        <v>12</v>
      </c>
      <c r="G1335" t="s">
        <v>0</v>
      </c>
      <c r="H1335" s="1">
        <f>DATE(2023,8,21)</f>
        <v>45159</v>
      </c>
    </row>
    <row r="1336" spans="1:8" x14ac:dyDescent="0.35">
      <c r="A1336" s="2" t="s">
        <v>3508</v>
      </c>
      <c r="B1336" s="2" t="s">
        <v>3509</v>
      </c>
      <c r="D1336" t="s">
        <v>5387</v>
      </c>
      <c r="E1336" t="e">
        <v>#VALUE!</v>
      </c>
      <c r="F1336" t="s">
        <v>12</v>
      </c>
      <c r="G1336" t="s">
        <v>0</v>
      </c>
      <c r="H1336" s="1">
        <f>DATE(2023,8,21)</f>
        <v>45159</v>
      </c>
    </row>
    <row r="1337" spans="1:8" x14ac:dyDescent="0.35">
      <c r="A1337" s="2" t="s">
        <v>3510</v>
      </c>
      <c r="B1337" s="2" t="s">
        <v>3511</v>
      </c>
      <c r="C1337" s="2" t="s">
        <v>3512</v>
      </c>
      <c r="D1337" t="s">
        <v>6182</v>
      </c>
      <c r="E1337" t="s">
        <v>7312</v>
      </c>
      <c r="F1337" t="s">
        <v>12</v>
      </c>
      <c r="G1337" t="s">
        <v>0</v>
      </c>
      <c r="H1337" s="1">
        <f>DATE(2024,1,26)</f>
        <v>45317</v>
      </c>
    </row>
    <row r="1338" spans="1:8" x14ac:dyDescent="0.35">
      <c r="A1338" s="2" t="s">
        <v>3513</v>
      </c>
      <c r="B1338" s="2" t="s">
        <v>3514</v>
      </c>
      <c r="C1338" s="2" t="s">
        <v>3515</v>
      </c>
      <c r="D1338" t="s">
        <v>6183</v>
      </c>
      <c r="E1338" t="s">
        <v>7313</v>
      </c>
      <c r="F1338" t="s">
        <v>12</v>
      </c>
      <c r="G1338" t="s">
        <v>0</v>
      </c>
      <c r="H1338" s="1">
        <f>DATE(2023,8,24)</f>
        <v>45162</v>
      </c>
    </row>
    <row r="1339" spans="1:8" x14ac:dyDescent="0.35">
      <c r="A1339" s="2" t="s">
        <v>3516</v>
      </c>
      <c r="B1339" s="2" t="s">
        <v>3517</v>
      </c>
      <c r="C1339" s="2" t="s">
        <v>3518</v>
      </c>
      <c r="D1339" t="s">
        <v>6184</v>
      </c>
      <c r="E1339" t="s">
        <v>7314</v>
      </c>
      <c r="F1339" t="s">
        <v>12</v>
      </c>
      <c r="G1339" t="s">
        <v>0</v>
      </c>
      <c r="H1339" s="1">
        <f>DATE(2023,8,24)</f>
        <v>45162</v>
      </c>
    </row>
    <row r="1340" spans="1:8" x14ac:dyDescent="0.35">
      <c r="A1340" s="2" t="s">
        <v>3519</v>
      </c>
      <c r="B1340" s="2" t="s">
        <v>3520</v>
      </c>
      <c r="C1340" s="2" t="s">
        <v>3521</v>
      </c>
      <c r="D1340" t="s">
        <v>6185</v>
      </c>
      <c r="E1340" t="s">
        <v>7315</v>
      </c>
      <c r="F1340" t="s">
        <v>12</v>
      </c>
      <c r="G1340" t="s">
        <v>0</v>
      </c>
      <c r="H1340" s="1">
        <f>DATE(2023,8,24)</f>
        <v>45162</v>
      </c>
    </row>
    <row r="1341" spans="1:8" x14ac:dyDescent="0.35">
      <c r="A1341" s="2" t="s">
        <v>3522</v>
      </c>
      <c r="B1341" s="2" t="s">
        <v>3523</v>
      </c>
      <c r="C1341" s="2" t="s">
        <v>3524</v>
      </c>
      <c r="D1341" t="s">
        <v>6186</v>
      </c>
      <c r="E1341" t="s">
        <v>7316</v>
      </c>
      <c r="F1341" t="s">
        <v>12</v>
      </c>
      <c r="G1341" t="s">
        <v>0</v>
      </c>
      <c r="H1341" s="1">
        <f>DATE(2023,8,30)</f>
        <v>45168</v>
      </c>
    </row>
    <row r="1342" spans="1:8" x14ac:dyDescent="0.35">
      <c r="A1342" s="2" t="s">
        <v>3525</v>
      </c>
      <c r="B1342" s="2" t="s">
        <v>3526</v>
      </c>
      <c r="D1342" t="s">
        <v>5387</v>
      </c>
      <c r="E1342" t="e">
        <v>#VALUE!</v>
      </c>
      <c r="F1342" t="s">
        <v>12</v>
      </c>
      <c r="G1342" t="s">
        <v>0</v>
      </c>
      <c r="H1342" s="1">
        <f>DATE(2023,9,1)</f>
        <v>45170</v>
      </c>
    </row>
    <row r="1343" spans="1:8" x14ac:dyDescent="0.35">
      <c r="A1343" s="2" t="s">
        <v>3527</v>
      </c>
      <c r="B1343" s="2" t="s">
        <v>3528</v>
      </c>
      <c r="D1343" t="s">
        <v>5387</v>
      </c>
      <c r="E1343" t="e">
        <v>#VALUE!</v>
      </c>
      <c r="F1343" t="s">
        <v>12</v>
      </c>
      <c r="G1343" t="s">
        <v>0</v>
      </c>
      <c r="H1343" s="1">
        <f>DATE(2023,11,9)</f>
        <v>45239</v>
      </c>
    </row>
    <row r="1344" spans="1:8" x14ac:dyDescent="0.35">
      <c r="A1344" s="2" t="s">
        <v>3529</v>
      </c>
      <c r="B1344" s="2" t="s">
        <v>3530</v>
      </c>
      <c r="C1344" s="2" t="s">
        <v>3531</v>
      </c>
      <c r="D1344" t="s">
        <v>5575</v>
      </c>
      <c r="E1344" t="s">
        <v>6705</v>
      </c>
      <c r="F1344" t="s">
        <v>12</v>
      </c>
      <c r="G1344" t="s">
        <v>0</v>
      </c>
      <c r="H1344" s="1">
        <f>DATE(2023,9,4)</f>
        <v>45173</v>
      </c>
    </row>
    <row r="1345" spans="1:8" x14ac:dyDescent="0.35">
      <c r="A1345" s="2" t="s">
        <v>3532</v>
      </c>
      <c r="B1345" s="2" t="s">
        <v>3533</v>
      </c>
      <c r="D1345" t="s">
        <v>5387</v>
      </c>
      <c r="E1345" t="e">
        <v>#VALUE!</v>
      </c>
      <c r="F1345" t="s">
        <v>12</v>
      </c>
      <c r="G1345" t="s">
        <v>0</v>
      </c>
      <c r="H1345" s="1">
        <f>DATE(2023,9,8)</f>
        <v>45177</v>
      </c>
    </row>
    <row r="1346" spans="1:8" x14ac:dyDescent="0.35">
      <c r="A1346" s="2" t="s">
        <v>3534</v>
      </c>
      <c r="B1346" s="2" t="s">
        <v>3535</v>
      </c>
      <c r="D1346" t="s">
        <v>5387</v>
      </c>
      <c r="E1346" t="e">
        <v>#VALUE!</v>
      </c>
      <c r="F1346" t="s">
        <v>12</v>
      </c>
      <c r="G1346" t="s">
        <v>0</v>
      </c>
      <c r="H1346" s="1">
        <f>DATE(2023,9,12)</f>
        <v>45181</v>
      </c>
    </row>
    <row r="1347" spans="1:8" x14ac:dyDescent="0.35">
      <c r="A1347" s="2" t="s">
        <v>3536</v>
      </c>
      <c r="B1347" s="2" t="s">
        <v>3537</v>
      </c>
      <c r="D1347" t="s">
        <v>5387</v>
      </c>
      <c r="E1347" t="e">
        <v>#VALUE!</v>
      </c>
      <c r="F1347" t="s">
        <v>12</v>
      </c>
      <c r="G1347" t="s">
        <v>0</v>
      </c>
      <c r="H1347" s="1">
        <f>DATE(2023,9,13)</f>
        <v>45182</v>
      </c>
    </row>
    <row r="1348" spans="1:8" x14ac:dyDescent="0.35">
      <c r="A1348" s="2" t="s">
        <v>3538</v>
      </c>
      <c r="B1348" s="2" t="s">
        <v>3539</v>
      </c>
      <c r="C1348" s="2" t="s">
        <v>3540</v>
      </c>
      <c r="D1348" t="s">
        <v>6187</v>
      </c>
      <c r="E1348" t="s">
        <v>7317</v>
      </c>
      <c r="F1348" t="s">
        <v>12</v>
      </c>
      <c r="G1348" t="s">
        <v>0</v>
      </c>
      <c r="H1348" s="1">
        <f>DATE(2023,9,13)</f>
        <v>45182</v>
      </c>
    </row>
    <row r="1349" spans="1:8" x14ac:dyDescent="0.35">
      <c r="A1349" s="2" t="s">
        <v>3541</v>
      </c>
      <c r="B1349" s="2" t="s">
        <v>3542</v>
      </c>
      <c r="C1349" s="2" t="s">
        <v>3543</v>
      </c>
      <c r="D1349" t="s">
        <v>6188</v>
      </c>
      <c r="E1349" t="s">
        <v>7318</v>
      </c>
      <c r="F1349" t="s">
        <v>12</v>
      </c>
      <c r="G1349" t="s">
        <v>0</v>
      </c>
      <c r="H1349" s="1">
        <f>DATE(2023,9,14)</f>
        <v>45183</v>
      </c>
    </row>
    <row r="1350" spans="1:8" x14ac:dyDescent="0.35">
      <c r="A1350" s="2" t="s">
        <v>3544</v>
      </c>
      <c r="B1350" s="2" t="s">
        <v>3545</v>
      </c>
      <c r="C1350" s="2" t="s">
        <v>3546</v>
      </c>
      <c r="D1350" t="s">
        <v>6189</v>
      </c>
      <c r="E1350" t="s">
        <v>7319</v>
      </c>
      <c r="F1350" t="s">
        <v>12</v>
      </c>
      <c r="G1350" t="s">
        <v>0</v>
      </c>
      <c r="H1350" s="1">
        <f>DATE(2023,9,18)</f>
        <v>45187</v>
      </c>
    </row>
    <row r="1351" spans="1:8" x14ac:dyDescent="0.35">
      <c r="A1351" s="2" t="s">
        <v>3547</v>
      </c>
      <c r="B1351" s="2" t="s">
        <v>3548</v>
      </c>
      <c r="C1351" s="2" t="s">
        <v>3549</v>
      </c>
      <c r="D1351" t="s">
        <v>6190</v>
      </c>
      <c r="E1351" t="s">
        <v>7320</v>
      </c>
      <c r="F1351" t="s">
        <v>12</v>
      </c>
      <c r="G1351" t="s">
        <v>0</v>
      </c>
      <c r="H1351" s="1">
        <f>DATE(2023,10,5)</f>
        <v>45204</v>
      </c>
    </row>
    <row r="1352" spans="1:8" x14ac:dyDescent="0.35">
      <c r="A1352" s="2" t="s">
        <v>3550</v>
      </c>
      <c r="B1352" s="2" t="s">
        <v>3551</v>
      </c>
      <c r="C1352" s="2" t="s">
        <v>3552</v>
      </c>
      <c r="D1352" t="s">
        <v>6191</v>
      </c>
      <c r="E1352" t="s">
        <v>7321</v>
      </c>
      <c r="F1352" t="s">
        <v>12</v>
      </c>
      <c r="G1352" t="s">
        <v>0</v>
      </c>
      <c r="H1352" s="1">
        <f>DATE(2023,10,5)</f>
        <v>45204</v>
      </c>
    </row>
    <row r="1353" spans="1:8" x14ac:dyDescent="0.35">
      <c r="A1353" s="2" t="s">
        <v>3553</v>
      </c>
      <c r="B1353" s="2" t="s">
        <v>3554</v>
      </c>
      <c r="C1353" s="2" t="s">
        <v>3555</v>
      </c>
      <c r="D1353" t="s">
        <v>6192</v>
      </c>
      <c r="E1353" t="s">
        <v>7322</v>
      </c>
      <c r="F1353" t="s">
        <v>12</v>
      </c>
      <c r="G1353" t="s">
        <v>0</v>
      </c>
      <c r="H1353" s="1">
        <f>DATE(2023,10,6)</f>
        <v>45205</v>
      </c>
    </row>
    <row r="1354" spans="1:8" x14ac:dyDescent="0.35">
      <c r="A1354" s="2" t="s">
        <v>3556</v>
      </c>
      <c r="B1354" s="2" t="s">
        <v>3557</v>
      </c>
      <c r="C1354" s="2" t="s">
        <v>3558</v>
      </c>
      <c r="D1354" t="s">
        <v>6193</v>
      </c>
      <c r="E1354" t="s">
        <v>7323</v>
      </c>
      <c r="F1354" t="s">
        <v>12</v>
      </c>
      <c r="G1354" t="s">
        <v>0</v>
      </c>
      <c r="H1354" s="1">
        <f>DATE(2023,10,6)</f>
        <v>45205</v>
      </c>
    </row>
    <row r="1355" spans="1:8" x14ac:dyDescent="0.35">
      <c r="A1355" s="2" t="s">
        <v>3559</v>
      </c>
      <c r="B1355" s="2" t="s">
        <v>3560</v>
      </c>
      <c r="D1355" t="s">
        <v>5387</v>
      </c>
      <c r="E1355" t="e">
        <v>#VALUE!</v>
      </c>
      <c r="F1355" t="s">
        <v>12</v>
      </c>
      <c r="G1355" t="s">
        <v>0</v>
      </c>
      <c r="H1355" s="1">
        <f>DATE(2023,10,9)</f>
        <v>45208</v>
      </c>
    </row>
    <row r="1356" spans="1:8" x14ac:dyDescent="0.35">
      <c r="A1356" s="2" t="s">
        <v>3561</v>
      </c>
      <c r="B1356" s="2" t="s">
        <v>3562</v>
      </c>
      <c r="D1356" t="s">
        <v>5387</v>
      </c>
      <c r="E1356" t="e">
        <v>#VALUE!</v>
      </c>
      <c r="F1356" t="s">
        <v>12</v>
      </c>
      <c r="G1356" t="s">
        <v>0</v>
      </c>
      <c r="H1356" s="1">
        <f>DATE(2023,10,17)</f>
        <v>45216</v>
      </c>
    </row>
    <row r="1357" spans="1:8" x14ac:dyDescent="0.35">
      <c r="A1357" s="2" t="s">
        <v>3563</v>
      </c>
      <c r="B1357" s="2" t="s">
        <v>3564</v>
      </c>
      <c r="C1357" s="2" t="s">
        <v>3565</v>
      </c>
      <c r="D1357" t="s">
        <v>6194</v>
      </c>
      <c r="E1357" t="s">
        <v>7324</v>
      </c>
      <c r="F1357" t="s">
        <v>12</v>
      </c>
      <c r="G1357" t="s">
        <v>0</v>
      </c>
      <c r="H1357" s="1">
        <f>DATE(2023,10,24)</f>
        <v>45223</v>
      </c>
    </row>
    <row r="1358" spans="1:8" x14ac:dyDescent="0.35">
      <c r="A1358" s="2" t="s">
        <v>3566</v>
      </c>
      <c r="B1358" s="2" t="s">
        <v>3567</v>
      </c>
      <c r="D1358" t="s">
        <v>5387</v>
      </c>
      <c r="E1358" t="e">
        <v>#VALUE!</v>
      </c>
      <c r="F1358" t="s">
        <v>12</v>
      </c>
      <c r="G1358" t="s">
        <v>0</v>
      </c>
      <c r="H1358" s="1">
        <f>DATE(2023,11,14)</f>
        <v>45244</v>
      </c>
    </row>
    <row r="1359" spans="1:8" x14ac:dyDescent="0.35">
      <c r="A1359" s="2" t="s">
        <v>3568</v>
      </c>
      <c r="B1359" s="2" t="s">
        <v>3569</v>
      </c>
      <c r="D1359" t="s">
        <v>5387</v>
      </c>
      <c r="E1359" t="e">
        <v>#VALUE!</v>
      </c>
      <c r="F1359" t="s">
        <v>12</v>
      </c>
      <c r="G1359" t="s">
        <v>0</v>
      </c>
      <c r="H1359" s="1">
        <f>DATE(2024,1,12)</f>
        <v>45303</v>
      </c>
    </row>
    <row r="1360" spans="1:8" x14ac:dyDescent="0.35">
      <c r="A1360" s="2" t="s">
        <v>3570</v>
      </c>
      <c r="B1360" s="2" t="s">
        <v>3571</v>
      </c>
      <c r="D1360" t="s">
        <v>5387</v>
      </c>
      <c r="E1360" t="e">
        <v>#VALUE!</v>
      </c>
      <c r="F1360" t="s">
        <v>12</v>
      </c>
      <c r="G1360" t="s">
        <v>0</v>
      </c>
      <c r="H1360" s="1">
        <f>DATE(2023,10,26)</f>
        <v>45225</v>
      </c>
    </row>
    <row r="1361" spans="1:8" x14ac:dyDescent="0.35">
      <c r="A1361" s="2" t="s">
        <v>3572</v>
      </c>
      <c r="B1361" s="2" t="s">
        <v>3573</v>
      </c>
      <c r="C1361" s="2" t="s">
        <v>3574</v>
      </c>
      <c r="D1361" t="s">
        <v>5439</v>
      </c>
      <c r="E1361" t="s">
        <v>6568</v>
      </c>
      <c r="F1361" t="s">
        <v>12</v>
      </c>
      <c r="G1361" t="s">
        <v>0</v>
      </c>
      <c r="H1361" s="1">
        <f>DATE(2023,10,30)</f>
        <v>45229</v>
      </c>
    </row>
    <row r="1362" spans="1:8" x14ac:dyDescent="0.35">
      <c r="A1362" s="2" t="s">
        <v>3575</v>
      </c>
      <c r="B1362" s="2" t="s">
        <v>3576</v>
      </c>
      <c r="C1362" s="2" t="s">
        <v>3577</v>
      </c>
      <c r="D1362" t="s">
        <v>5439</v>
      </c>
      <c r="E1362" t="s">
        <v>6568</v>
      </c>
      <c r="F1362" t="s">
        <v>12</v>
      </c>
      <c r="G1362" t="s">
        <v>0</v>
      </c>
      <c r="H1362" s="1">
        <f>DATE(2023,10,30)</f>
        <v>45229</v>
      </c>
    </row>
    <row r="1363" spans="1:8" x14ac:dyDescent="0.35">
      <c r="A1363" s="2" t="s">
        <v>3578</v>
      </c>
      <c r="B1363" s="2" t="s">
        <v>3579</v>
      </c>
      <c r="C1363" s="2" t="s">
        <v>3580</v>
      </c>
      <c r="D1363" t="s">
        <v>5439</v>
      </c>
      <c r="E1363" t="s">
        <v>6568</v>
      </c>
      <c r="F1363" t="s">
        <v>12</v>
      </c>
      <c r="G1363" t="s">
        <v>0</v>
      </c>
      <c r="H1363" s="1">
        <f>DATE(2023,10,30)</f>
        <v>45229</v>
      </c>
    </row>
    <row r="1364" spans="1:8" x14ac:dyDescent="0.35">
      <c r="A1364" s="2" t="s">
        <v>3581</v>
      </c>
      <c r="B1364" s="2" t="s">
        <v>3582</v>
      </c>
      <c r="C1364" s="2" t="s">
        <v>3583</v>
      </c>
      <c r="D1364" t="s">
        <v>5439</v>
      </c>
      <c r="E1364" t="s">
        <v>6568</v>
      </c>
      <c r="F1364" t="s">
        <v>12</v>
      </c>
      <c r="G1364" t="s">
        <v>0</v>
      </c>
      <c r="H1364" s="1">
        <f>DATE(2023,10,30)</f>
        <v>45229</v>
      </c>
    </row>
    <row r="1365" spans="1:8" x14ac:dyDescent="0.35">
      <c r="A1365" s="2" t="s">
        <v>3584</v>
      </c>
      <c r="B1365" s="2" t="s">
        <v>3585</v>
      </c>
      <c r="C1365" s="2" t="s">
        <v>3586</v>
      </c>
      <c r="D1365" t="s">
        <v>5439</v>
      </c>
      <c r="E1365" t="s">
        <v>6568</v>
      </c>
      <c r="F1365" t="s">
        <v>12</v>
      </c>
      <c r="G1365" t="s">
        <v>0</v>
      </c>
      <c r="H1365" s="1">
        <f>DATE(2023,10,30)</f>
        <v>45229</v>
      </c>
    </row>
    <row r="1366" spans="1:8" x14ac:dyDescent="0.35">
      <c r="A1366" s="2" t="s">
        <v>3587</v>
      </c>
      <c r="B1366" s="2" t="s">
        <v>3588</v>
      </c>
      <c r="C1366" s="2" t="s">
        <v>3589</v>
      </c>
      <c r="D1366" t="s">
        <v>5439</v>
      </c>
      <c r="E1366" t="s">
        <v>6568</v>
      </c>
      <c r="F1366" t="s">
        <v>12</v>
      </c>
      <c r="G1366" t="s">
        <v>0</v>
      </c>
      <c r="H1366" s="1">
        <f>DATE(2023,11,3)</f>
        <v>45233</v>
      </c>
    </row>
    <row r="1367" spans="1:8" x14ac:dyDescent="0.35">
      <c r="A1367" s="2" t="s">
        <v>3590</v>
      </c>
      <c r="B1367" s="2" t="s">
        <v>3591</v>
      </c>
      <c r="C1367" s="2" t="s">
        <v>3592</v>
      </c>
      <c r="D1367" t="s">
        <v>5439</v>
      </c>
      <c r="E1367" t="s">
        <v>6568</v>
      </c>
      <c r="F1367" t="s">
        <v>12</v>
      </c>
      <c r="G1367" t="s">
        <v>0</v>
      </c>
      <c r="H1367" s="1">
        <f>DATE(2023,10,30)</f>
        <v>45229</v>
      </c>
    </row>
    <row r="1368" spans="1:8" x14ac:dyDescent="0.35">
      <c r="A1368" s="2" t="s">
        <v>3593</v>
      </c>
      <c r="B1368" s="2" t="s">
        <v>3594</v>
      </c>
      <c r="C1368" s="2" t="s">
        <v>3595</v>
      </c>
      <c r="D1368" t="s">
        <v>6195</v>
      </c>
      <c r="E1368" t="s">
        <v>7325</v>
      </c>
      <c r="F1368" t="s">
        <v>12</v>
      </c>
      <c r="G1368" t="s">
        <v>0</v>
      </c>
      <c r="H1368" s="1">
        <f>DATE(2023,10,30)</f>
        <v>45229</v>
      </c>
    </row>
    <row r="1369" spans="1:8" x14ac:dyDescent="0.35">
      <c r="A1369" s="2" t="s">
        <v>3596</v>
      </c>
      <c r="B1369" s="2" t="s">
        <v>3597</v>
      </c>
      <c r="C1369" s="2" t="s">
        <v>3598</v>
      </c>
      <c r="D1369" t="s">
        <v>5439</v>
      </c>
      <c r="E1369" t="s">
        <v>6568</v>
      </c>
      <c r="F1369" t="s">
        <v>12</v>
      </c>
      <c r="G1369" t="s">
        <v>0</v>
      </c>
      <c r="H1369" s="1">
        <f t="shared" ref="H1369:H1377" si="15">DATE(2023,10,31)</f>
        <v>45230</v>
      </c>
    </row>
    <row r="1370" spans="1:8" x14ac:dyDescent="0.35">
      <c r="A1370" s="2" t="s">
        <v>3599</v>
      </c>
      <c r="B1370" s="2" t="s">
        <v>3600</v>
      </c>
      <c r="C1370" s="2" t="s">
        <v>3601</v>
      </c>
      <c r="D1370" t="s">
        <v>5439</v>
      </c>
      <c r="E1370" t="s">
        <v>6568</v>
      </c>
      <c r="F1370" t="s">
        <v>12</v>
      </c>
      <c r="G1370" t="s">
        <v>0</v>
      </c>
      <c r="H1370" s="1">
        <f t="shared" si="15"/>
        <v>45230</v>
      </c>
    </row>
    <row r="1371" spans="1:8" x14ac:dyDescent="0.35">
      <c r="A1371" s="2" t="s">
        <v>3602</v>
      </c>
      <c r="B1371" s="2" t="s">
        <v>3603</v>
      </c>
      <c r="C1371" s="2" t="s">
        <v>3604</v>
      </c>
      <c r="D1371" t="s">
        <v>5846</v>
      </c>
      <c r="E1371" t="s">
        <v>6976</v>
      </c>
      <c r="F1371" t="s">
        <v>12</v>
      </c>
      <c r="G1371" t="s">
        <v>0</v>
      </c>
      <c r="H1371" s="1">
        <f t="shared" si="15"/>
        <v>45230</v>
      </c>
    </row>
    <row r="1372" spans="1:8" x14ac:dyDescent="0.35">
      <c r="A1372" s="2" t="s">
        <v>3605</v>
      </c>
      <c r="B1372" s="2" t="s">
        <v>3606</v>
      </c>
      <c r="C1372" s="2" t="s">
        <v>3607</v>
      </c>
      <c r="D1372" t="s">
        <v>5439</v>
      </c>
      <c r="E1372" t="s">
        <v>6568</v>
      </c>
      <c r="F1372" t="s">
        <v>12</v>
      </c>
      <c r="G1372" t="s">
        <v>0</v>
      </c>
      <c r="H1372" s="1">
        <f t="shared" si="15"/>
        <v>45230</v>
      </c>
    </row>
    <row r="1373" spans="1:8" x14ac:dyDescent="0.35">
      <c r="A1373" s="2" t="s">
        <v>3608</v>
      </c>
      <c r="B1373" s="2" t="s">
        <v>3609</v>
      </c>
      <c r="C1373" s="2" t="s">
        <v>3610</v>
      </c>
      <c r="D1373" t="s">
        <v>5439</v>
      </c>
      <c r="E1373" t="s">
        <v>6568</v>
      </c>
      <c r="F1373" t="s">
        <v>12</v>
      </c>
      <c r="G1373" t="s">
        <v>0</v>
      </c>
      <c r="H1373" s="1">
        <f t="shared" si="15"/>
        <v>45230</v>
      </c>
    </row>
    <row r="1374" spans="1:8" x14ac:dyDescent="0.35">
      <c r="A1374" s="2" t="s">
        <v>3611</v>
      </c>
      <c r="B1374" s="2" t="s">
        <v>3612</v>
      </c>
      <c r="C1374" s="2" t="s">
        <v>3613</v>
      </c>
      <c r="D1374" t="s">
        <v>6196</v>
      </c>
      <c r="E1374" t="s">
        <v>7326</v>
      </c>
      <c r="F1374" t="s">
        <v>12</v>
      </c>
      <c r="G1374" t="s">
        <v>0</v>
      </c>
      <c r="H1374" s="1">
        <f t="shared" si="15"/>
        <v>45230</v>
      </c>
    </row>
    <row r="1375" spans="1:8" x14ac:dyDescent="0.35">
      <c r="A1375" s="2" t="s">
        <v>3614</v>
      </c>
      <c r="B1375" s="2" t="s">
        <v>3615</v>
      </c>
      <c r="D1375" t="s">
        <v>5387</v>
      </c>
      <c r="E1375" t="e">
        <v>#VALUE!</v>
      </c>
      <c r="F1375" t="s">
        <v>12</v>
      </c>
      <c r="G1375" t="s">
        <v>0</v>
      </c>
      <c r="H1375" s="1">
        <f t="shared" si="15"/>
        <v>45230</v>
      </c>
    </row>
    <row r="1376" spans="1:8" x14ac:dyDescent="0.35">
      <c r="A1376" s="2" t="s">
        <v>3616</v>
      </c>
      <c r="B1376" s="2" t="s">
        <v>3617</v>
      </c>
      <c r="C1376" s="2" t="s">
        <v>3618</v>
      </c>
      <c r="D1376" t="s">
        <v>6197</v>
      </c>
      <c r="E1376" t="s">
        <v>7327</v>
      </c>
      <c r="F1376" t="s">
        <v>12</v>
      </c>
      <c r="G1376" t="s">
        <v>0</v>
      </c>
      <c r="H1376" s="1">
        <f t="shared" si="15"/>
        <v>45230</v>
      </c>
    </row>
    <row r="1377" spans="1:8" x14ac:dyDescent="0.35">
      <c r="A1377" s="2" t="s">
        <v>3619</v>
      </c>
      <c r="B1377" s="2" t="s">
        <v>3620</v>
      </c>
      <c r="C1377" s="2" t="s">
        <v>3621</v>
      </c>
      <c r="D1377" t="s">
        <v>6197</v>
      </c>
      <c r="E1377" t="s">
        <v>7327</v>
      </c>
      <c r="F1377" t="s">
        <v>12</v>
      </c>
      <c r="G1377" t="s">
        <v>0</v>
      </c>
      <c r="H1377" s="1">
        <f t="shared" si="15"/>
        <v>45230</v>
      </c>
    </row>
    <row r="1378" spans="1:8" x14ac:dyDescent="0.35">
      <c r="A1378" s="2" t="s">
        <v>3622</v>
      </c>
      <c r="B1378" s="2" t="s">
        <v>3623</v>
      </c>
      <c r="C1378" s="2" t="s">
        <v>3624</v>
      </c>
      <c r="D1378" t="s">
        <v>5509</v>
      </c>
      <c r="E1378" t="s">
        <v>6638</v>
      </c>
      <c r="F1378" t="s">
        <v>12</v>
      </c>
      <c r="G1378" t="s">
        <v>0</v>
      </c>
      <c r="H1378" s="1">
        <f>DATE(2023,12,7)</f>
        <v>45267</v>
      </c>
    </row>
    <row r="1379" spans="1:8" x14ac:dyDescent="0.35">
      <c r="A1379" s="2" t="s">
        <v>3625</v>
      </c>
      <c r="B1379" s="2" t="s">
        <v>3626</v>
      </c>
      <c r="C1379" s="2" t="s">
        <v>3627</v>
      </c>
      <c r="D1379" t="s">
        <v>6198</v>
      </c>
      <c r="E1379" t="s">
        <v>7328</v>
      </c>
      <c r="F1379" t="s">
        <v>12</v>
      </c>
      <c r="G1379" t="s">
        <v>0</v>
      </c>
      <c r="H1379" s="1">
        <f>DATE(2023,11,7)</f>
        <v>45237</v>
      </c>
    </row>
    <row r="1380" spans="1:8" x14ac:dyDescent="0.35">
      <c r="A1380" s="2" t="s">
        <v>3628</v>
      </c>
      <c r="B1380" s="2" t="s">
        <v>3629</v>
      </c>
      <c r="C1380" s="2" t="s">
        <v>3630</v>
      </c>
      <c r="D1380" t="s">
        <v>6199</v>
      </c>
      <c r="E1380" t="s">
        <v>7329</v>
      </c>
      <c r="F1380" t="s">
        <v>12</v>
      </c>
      <c r="G1380" t="s">
        <v>0</v>
      </c>
      <c r="H1380" s="1">
        <f>DATE(2023,11,7)</f>
        <v>45237</v>
      </c>
    </row>
    <row r="1381" spans="1:8" x14ac:dyDescent="0.35">
      <c r="A1381" s="2" t="s">
        <v>3631</v>
      </c>
      <c r="B1381" s="2" t="s">
        <v>3632</v>
      </c>
      <c r="D1381" t="s">
        <v>5387</v>
      </c>
      <c r="E1381" t="e">
        <v>#VALUE!</v>
      </c>
      <c r="F1381" t="s">
        <v>12</v>
      </c>
      <c r="G1381" t="s">
        <v>0</v>
      </c>
      <c r="H1381" s="1">
        <f>DATE(2023,11,7)</f>
        <v>45237</v>
      </c>
    </row>
    <row r="1382" spans="1:8" x14ac:dyDescent="0.35">
      <c r="A1382" s="2" t="s">
        <v>3633</v>
      </c>
      <c r="B1382" s="2" t="s">
        <v>3634</v>
      </c>
      <c r="D1382" t="s">
        <v>5387</v>
      </c>
      <c r="E1382" t="e">
        <v>#VALUE!</v>
      </c>
      <c r="F1382" t="s">
        <v>12</v>
      </c>
      <c r="G1382" t="s">
        <v>0</v>
      </c>
      <c r="H1382" s="1">
        <f>DATE(2023,11,7)</f>
        <v>45237</v>
      </c>
    </row>
    <row r="1383" spans="1:8" x14ac:dyDescent="0.35">
      <c r="A1383" s="2" t="s">
        <v>3635</v>
      </c>
      <c r="B1383" s="2" t="s">
        <v>3636</v>
      </c>
      <c r="C1383" s="2" t="s">
        <v>3637</v>
      </c>
      <c r="D1383" t="s">
        <v>6200</v>
      </c>
      <c r="E1383" t="s">
        <v>7330</v>
      </c>
      <c r="F1383" t="s">
        <v>12</v>
      </c>
      <c r="G1383" t="s">
        <v>0</v>
      </c>
      <c r="H1383" s="1">
        <f>DATE(2023,11,8)</f>
        <v>45238</v>
      </c>
    </row>
    <row r="1384" spans="1:8" x14ac:dyDescent="0.35">
      <c r="A1384" s="2" t="s">
        <v>3638</v>
      </c>
      <c r="B1384" s="2" t="s">
        <v>3639</v>
      </c>
      <c r="C1384" s="2" t="s">
        <v>3640</v>
      </c>
      <c r="D1384" t="s">
        <v>6201</v>
      </c>
      <c r="E1384" t="s">
        <v>7331</v>
      </c>
      <c r="F1384" t="s">
        <v>12</v>
      </c>
      <c r="G1384" t="s">
        <v>0</v>
      </c>
      <c r="H1384" s="1">
        <f>DATE(2023,11,9)</f>
        <v>45239</v>
      </c>
    </row>
    <row r="1385" spans="1:8" x14ac:dyDescent="0.35">
      <c r="A1385" s="2" t="s">
        <v>3641</v>
      </c>
      <c r="B1385" s="2" t="s">
        <v>3642</v>
      </c>
      <c r="D1385" t="s">
        <v>5387</v>
      </c>
      <c r="E1385" t="e">
        <v>#VALUE!</v>
      </c>
      <c r="F1385" t="s">
        <v>12</v>
      </c>
      <c r="G1385" t="s">
        <v>0</v>
      </c>
      <c r="H1385" s="1">
        <f>DATE(2023,11,9)</f>
        <v>45239</v>
      </c>
    </row>
    <row r="1386" spans="1:8" x14ac:dyDescent="0.35">
      <c r="A1386" s="2" t="s">
        <v>3643</v>
      </c>
      <c r="B1386" s="2" t="s">
        <v>3644</v>
      </c>
      <c r="C1386" s="2" t="s">
        <v>3645</v>
      </c>
      <c r="D1386" t="s">
        <v>6202</v>
      </c>
      <c r="E1386" t="s">
        <v>7332</v>
      </c>
      <c r="F1386" t="s">
        <v>12</v>
      </c>
      <c r="G1386" t="s">
        <v>0</v>
      </c>
      <c r="H1386" s="1">
        <f>DATE(2024,1,9)</f>
        <v>45300</v>
      </c>
    </row>
    <row r="1387" spans="1:8" x14ac:dyDescent="0.35">
      <c r="A1387" s="2" t="s">
        <v>3646</v>
      </c>
      <c r="B1387" s="2" t="s">
        <v>3647</v>
      </c>
      <c r="C1387" s="2" t="s">
        <v>3648</v>
      </c>
      <c r="D1387" t="s">
        <v>6203</v>
      </c>
      <c r="E1387" t="s">
        <v>7333</v>
      </c>
      <c r="F1387" t="s">
        <v>12</v>
      </c>
      <c r="G1387" t="s">
        <v>0</v>
      </c>
      <c r="H1387" s="1">
        <f>DATE(2023,11,9)</f>
        <v>45239</v>
      </c>
    </row>
    <row r="1388" spans="1:8" x14ac:dyDescent="0.35">
      <c r="A1388" s="2" t="s">
        <v>3649</v>
      </c>
      <c r="B1388" s="2" t="s">
        <v>3650</v>
      </c>
      <c r="C1388" s="2" t="s">
        <v>3651</v>
      </c>
      <c r="D1388" t="s">
        <v>6204</v>
      </c>
      <c r="E1388" t="s">
        <v>7334</v>
      </c>
      <c r="F1388" t="s">
        <v>12</v>
      </c>
      <c r="G1388" t="s">
        <v>0</v>
      </c>
      <c r="H1388" s="1">
        <f>DATE(2023,11,9)</f>
        <v>45239</v>
      </c>
    </row>
    <row r="1389" spans="1:8" x14ac:dyDescent="0.35">
      <c r="A1389" s="2" t="s">
        <v>3652</v>
      </c>
      <c r="B1389" s="2" t="s">
        <v>3653</v>
      </c>
      <c r="C1389" s="2" t="s">
        <v>3654</v>
      </c>
      <c r="D1389" t="s">
        <v>6205</v>
      </c>
      <c r="E1389" t="s">
        <v>7335</v>
      </c>
      <c r="F1389" t="s">
        <v>12</v>
      </c>
      <c r="G1389" t="s">
        <v>0</v>
      </c>
      <c r="H1389" s="1">
        <f>DATE(2023,11,9)</f>
        <v>45239</v>
      </c>
    </row>
    <row r="1390" spans="1:8" x14ac:dyDescent="0.35">
      <c r="A1390" s="2" t="s">
        <v>3655</v>
      </c>
      <c r="B1390" s="2" t="s">
        <v>3656</v>
      </c>
      <c r="C1390" s="2" t="s">
        <v>3657</v>
      </c>
      <c r="D1390" t="s">
        <v>5896</v>
      </c>
      <c r="E1390" t="s">
        <v>7026</v>
      </c>
      <c r="F1390" t="s">
        <v>12</v>
      </c>
      <c r="G1390" t="s">
        <v>0</v>
      </c>
      <c r="H1390" s="1">
        <f>DATE(2023,11,16)</f>
        <v>45246</v>
      </c>
    </row>
    <row r="1391" spans="1:8" x14ac:dyDescent="0.35">
      <c r="A1391" s="2" t="s">
        <v>3658</v>
      </c>
      <c r="B1391" s="2" t="s">
        <v>3659</v>
      </c>
      <c r="C1391" s="2" t="s">
        <v>3660</v>
      </c>
      <c r="D1391" t="s">
        <v>6206</v>
      </c>
      <c r="E1391" t="s">
        <v>7336</v>
      </c>
      <c r="F1391" t="s">
        <v>12</v>
      </c>
      <c r="G1391" t="s">
        <v>0</v>
      </c>
      <c r="H1391" s="1">
        <f>DATE(2023,11,17)</f>
        <v>45247</v>
      </c>
    </row>
    <row r="1392" spans="1:8" x14ac:dyDescent="0.35">
      <c r="A1392" s="2" t="s">
        <v>3661</v>
      </c>
      <c r="B1392" s="2" t="s">
        <v>3662</v>
      </c>
      <c r="C1392" s="2" t="s">
        <v>3663</v>
      </c>
      <c r="D1392" t="s">
        <v>6207</v>
      </c>
      <c r="E1392" t="s">
        <v>7337</v>
      </c>
      <c r="F1392" t="s">
        <v>12</v>
      </c>
      <c r="G1392" t="s">
        <v>0</v>
      </c>
      <c r="H1392" s="1">
        <f>DATE(2023,11,20)</f>
        <v>45250</v>
      </c>
    </row>
    <row r="1393" spans="1:8" x14ac:dyDescent="0.35">
      <c r="A1393" s="2" t="s">
        <v>3664</v>
      </c>
      <c r="B1393" s="2" t="s">
        <v>3665</v>
      </c>
      <c r="C1393" s="2" t="s">
        <v>3666</v>
      </c>
      <c r="D1393" t="s">
        <v>6208</v>
      </c>
      <c r="E1393" t="s">
        <v>7338</v>
      </c>
      <c r="F1393" t="s">
        <v>12</v>
      </c>
      <c r="G1393" t="s">
        <v>0</v>
      </c>
      <c r="H1393" s="1">
        <f>DATE(2023,11,20)</f>
        <v>45250</v>
      </c>
    </row>
    <row r="1394" spans="1:8" x14ac:dyDescent="0.35">
      <c r="A1394" s="2" t="s">
        <v>3667</v>
      </c>
      <c r="B1394" s="2" t="s">
        <v>3668</v>
      </c>
      <c r="D1394" t="s">
        <v>5387</v>
      </c>
      <c r="E1394" t="e">
        <v>#VALUE!</v>
      </c>
      <c r="F1394" t="s">
        <v>12</v>
      </c>
      <c r="G1394" t="s">
        <v>0</v>
      </c>
      <c r="H1394" s="1">
        <f>DATE(2023,12,26)</f>
        <v>45286</v>
      </c>
    </row>
    <row r="1395" spans="1:8" x14ac:dyDescent="0.35">
      <c r="A1395" s="2" t="s">
        <v>3669</v>
      </c>
      <c r="B1395" s="2" t="s">
        <v>3670</v>
      </c>
      <c r="D1395" t="s">
        <v>5387</v>
      </c>
      <c r="E1395" t="e">
        <v>#VALUE!</v>
      </c>
      <c r="F1395" t="s">
        <v>12</v>
      </c>
      <c r="G1395" t="s">
        <v>0</v>
      </c>
      <c r="H1395" s="1">
        <f>DATE(2022,12,16)</f>
        <v>44911</v>
      </c>
    </row>
    <row r="1396" spans="1:8" x14ac:dyDescent="0.35">
      <c r="A1396" s="2" t="s">
        <v>3671</v>
      </c>
      <c r="B1396" s="2" t="s">
        <v>3672</v>
      </c>
      <c r="D1396" t="s">
        <v>5387</v>
      </c>
      <c r="E1396" t="e">
        <v>#VALUE!</v>
      </c>
      <c r="F1396" t="s">
        <v>12</v>
      </c>
      <c r="G1396" t="s">
        <v>0</v>
      </c>
      <c r="H1396" s="1">
        <f>DATE(2022,12,21)</f>
        <v>44916</v>
      </c>
    </row>
    <row r="1397" spans="1:8" x14ac:dyDescent="0.35">
      <c r="A1397" s="2" t="s">
        <v>3673</v>
      </c>
      <c r="B1397" s="2" t="s">
        <v>3674</v>
      </c>
      <c r="C1397" s="2" t="s">
        <v>3675</v>
      </c>
      <c r="D1397" t="s">
        <v>6209</v>
      </c>
      <c r="E1397" t="s">
        <v>7339</v>
      </c>
      <c r="F1397" t="s">
        <v>12</v>
      </c>
      <c r="G1397" t="s">
        <v>0</v>
      </c>
      <c r="H1397" s="1">
        <f>DATE(2023,1,2)</f>
        <v>44928</v>
      </c>
    </row>
    <row r="1398" spans="1:8" x14ac:dyDescent="0.35">
      <c r="A1398" s="2" t="s">
        <v>3676</v>
      </c>
      <c r="B1398" s="2" t="s">
        <v>3677</v>
      </c>
      <c r="D1398" t="s">
        <v>5387</v>
      </c>
      <c r="E1398" t="e">
        <v>#VALUE!</v>
      </c>
      <c r="F1398" t="s">
        <v>12</v>
      </c>
      <c r="G1398" t="s">
        <v>0</v>
      </c>
      <c r="H1398" s="1">
        <f>DATE(2023,1,6)</f>
        <v>44932</v>
      </c>
    </row>
    <row r="1399" spans="1:8" x14ac:dyDescent="0.35">
      <c r="A1399" s="2" t="s">
        <v>3678</v>
      </c>
      <c r="B1399" s="2" t="s">
        <v>3679</v>
      </c>
      <c r="D1399" t="s">
        <v>5387</v>
      </c>
      <c r="E1399" t="e">
        <v>#VALUE!</v>
      </c>
      <c r="F1399" t="s">
        <v>12</v>
      </c>
      <c r="G1399" t="s">
        <v>0</v>
      </c>
      <c r="H1399" s="1">
        <f>DATE(2023,1,10)</f>
        <v>44936</v>
      </c>
    </row>
    <row r="1400" spans="1:8" x14ac:dyDescent="0.35">
      <c r="A1400" s="2" t="s">
        <v>3680</v>
      </c>
      <c r="B1400" s="2" t="s">
        <v>3681</v>
      </c>
      <c r="C1400" s="2" t="s">
        <v>2736</v>
      </c>
      <c r="D1400" t="s">
        <v>5503</v>
      </c>
      <c r="E1400" t="s">
        <v>6632</v>
      </c>
      <c r="F1400" t="s">
        <v>12</v>
      </c>
      <c r="G1400" t="s">
        <v>0</v>
      </c>
      <c r="H1400" s="1">
        <f>DATE(2023,10,6)</f>
        <v>45205</v>
      </c>
    </row>
    <row r="1401" spans="1:8" x14ac:dyDescent="0.35">
      <c r="A1401" s="2" t="s">
        <v>3682</v>
      </c>
      <c r="B1401" s="2" t="s">
        <v>3683</v>
      </c>
      <c r="D1401" t="s">
        <v>5387</v>
      </c>
      <c r="E1401" t="e">
        <v>#VALUE!</v>
      </c>
      <c r="F1401" t="s">
        <v>12</v>
      </c>
      <c r="G1401" t="s">
        <v>0</v>
      </c>
      <c r="H1401" s="1">
        <f>DATE(2023,2,16)</f>
        <v>44973</v>
      </c>
    </row>
    <row r="1402" spans="1:8" x14ac:dyDescent="0.35">
      <c r="A1402" s="2" t="s">
        <v>3684</v>
      </c>
      <c r="B1402" s="2" t="s">
        <v>3685</v>
      </c>
      <c r="D1402" t="s">
        <v>5387</v>
      </c>
      <c r="E1402" t="e">
        <v>#VALUE!</v>
      </c>
      <c r="F1402" t="s">
        <v>12</v>
      </c>
      <c r="G1402" t="s">
        <v>0</v>
      </c>
      <c r="H1402" s="1">
        <f>DATE(2023,2,27)</f>
        <v>44984</v>
      </c>
    </row>
    <row r="1403" spans="1:8" x14ac:dyDescent="0.35">
      <c r="A1403" s="2" t="s">
        <v>3686</v>
      </c>
      <c r="B1403" s="2" t="s">
        <v>3687</v>
      </c>
      <c r="D1403" t="s">
        <v>5387</v>
      </c>
      <c r="E1403" t="e">
        <v>#VALUE!</v>
      </c>
      <c r="F1403" t="s">
        <v>12</v>
      </c>
      <c r="G1403" t="s">
        <v>0</v>
      </c>
      <c r="H1403" s="1">
        <f>DATE(2023,2,28)</f>
        <v>44985</v>
      </c>
    </row>
    <row r="1404" spans="1:8" x14ac:dyDescent="0.35">
      <c r="A1404" s="2" t="s">
        <v>3688</v>
      </c>
      <c r="B1404" s="2" t="s">
        <v>3689</v>
      </c>
      <c r="C1404" s="2" t="s">
        <v>3690</v>
      </c>
      <c r="D1404" t="s">
        <v>6210</v>
      </c>
      <c r="E1404" t="s">
        <v>7340</v>
      </c>
      <c r="F1404" t="s">
        <v>12</v>
      </c>
      <c r="G1404" t="s">
        <v>0</v>
      </c>
      <c r="H1404" s="1">
        <f>DATE(2023,5,2)</f>
        <v>45048</v>
      </c>
    </row>
    <row r="1405" spans="1:8" x14ac:dyDescent="0.35">
      <c r="A1405" s="2" t="s">
        <v>3691</v>
      </c>
      <c r="B1405" s="2" t="s">
        <v>3692</v>
      </c>
      <c r="C1405" s="2" t="s">
        <v>3693</v>
      </c>
      <c r="D1405" t="s">
        <v>6160</v>
      </c>
      <c r="E1405" t="s">
        <v>7290</v>
      </c>
      <c r="F1405" t="s">
        <v>12</v>
      </c>
      <c r="G1405" t="s">
        <v>0</v>
      </c>
      <c r="H1405" s="1">
        <f>DATE(2023,5,17)</f>
        <v>45063</v>
      </c>
    </row>
    <row r="1406" spans="1:8" x14ac:dyDescent="0.35">
      <c r="A1406" s="2" t="s">
        <v>3694</v>
      </c>
      <c r="B1406" s="2" t="s">
        <v>3695</v>
      </c>
      <c r="D1406" t="s">
        <v>5387</v>
      </c>
      <c r="E1406" t="e">
        <v>#VALUE!</v>
      </c>
      <c r="F1406" t="s">
        <v>12</v>
      </c>
      <c r="G1406" t="s">
        <v>0</v>
      </c>
      <c r="H1406" s="1">
        <f>DATE(2023,6,5)</f>
        <v>45082</v>
      </c>
    </row>
    <row r="1407" spans="1:8" x14ac:dyDescent="0.35">
      <c r="A1407" s="2" t="s">
        <v>3696</v>
      </c>
      <c r="B1407" s="2" t="s">
        <v>3697</v>
      </c>
      <c r="D1407" t="s">
        <v>5387</v>
      </c>
      <c r="E1407" t="e">
        <v>#VALUE!</v>
      </c>
      <c r="F1407" t="s">
        <v>12</v>
      </c>
      <c r="G1407" t="s">
        <v>0</v>
      </c>
      <c r="H1407" s="1">
        <f>DATE(2023,9,8)</f>
        <v>45177</v>
      </c>
    </row>
    <row r="1408" spans="1:8" x14ac:dyDescent="0.35">
      <c r="A1408" s="2" t="s">
        <v>3698</v>
      </c>
      <c r="B1408" s="2" t="s">
        <v>3699</v>
      </c>
      <c r="D1408" t="s">
        <v>5387</v>
      </c>
      <c r="E1408" t="e">
        <v>#VALUE!</v>
      </c>
      <c r="F1408" t="s">
        <v>12</v>
      </c>
      <c r="G1408" t="s">
        <v>0</v>
      </c>
      <c r="H1408" s="1">
        <f>DATE(2023,9,20)</f>
        <v>45189</v>
      </c>
    </row>
    <row r="1409" spans="1:8" x14ac:dyDescent="0.35">
      <c r="A1409" s="2" t="s">
        <v>3700</v>
      </c>
      <c r="B1409" s="2" t="s">
        <v>3701</v>
      </c>
      <c r="D1409" t="s">
        <v>5387</v>
      </c>
      <c r="E1409" t="e">
        <v>#VALUE!</v>
      </c>
      <c r="F1409" t="s">
        <v>12</v>
      </c>
      <c r="G1409" t="s">
        <v>0</v>
      </c>
      <c r="H1409" s="1">
        <f>DATE(2023,10,17)</f>
        <v>45216</v>
      </c>
    </row>
    <row r="1410" spans="1:8" x14ac:dyDescent="0.35">
      <c r="A1410" s="2" t="s">
        <v>3702</v>
      </c>
      <c r="B1410" s="2" t="s">
        <v>3703</v>
      </c>
      <c r="D1410" t="s">
        <v>5387</v>
      </c>
      <c r="E1410" t="e">
        <v>#VALUE!</v>
      </c>
      <c r="F1410" t="s">
        <v>12</v>
      </c>
      <c r="G1410" t="s">
        <v>0</v>
      </c>
      <c r="H1410" s="1">
        <f>DATE(2023,11,27)</f>
        <v>45257</v>
      </c>
    </row>
    <row r="1411" spans="1:8" x14ac:dyDescent="0.35">
      <c r="A1411" s="2" t="s">
        <v>3704</v>
      </c>
      <c r="B1411" s="2" t="s">
        <v>3705</v>
      </c>
      <c r="D1411" t="s">
        <v>5387</v>
      </c>
      <c r="E1411" t="e">
        <v>#VALUE!</v>
      </c>
      <c r="F1411" t="s">
        <v>12</v>
      </c>
      <c r="G1411" t="s">
        <v>0</v>
      </c>
      <c r="H1411" s="1">
        <f>DATE(2023,12,11)</f>
        <v>45271</v>
      </c>
    </row>
    <row r="1412" spans="1:8" x14ac:dyDescent="0.35">
      <c r="A1412" s="2" t="s">
        <v>3706</v>
      </c>
      <c r="B1412" s="2" t="s">
        <v>3707</v>
      </c>
      <c r="C1412" s="2" t="s">
        <v>3708</v>
      </c>
      <c r="D1412" t="s">
        <v>6211</v>
      </c>
      <c r="E1412" t="s">
        <v>7341</v>
      </c>
      <c r="F1412" t="s">
        <v>12</v>
      </c>
      <c r="G1412" t="s">
        <v>0</v>
      </c>
      <c r="H1412" s="1">
        <f>DATE(2023,12,13)</f>
        <v>45273</v>
      </c>
    </row>
    <row r="1413" spans="1:8" x14ac:dyDescent="0.35">
      <c r="A1413" s="2" t="s">
        <v>3709</v>
      </c>
      <c r="B1413" s="2" t="s">
        <v>3710</v>
      </c>
      <c r="C1413" s="2" t="s">
        <v>3711</v>
      </c>
      <c r="D1413" t="s">
        <v>6212</v>
      </c>
      <c r="E1413" t="s">
        <v>7342</v>
      </c>
      <c r="F1413" t="s">
        <v>12</v>
      </c>
      <c r="G1413" t="s">
        <v>0</v>
      </c>
      <c r="H1413" s="1">
        <f>DATE(2023,12,21)</f>
        <v>45281</v>
      </c>
    </row>
    <row r="1414" spans="1:8" x14ac:dyDescent="0.35">
      <c r="A1414" s="2" t="s">
        <v>3712</v>
      </c>
      <c r="B1414" s="2" t="s">
        <v>3713</v>
      </c>
      <c r="D1414" t="s">
        <v>5387</v>
      </c>
      <c r="E1414" t="e">
        <v>#VALUE!</v>
      </c>
      <c r="F1414" t="s">
        <v>12</v>
      </c>
      <c r="G1414" t="s">
        <v>0</v>
      </c>
      <c r="H1414" s="1">
        <f>DATE(2023,12,28)</f>
        <v>45288</v>
      </c>
    </row>
    <row r="1415" spans="1:8" x14ac:dyDescent="0.35">
      <c r="A1415" s="2" t="s">
        <v>3714</v>
      </c>
      <c r="B1415" s="2" t="s">
        <v>3715</v>
      </c>
      <c r="D1415" t="s">
        <v>5387</v>
      </c>
      <c r="E1415" t="e">
        <v>#VALUE!</v>
      </c>
      <c r="F1415" t="s">
        <v>12</v>
      </c>
      <c r="G1415" t="s">
        <v>0</v>
      </c>
      <c r="H1415" s="1">
        <f>DATE(2023,12,29)</f>
        <v>45289</v>
      </c>
    </row>
    <row r="1416" spans="1:8" x14ac:dyDescent="0.35">
      <c r="A1416" s="2" t="s">
        <v>3716</v>
      </c>
      <c r="B1416" s="2" t="s">
        <v>3717</v>
      </c>
      <c r="D1416" t="s">
        <v>5387</v>
      </c>
      <c r="E1416" t="e">
        <v>#VALUE!</v>
      </c>
      <c r="F1416" t="s">
        <v>12</v>
      </c>
      <c r="G1416" t="s">
        <v>0</v>
      </c>
      <c r="H1416" s="1">
        <f>DATE(2023,12,31)</f>
        <v>45291</v>
      </c>
    </row>
    <row r="1417" spans="1:8" x14ac:dyDescent="0.35">
      <c r="A1417" s="2" t="s">
        <v>3718</v>
      </c>
      <c r="B1417" s="2" t="s">
        <v>3719</v>
      </c>
      <c r="D1417" t="s">
        <v>5387</v>
      </c>
      <c r="E1417" t="e">
        <v>#VALUE!</v>
      </c>
      <c r="F1417" t="s">
        <v>12</v>
      </c>
      <c r="G1417" t="s">
        <v>0</v>
      </c>
      <c r="H1417" s="1">
        <f>DATE(2023,12,31)</f>
        <v>45291</v>
      </c>
    </row>
    <row r="1418" spans="1:8" x14ac:dyDescent="0.35">
      <c r="A1418" s="2" t="s">
        <v>3720</v>
      </c>
      <c r="B1418" s="2" t="s">
        <v>3721</v>
      </c>
      <c r="D1418" t="s">
        <v>5387</v>
      </c>
      <c r="E1418" t="e">
        <v>#VALUE!</v>
      </c>
      <c r="F1418" t="s">
        <v>12</v>
      </c>
      <c r="G1418" t="s">
        <v>0</v>
      </c>
      <c r="H1418" s="1">
        <f>DATE(2021,10,12)</f>
        <v>44481</v>
      </c>
    </row>
    <row r="1419" spans="1:8" x14ac:dyDescent="0.35">
      <c r="A1419" s="2" t="s">
        <v>3722</v>
      </c>
      <c r="B1419" s="2" t="s">
        <v>3723</v>
      </c>
      <c r="D1419" t="s">
        <v>5387</v>
      </c>
      <c r="E1419" t="e">
        <v>#VALUE!</v>
      </c>
      <c r="F1419" t="s">
        <v>12</v>
      </c>
      <c r="G1419" t="s">
        <v>0</v>
      </c>
      <c r="H1419" s="1">
        <f>DATE(2022,9,29)</f>
        <v>44833</v>
      </c>
    </row>
    <row r="1420" spans="1:8" x14ac:dyDescent="0.35">
      <c r="A1420" s="2" t="s">
        <v>3724</v>
      </c>
      <c r="B1420" s="2" t="s">
        <v>3725</v>
      </c>
      <c r="D1420" t="s">
        <v>5387</v>
      </c>
      <c r="E1420" t="e">
        <v>#VALUE!</v>
      </c>
      <c r="F1420" t="s">
        <v>12</v>
      </c>
      <c r="G1420" t="s">
        <v>0</v>
      </c>
      <c r="H1420" s="1">
        <f>DATE(2019,11,21)</f>
        <v>43790</v>
      </c>
    </row>
    <row r="1421" spans="1:8" x14ac:dyDescent="0.35">
      <c r="A1421" s="2" t="s">
        <v>3726</v>
      </c>
      <c r="B1421" s="2" t="s">
        <v>3727</v>
      </c>
      <c r="D1421" t="s">
        <v>5387</v>
      </c>
      <c r="E1421" t="e">
        <v>#VALUE!</v>
      </c>
      <c r="F1421" t="s">
        <v>12</v>
      </c>
      <c r="G1421" t="s">
        <v>0</v>
      </c>
      <c r="H1421" s="1">
        <f>DATE(2023,10,6)</f>
        <v>45205</v>
      </c>
    </row>
    <row r="1422" spans="1:8" x14ac:dyDescent="0.35">
      <c r="A1422" s="2" t="s">
        <v>3728</v>
      </c>
      <c r="B1422" s="2" t="s">
        <v>3729</v>
      </c>
      <c r="D1422" t="s">
        <v>5387</v>
      </c>
      <c r="E1422" t="e">
        <v>#VALUE!</v>
      </c>
      <c r="F1422" t="s">
        <v>12</v>
      </c>
      <c r="G1422" t="s">
        <v>0</v>
      </c>
      <c r="H1422" s="1">
        <f>DATE(2023,10,6)</f>
        <v>45205</v>
      </c>
    </row>
    <row r="1423" spans="1:8" x14ac:dyDescent="0.35">
      <c r="A1423" s="2" t="s">
        <v>3730</v>
      </c>
      <c r="B1423" s="2" t="s">
        <v>3731</v>
      </c>
      <c r="D1423" t="s">
        <v>5387</v>
      </c>
      <c r="E1423" t="e">
        <v>#VALUE!</v>
      </c>
      <c r="F1423" t="s">
        <v>12</v>
      </c>
      <c r="G1423" t="s">
        <v>0</v>
      </c>
      <c r="H1423" s="1">
        <f>DATE(2023,10,6)</f>
        <v>45205</v>
      </c>
    </row>
    <row r="1424" spans="1:8" x14ac:dyDescent="0.35">
      <c r="A1424" s="2" t="s">
        <v>3732</v>
      </c>
      <c r="B1424" s="2" t="s">
        <v>3733</v>
      </c>
      <c r="D1424" t="s">
        <v>5387</v>
      </c>
      <c r="E1424" t="e">
        <v>#VALUE!</v>
      </c>
      <c r="F1424" t="s">
        <v>12</v>
      </c>
      <c r="G1424" t="s">
        <v>0</v>
      </c>
      <c r="H1424" s="1">
        <f>DATE(2023,11,24)</f>
        <v>45254</v>
      </c>
    </row>
    <row r="1425" spans="1:8" x14ac:dyDescent="0.35">
      <c r="A1425" s="2" t="s">
        <v>3734</v>
      </c>
      <c r="B1425" s="2" t="s">
        <v>3735</v>
      </c>
      <c r="D1425" t="s">
        <v>5387</v>
      </c>
      <c r="E1425" t="e">
        <v>#VALUE!</v>
      </c>
      <c r="F1425" t="s">
        <v>12</v>
      </c>
      <c r="G1425" t="s">
        <v>0</v>
      </c>
      <c r="H1425" s="1">
        <f>DATE(2019,11,19)</f>
        <v>43788</v>
      </c>
    </row>
    <row r="1426" spans="1:8" x14ac:dyDescent="0.35">
      <c r="A1426" s="2" t="s">
        <v>3736</v>
      </c>
      <c r="B1426" s="2" t="s">
        <v>3737</v>
      </c>
      <c r="D1426" t="s">
        <v>5387</v>
      </c>
      <c r="E1426" t="e">
        <v>#VALUE!</v>
      </c>
      <c r="F1426" t="s">
        <v>12</v>
      </c>
      <c r="G1426" t="s">
        <v>0</v>
      </c>
      <c r="H1426" s="1">
        <f>DATE(2020,9,30)</f>
        <v>44104</v>
      </c>
    </row>
    <row r="1427" spans="1:8" x14ac:dyDescent="0.35">
      <c r="A1427" s="2" t="s">
        <v>3738</v>
      </c>
      <c r="B1427" s="2" t="s">
        <v>3739</v>
      </c>
      <c r="D1427" t="s">
        <v>5387</v>
      </c>
      <c r="E1427" t="e">
        <v>#VALUE!</v>
      </c>
      <c r="F1427" t="s">
        <v>12</v>
      </c>
      <c r="G1427" t="s">
        <v>0</v>
      </c>
      <c r="H1427" s="1">
        <f>DATE(2023,10,6)</f>
        <v>45205</v>
      </c>
    </row>
    <row r="1428" spans="1:8" x14ac:dyDescent="0.35">
      <c r="A1428" s="2" t="s">
        <v>3740</v>
      </c>
      <c r="B1428" s="2" t="s">
        <v>3741</v>
      </c>
      <c r="D1428" t="s">
        <v>5387</v>
      </c>
      <c r="E1428" t="e">
        <v>#VALUE!</v>
      </c>
      <c r="F1428" t="s">
        <v>12</v>
      </c>
      <c r="G1428" t="s">
        <v>0</v>
      </c>
      <c r="H1428" s="1">
        <f>DATE(2023,10,6)</f>
        <v>45205</v>
      </c>
    </row>
    <row r="1429" spans="1:8" x14ac:dyDescent="0.35">
      <c r="A1429" s="2" t="s">
        <v>3742</v>
      </c>
      <c r="B1429" s="2" t="s">
        <v>3743</v>
      </c>
      <c r="C1429" s="2" t="s">
        <v>3744</v>
      </c>
      <c r="D1429" t="s">
        <v>6213</v>
      </c>
      <c r="E1429" t="e">
        <v>#VALUE!</v>
      </c>
      <c r="F1429" t="s">
        <v>12</v>
      </c>
      <c r="G1429" t="s">
        <v>0</v>
      </c>
      <c r="H1429" s="1">
        <f>DATE(2021,11,24)</f>
        <v>44524</v>
      </c>
    </row>
    <row r="1430" spans="1:8" x14ac:dyDescent="0.35">
      <c r="A1430" s="2" t="s">
        <v>3745</v>
      </c>
      <c r="B1430" s="2" t="s">
        <v>3746</v>
      </c>
      <c r="C1430" s="2" t="s">
        <v>2736</v>
      </c>
      <c r="D1430" t="s">
        <v>5503</v>
      </c>
      <c r="E1430" t="s">
        <v>6632</v>
      </c>
      <c r="F1430" t="s">
        <v>12</v>
      </c>
      <c r="G1430" t="s">
        <v>0</v>
      </c>
      <c r="H1430" s="1">
        <f>DATE(2023,10,5)</f>
        <v>45204</v>
      </c>
    </row>
    <row r="1431" spans="1:8" x14ac:dyDescent="0.35">
      <c r="A1431" s="2" t="s">
        <v>3747</v>
      </c>
      <c r="B1431" s="2" t="s">
        <v>3748</v>
      </c>
      <c r="C1431" s="2" t="s">
        <v>3749</v>
      </c>
      <c r="D1431" t="s">
        <v>6214</v>
      </c>
      <c r="E1431" t="s">
        <v>7343</v>
      </c>
      <c r="F1431" t="s">
        <v>12</v>
      </c>
      <c r="G1431" t="s">
        <v>0</v>
      </c>
      <c r="H1431" s="1">
        <f>DATE(2021,11,24)</f>
        <v>44524</v>
      </c>
    </row>
    <row r="1432" spans="1:8" x14ac:dyDescent="0.35">
      <c r="A1432" s="2" t="s">
        <v>3750</v>
      </c>
      <c r="B1432" s="2" t="s">
        <v>3751</v>
      </c>
      <c r="C1432" s="2" t="s">
        <v>3752</v>
      </c>
      <c r="D1432" t="s">
        <v>6215</v>
      </c>
      <c r="E1432" t="s">
        <v>7344</v>
      </c>
      <c r="F1432" t="s">
        <v>12</v>
      </c>
      <c r="G1432" t="s">
        <v>0</v>
      </c>
      <c r="H1432" s="1">
        <f>DATE(2022,9,12)</f>
        <v>44816</v>
      </c>
    </row>
    <row r="1433" spans="1:8" x14ac:dyDescent="0.35">
      <c r="A1433" s="2" t="s">
        <v>3753</v>
      </c>
      <c r="B1433" s="2" t="s">
        <v>3754</v>
      </c>
      <c r="C1433" s="2" t="s">
        <v>2736</v>
      </c>
      <c r="D1433" t="s">
        <v>5503</v>
      </c>
      <c r="E1433" t="s">
        <v>6632</v>
      </c>
      <c r="F1433" t="s">
        <v>12</v>
      </c>
      <c r="G1433" t="s">
        <v>0</v>
      </c>
      <c r="H1433" s="1">
        <f>DATE(2023,9,29)</f>
        <v>45198</v>
      </c>
    </row>
    <row r="1434" spans="1:8" x14ac:dyDescent="0.35">
      <c r="A1434" s="2" t="s">
        <v>3755</v>
      </c>
      <c r="B1434" s="2" t="s">
        <v>3756</v>
      </c>
      <c r="C1434" s="2" t="s">
        <v>2736</v>
      </c>
      <c r="D1434" t="s">
        <v>5503</v>
      </c>
      <c r="E1434" t="s">
        <v>6632</v>
      </c>
      <c r="F1434" t="s">
        <v>12</v>
      </c>
      <c r="G1434" t="s">
        <v>0</v>
      </c>
      <c r="H1434" s="1">
        <f>DATE(2022,12,28)</f>
        <v>44923</v>
      </c>
    </row>
    <row r="1435" spans="1:8" x14ac:dyDescent="0.35">
      <c r="A1435" s="2" t="s">
        <v>3757</v>
      </c>
      <c r="B1435" s="2" t="s">
        <v>3758</v>
      </c>
      <c r="D1435" t="s">
        <v>5387</v>
      </c>
      <c r="E1435" t="e">
        <v>#VALUE!</v>
      </c>
      <c r="F1435" t="s">
        <v>12</v>
      </c>
      <c r="G1435" t="s">
        <v>0</v>
      </c>
      <c r="H1435" s="1">
        <f>DATE(2021,11,24)</f>
        <v>44524</v>
      </c>
    </row>
    <row r="1436" spans="1:8" x14ac:dyDescent="0.35">
      <c r="A1436" s="2" t="s">
        <v>3759</v>
      </c>
      <c r="B1436" s="2" t="s">
        <v>3760</v>
      </c>
      <c r="D1436" t="s">
        <v>5387</v>
      </c>
      <c r="E1436" t="e">
        <v>#VALUE!</v>
      </c>
      <c r="F1436" t="s">
        <v>12</v>
      </c>
      <c r="G1436" t="s">
        <v>0</v>
      </c>
      <c r="H1436" s="1">
        <f>DATE(2020,3,4)</f>
        <v>43894</v>
      </c>
    </row>
    <row r="1437" spans="1:8" x14ac:dyDescent="0.35">
      <c r="A1437" s="2" t="s">
        <v>3761</v>
      </c>
      <c r="B1437" s="2" t="s">
        <v>3762</v>
      </c>
      <c r="C1437" s="2" t="s">
        <v>2736</v>
      </c>
      <c r="D1437" t="s">
        <v>5503</v>
      </c>
      <c r="E1437" t="s">
        <v>6632</v>
      </c>
      <c r="F1437" t="s">
        <v>12</v>
      </c>
      <c r="G1437" t="s">
        <v>0</v>
      </c>
      <c r="H1437" s="1">
        <f>DATE(2023,9,29)</f>
        <v>45198</v>
      </c>
    </row>
    <row r="1438" spans="1:8" x14ac:dyDescent="0.35">
      <c r="A1438" s="2" t="s">
        <v>3763</v>
      </c>
      <c r="B1438" s="2" t="s">
        <v>3764</v>
      </c>
      <c r="D1438" t="s">
        <v>5387</v>
      </c>
      <c r="E1438" t="e">
        <v>#VALUE!</v>
      </c>
      <c r="F1438" t="s">
        <v>12</v>
      </c>
      <c r="G1438" t="s">
        <v>0</v>
      </c>
      <c r="H1438" s="1">
        <f>DATE(2021,11,24)</f>
        <v>44524</v>
      </c>
    </row>
    <row r="1439" spans="1:8" x14ac:dyDescent="0.35">
      <c r="A1439" s="2" t="s">
        <v>3765</v>
      </c>
      <c r="B1439" s="2" t="s">
        <v>3766</v>
      </c>
      <c r="D1439" t="s">
        <v>5387</v>
      </c>
      <c r="E1439" t="e">
        <v>#VALUE!</v>
      </c>
      <c r="F1439" t="s">
        <v>12</v>
      </c>
      <c r="G1439" t="s">
        <v>0</v>
      </c>
      <c r="H1439" s="1">
        <f>DATE(2021,11,24)</f>
        <v>44524</v>
      </c>
    </row>
    <row r="1440" spans="1:8" x14ac:dyDescent="0.35">
      <c r="A1440" s="2" t="s">
        <v>3767</v>
      </c>
      <c r="B1440" s="2" t="s">
        <v>3768</v>
      </c>
      <c r="C1440" s="2" t="s">
        <v>2736</v>
      </c>
      <c r="D1440" t="s">
        <v>5503</v>
      </c>
      <c r="E1440" t="s">
        <v>6632</v>
      </c>
      <c r="F1440" t="s">
        <v>12</v>
      </c>
      <c r="G1440" t="s">
        <v>0</v>
      </c>
      <c r="H1440" s="1">
        <f>DATE(2023,10,6)</f>
        <v>45205</v>
      </c>
    </row>
    <row r="1441" spans="1:8" x14ac:dyDescent="0.35">
      <c r="A1441" s="2" t="s">
        <v>3769</v>
      </c>
      <c r="B1441" s="2" t="s">
        <v>3770</v>
      </c>
      <c r="D1441" t="s">
        <v>5387</v>
      </c>
      <c r="E1441" t="e">
        <v>#VALUE!</v>
      </c>
      <c r="F1441" t="s">
        <v>12</v>
      </c>
      <c r="G1441" t="s">
        <v>0</v>
      </c>
      <c r="H1441" s="1">
        <f>DATE(2023,10,6)</f>
        <v>45205</v>
      </c>
    </row>
    <row r="1442" spans="1:8" x14ac:dyDescent="0.35">
      <c r="A1442" s="2" t="s">
        <v>3771</v>
      </c>
      <c r="B1442" s="2" t="s">
        <v>3772</v>
      </c>
      <c r="D1442" t="s">
        <v>5387</v>
      </c>
      <c r="E1442" t="e">
        <v>#VALUE!</v>
      </c>
      <c r="F1442" t="s">
        <v>12</v>
      </c>
      <c r="G1442" t="s">
        <v>0</v>
      </c>
      <c r="H1442" s="1">
        <f>DATE(2020,7,9)</f>
        <v>44021</v>
      </c>
    </row>
    <row r="1443" spans="1:8" x14ac:dyDescent="0.35">
      <c r="A1443" s="2" t="s">
        <v>3773</v>
      </c>
      <c r="B1443" s="2" t="s">
        <v>3774</v>
      </c>
      <c r="C1443" s="2" t="s">
        <v>3775</v>
      </c>
      <c r="D1443" t="s">
        <v>6160</v>
      </c>
      <c r="E1443" t="s">
        <v>7290</v>
      </c>
      <c r="F1443" t="s">
        <v>12</v>
      </c>
      <c r="G1443" t="s">
        <v>0</v>
      </c>
      <c r="H1443" s="1">
        <f>DATE(2023,10,23)</f>
        <v>45222</v>
      </c>
    </row>
    <row r="1444" spans="1:8" x14ac:dyDescent="0.35">
      <c r="A1444" s="2" t="s">
        <v>3776</v>
      </c>
      <c r="B1444" s="2" t="s">
        <v>3777</v>
      </c>
      <c r="C1444" s="2" t="s">
        <v>3778</v>
      </c>
      <c r="D1444" t="s">
        <v>6216</v>
      </c>
      <c r="E1444" t="s">
        <v>7345</v>
      </c>
      <c r="F1444" t="s">
        <v>12</v>
      </c>
      <c r="G1444" t="s">
        <v>0</v>
      </c>
      <c r="H1444" s="1">
        <f>DATE(2022,11,8)</f>
        <v>44873</v>
      </c>
    </row>
    <row r="1445" spans="1:8" x14ac:dyDescent="0.35">
      <c r="A1445" s="2" t="s">
        <v>3779</v>
      </c>
      <c r="B1445" s="2" t="s">
        <v>3780</v>
      </c>
      <c r="D1445" t="s">
        <v>5387</v>
      </c>
      <c r="E1445" t="e">
        <v>#VALUE!</v>
      </c>
      <c r="F1445" t="s">
        <v>12</v>
      </c>
      <c r="G1445" t="s">
        <v>0</v>
      </c>
      <c r="H1445" s="1">
        <f>DATE(2022,12,8)</f>
        <v>44903</v>
      </c>
    </row>
    <row r="1446" spans="1:8" x14ac:dyDescent="0.35">
      <c r="A1446" s="2" t="s">
        <v>3781</v>
      </c>
      <c r="B1446" s="2" t="s">
        <v>3782</v>
      </c>
      <c r="D1446" t="s">
        <v>5387</v>
      </c>
      <c r="E1446" t="e">
        <v>#VALUE!</v>
      </c>
      <c r="F1446" t="s">
        <v>12</v>
      </c>
      <c r="G1446" t="s">
        <v>0</v>
      </c>
      <c r="H1446" s="1">
        <f>DATE(2024,3,20)</f>
        <v>45371</v>
      </c>
    </row>
    <row r="1447" spans="1:8" x14ac:dyDescent="0.35">
      <c r="A1447" s="2" t="s">
        <v>3783</v>
      </c>
      <c r="B1447" s="2" t="s">
        <v>3784</v>
      </c>
      <c r="C1447" s="2" t="s">
        <v>3785</v>
      </c>
      <c r="D1447" t="s">
        <v>6217</v>
      </c>
      <c r="E1447" t="s">
        <v>7346</v>
      </c>
      <c r="F1447" t="s">
        <v>12</v>
      </c>
      <c r="G1447" t="s">
        <v>0</v>
      </c>
      <c r="H1447" s="1">
        <f>DATE(2024,3,20)</f>
        <v>45371</v>
      </c>
    </row>
    <row r="1448" spans="1:8" x14ac:dyDescent="0.35">
      <c r="A1448" s="2" t="s">
        <v>3786</v>
      </c>
      <c r="B1448" s="2" t="s">
        <v>3787</v>
      </c>
      <c r="D1448" t="s">
        <v>5387</v>
      </c>
      <c r="E1448" t="e">
        <v>#VALUE!</v>
      </c>
      <c r="F1448" t="s">
        <v>12</v>
      </c>
      <c r="G1448" t="s">
        <v>0</v>
      </c>
      <c r="H1448" s="1">
        <f>DATE(2024,3,21)</f>
        <v>45372</v>
      </c>
    </row>
    <row r="1449" spans="1:8" x14ac:dyDescent="0.35">
      <c r="A1449" s="2" t="s">
        <v>3788</v>
      </c>
      <c r="B1449" s="2" t="s">
        <v>3789</v>
      </c>
      <c r="C1449" s="2" t="s">
        <v>3790</v>
      </c>
      <c r="D1449" t="s">
        <v>6218</v>
      </c>
      <c r="E1449" t="s">
        <v>7347</v>
      </c>
      <c r="F1449" t="s">
        <v>12</v>
      </c>
      <c r="G1449" t="s">
        <v>0</v>
      </c>
      <c r="H1449" s="1">
        <f>DATE(2024,3,23)</f>
        <v>45374</v>
      </c>
    </row>
    <row r="1450" spans="1:8" x14ac:dyDescent="0.35">
      <c r="A1450" s="2" t="s">
        <v>3791</v>
      </c>
      <c r="B1450" s="2" t="s">
        <v>3792</v>
      </c>
      <c r="C1450" s="2" t="s">
        <v>3793</v>
      </c>
      <c r="D1450" t="s">
        <v>6219</v>
      </c>
      <c r="E1450" t="s">
        <v>7348</v>
      </c>
      <c r="F1450" t="s">
        <v>12</v>
      </c>
      <c r="G1450" t="s">
        <v>0</v>
      </c>
      <c r="H1450" s="1">
        <f>DATE(2024,3,23)</f>
        <v>45374</v>
      </c>
    </row>
    <row r="1451" spans="1:8" x14ac:dyDescent="0.35">
      <c r="A1451" s="2" t="s">
        <v>3794</v>
      </c>
      <c r="B1451" s="2" t="s">
        <v>3795</v>
      </c>
      <c r="D1451" t="s">
        <v>5387</v>
      </c>
      <c r="E1451" t="e">
        <v>#VALUE!</v>
      </c>
      <c r="F1451" t="s">
        <v>12</v>
      </c>
      <c r="G1451" t="s">
        <v>0</v>
      </c>
      <c r="H1451" s="1">
        <f>DATE(2024,3,27)</f>
        <v>45378</v>
      </c>
    </row>
    <row r="1452" spans="1:8" x14ac:dyDescent="0.35">
      <c r="A1452" s="2" t="s">
        <v>3796</v>
      </c>
      <c r="B1452" s="2" t="s">
        <v>3797</v>
      </c>
      <c r="D1452" t="s">
        <v>5387</v>
      </c>
      <c r="E1452" t="e">
        <v>#VALUE!</v>
      </c>
      <c r="F1452" t="s">
        <v>12</v>
      </c>
      <c r="G1452" t="s">
        <v>0</v>
      </c>
      <c r="H1452" s="1">
        <f>DATE(2024,3,27)</f>
        <v>45378</v>
      </c>
    </row>
    <row r="1453" spans="1:8" x14ac:dyDescent="0.35">
      <c r="A1453" s="2" t="s">
        <v>3798</v>
      </c>
      <c r="B1453" s="2" t="s">
        <v>3799</v>
      </c>
      <c r="D1453" t="s">
        <v>5387</v>
      </c>
      <c r="E1453" t="e">
        <v>#VALUE!</v>
      </c>
      <c r="F1453" t="s">
        <v>12</v>
      </c>
      <c r="G1453" t="s">
        <v>0</v>
      </c>
      <c r="H1453" s="1">
        <f>DATE(2024,3,27)</f>
        <v>45378</v>
      </c>
    </row>
    <row r="1454" spans="1:8" x14ac:dyDescent="0.35">
      <c r="A1454" s="2" t="s">
        <v>3800</v>
      </c>
      <c r="B1454" s="2" t="s">
        <v>3801</v>
      </c>
      <c r="D1454" t="s">
        <v>5387</v>
      </c>
      <c r="E1454" t="e">
        <v>#VALUE!</v>
      </c>
      <c r="F1454" t="s">
        <v>12</v>
      </c>
      <c r="G1454" t="s">
        <v>0</v>
      </c>
      <c r="H1454" s="1">
        <f>DATE(2024,4,9)</f>
        <v>45391</v>
      </c>
    </row>
    <row r="1455" spans="1:8" x14ac:dyDescent="0.35">
      <c r="A1455" s="2" t="s">
        <v>3802</v>
      </c>
      <c r="B1455" s="2" t="s">
        <v>3803</v>
      </c>
      <c r="C1455" s="2" t="s">
        <v>3804</v>
      </c>
      <c r="D1455" t="s">
        <v>6220</v>
      </c>
      <c r="E1455" t="e">
        <v>#VALUE!</v>
      </c>
      <c r="F1455" t="s">
        <v>50</v>
      </c>
      <c r="G1455" t="s">
        <v>0</v>
      </c>
      <c r="H1455" s="1">
        <f>DATE(2024,4,12)</f>
        <v>45394</v>
      </c>
    </row>
    <row r="1456" spans="1:8" x14ac:dyDescent="0.35">
      <c r="A1456" s="2" t="s">
        <v>3805</v>
      </c>
      <c r="B1456" s="2" t="s">
        <v>3806</v>
      </c>
      <c r="C1456" s="2" t="s">
        <v>3807</v>
      </c>
      <c r="D1456" t="s">
        <v>6221</v>
      </c>
      <c r="E1456" t="s">
        <v>7349</v>
      </c>
      <c r="F1456" t="s">
        <v>12</v>
      </c>
      <c r="G1456" t="s">
        <v>0</v>
      </c>
      <c r="H1456" s="1">
        <f>DATE(2023,4,15)</f>
        <v>45031</v>
      </c>
    </row>
    <row r="1457" spans="1:8" x14ac:dyDescent="0.35">
      <c r="A1457" s="2" t="s">
        <v>3808</v>
      </c>
      <c r="B1457" s="2" t="s">
        <v>3809</v>
      </c>
      <c r="C1457" s="2" t="s">
        <v>3810</v>
      </c>
      <c r="D1457" t="s">
        <v>6222</v>
      </c>
      <c r="E1457" t="s">
        <v>7350</v>
      </c>
      <c r="F1457" t="s">
        <v>12</v>
      </c>
      <c r="G1457" t="s">
        <v>0</v>
      </c>
      <c r="H1457" s="1">
        <f>DATE(2024,4,17)</f>
        <v>45399</v>
      </c>
    </row>
    <row r="1458" spans="1:8" x14ac:dyDescent="0.35">
      <c r="A1458" s="2" t="s">
        <v>3811</v>
      </c>
      <c r="B1458" s="2" t="s">
        <v>3812</v>
      </c>
      <c r="C1458" s="2" t="s">
        <v>3813</v>
      </c>
      <c r="D1458" t="s">
        <v>6223</v>
      </c>
      <c r="E1458" t="s">
        <v>7351</v>
      </c>
      <c r="F1458" t="s">
        <v>12</v>
      </c>
      <c r="G1458" t="s">
        <v>0</v>
      </c>
      <c r="H1458" s="1">
        <f>DATE(2023,2,22)</f>
        <v>44979</v>
      </c>
    </row>
    <row r="1459" spans="1:8" x14ac:dyDescent="0.35">
      <c r="A1459" s="2" t="s">
        <v>3814</v>
      </c>
      <c r="B1459" s="2" t="s">
        <v>3815</v>
      </c>
      <c r="D1459" t="s">
        <v>5387</v>
      </c>
      <c r="E1459" t="e">
        <v>#VALUE!</v>
      </c>
      <c r="F1459" t="s">
        <v>12</v>
      </c>
      <c r="G1459" t="s">
        <v>3816</v>
      </c>
      <c r="H1459" s="1">
        <f>DATE(2024,4,26)</f>
        <v>45408</v>
      </c>
    </row>
    <row r="1460" spans="1:8" x14ac:dyDescent="0.35">
      <c r="A1460" s="2" t="s">
        <v>3817</v>
      </c>
      <c r="B1460" s="2" t="s">
        <v>3818</v>
      </c>
      <c r="C1460" s="2" t="s">
        <v>85</v>
      </c>
      <c r="D1460" t="s">
        <v>5400</v>
      </c>
      <c r="E1460" t="s">
        <v>6530</v>
      </c>
      <c r="F1460" t="s">
        <v>12</v>
      </c>
      <c r="G1460" t="s">
        <v>0</v>
      </c>
      <c r="H1460" s="1">
        <f>DATE(2023,7,11)</f>
        <v>45118</v>
      </c>
    </row>
    <row r="1461" spans="1:8" x14ac:dyDescent="0.35">
      <c r="A1461" s="2" t="s">
        <v>3819</v>
      </c>
      <c r="B1461" s="2" t="s">
        <v>3820</v>
      </c>
      <c r="D1461" t="s">
        <v>5387</v>
      </c>
      <c r="E1461" t="e">
        <v>#VALUE!</v>
      </c>
      <c r="F1461" t="s">
        <v>12</v>
      </c>
      <c r="G1461" t="s">
        <v>3816</v>
      </c>
      <c r="H1461" s="1">
        <f>DATE(2024,4,26)</f>
        <v>45408</v>
      </c>
    </row>
    <row r="1462" spans="1:8" x14ac:dyDescent="0.35">
      <c r="A1462" s="2" t="s">
        <v>3821</v>
      </c>
      <c r="B1462" s="2" t="s">
        <v>3822</v>
      </c>
      <c r="C1462" s="2" t="s">
        <v>3823</v>
      </c>
      <c r="D1462" t="s">
        <v>6224</v>
      </c>
      <c r="E1462" t="s">
        <v>7352</v>
      </c>
      <c r="F1462" t="s">
        <v>12</v>
      </c>
      <c r="G1462" t="s">
        <v>0</v>
      </c>
      <c r="H1462" s="1">
        <f>DATE(2023,6,12)</f>
        <v>45089</v>
      </c>
    </row>
    <row r="1463" spans="1:8" x14ac:dyDescent="0.35">
      <c r="A1463" s="2" t="s">
        <v>3824</v>
      </c>
      <c r="B1463" s="2" t="s">
        <v>2957</v>
      </c>
      <c r="C1463" s="2" t="s">
        <v>1167</v>
      </c>
      <c r="D1463" t="s">
        <v>5633</v>
      </c>
      <c r="E1463" t="s">
        <v>6763</v>
      </c>
      <c r="F1463" t="s">
        <v>12</v>
      </c>
      <c r="G1463" t="s">
        <v>0</v>
      </c>
      <c r="H1463" s="1">
        <f>DATE(2023,6,12)</f>
        <v>45089</v>
      </c>
    </row>
    <row r="1464" spans="1:8" x14ac:dyDescent="0.35">
      <c r="A1464" s="2" t="s">
        <v>3825</v>
      </c>
      <c r="B1464" s="2" t="s">
        <v>3826</v>
      </c>
      <c r="C1464" s="2" t="s">
        <v>3827</v>
      </c>
      <c r="D1464" t="s">
        <v>6225</v>
      </c>
      <c r="E1464" t="s">
        <v>7353</v>
      </c>
      <c r="F1464" t="s">
        <v>12</v>
      </c>
      <c r="G1464" t="s">
        <v>0</v>
      </c>
      <c r="H1464" s="1">
        <f>DATE(2024,1,25)</f>
        <v>45316</v>
      </c>
    </row>
    <row r="1465" spans="1:8" x14ac:dyDescent="0.35">
      <c r="A1465" s="2" t="s">
        <v>3828</v>
      </c>
      <c r="B1465" s="2" t="s">
        <v>3829</v>
      </c>
      <c r="C1465" s="2" t="s">
        <v>3830</v>
      </c>
      <c r="D1465" t="s">
        <v>6226</v>
      </c>
      <c r="E1465" t="s">
        <v>7354</v>
      </c>
      <c r="F1465" t="s">
        <v>12</v>
      </c>
      <c r="G1465" t="s">
        <v>0</v>
      </c>
      <c r="H1465" s="1">
        <f>DATE(2023,2,22)</f>
        <v>44979</v>
      </c>
    </row>
    <row r="1466" spans="1:8" x14ac:dyDescent="0.35">
      <c r="A1466" s="2" t="s">
        <v>3831</v>
      </c>
      <c r="B1466" s="2" t="s">
        <v>3832</v>
      </c>
      <c r="C1466" s="2" t="s">
        <v>3833</v>
      </c>
      <c r="D1466" t="s">
        <v>6227</v>
      </c>
      <c r="E1466" t="s">
        <v>7355</v>
      </c>
      <c r="F1466" t="s">
        <v>12</v>
      </c>
      <c r="G1466" t="s">
        <v>0</v>
      </c>
      <c r="H1466" s="1">
        <f>DATE(2024,3,29)</f>
        <v>45380</v>
      </c>
    </row>
    <row r="1467" spans="1:8" x14ac:dyDescent="0.35">
      <c r="A1467" s="2" t="s">
        <v>3834</v>
      </c>
      <c r="B1467" s="2" t="s">
        <v>3835</v>
      </c>
      <c r="C1467" s="2" t="s">
        <v>3836</v>
      </c>
      <c r="D1467" t="s">
        <v>5503</v>
      </c>
      <c r="E1467" t="s">
        <v>6632</v>
      </c>
      <c r="F1467" t="s">
        <v>12</v>
      </c>
      <c r="G1467" t="s">
        <v>0</v>
      </c>
      <c r="H1467" s="1">
        <f>DATE(2023,6,26)</f>
        <v>45103</v>
      </c>
    </row>
    <row r="1468" spans="1:8" x14ac:dyDescent="0.35">
      <c r="A1468" s="2" t="s">
        <v>3837</v>
      </c>
      <c r="B1468" s="2" t="s">
        <v>3838</v>
      </c>
      <c r="C1468" s="2" t="s">
        <v>3839</v>
      </c>
      <c r="D1468" t="s">
        <v>6228</v>
      </c>
      <c r="E1468" t="s">
        <v>7356</v>
      </c>
      <c r="F1468" t="s">
        <v>12</v>
      </c>
      <c r="G1468" t="s">
        <v>0</v>
      </c>
      <c r="H1468" s="1">
        <f>DATE(2024,2,12)</f>
        <v>45334</v>
      </c>
    </row>
    <row r="1469" spans="1:8" x14ac:dyDescent="0.35">
      <c r="A1469" s="2" t="s">
        <v>3840</v>
      </c>
      <c r="B1469" s="2" t="s">
        <v>3841</v>
      </c>
      <c r="C1469" s="2" t="s">
        <v>3842</v>
      </c>
      <c r="D1469" t="s">
        <v>6229</v>
      </c>
      <c r="E1469" t="s">
        <v>7357</v>
      </c>
      <c r="F1469" t="s">
        <v>12</v>
      </c>
      <c r="G1469" t="s">
        <v>0</v>
      </c>
      <c r="H1469" s="1">
        <f>DATE(2023,4,19)</f>
        <v>45035</v>
      </c>
    </row>
    <row r="1470" spans="1:8" x14ac:dyDescent="0.35">
      <c r="A1470" s="2" t="s">
        <v>3843</v>
      </c>
      <c r="B1470" s="2" t="s">
        <v>3844</v>
      </c>
      <c r="C1470" s="2" t="s">
        <v>3845</v>
      </c>
      <c r="D1470" t="s">
        <v>6228</v>
      </c>
      <c r="E1470" t="s">
        <v>7356</v>
      </c>
      <c r="F1470" t="s">
        <v>12</v>
      </c>
      <c r="G1470" t="s">
        <v>0</v>
      </c>
      <c r="H1470" s="1">
        <f>DATE(2023,7,11)</f>
        <v>45118</v>
      </c>
    </row>
    <row r="1471" spans="1:8" x14ac:dyDescent="0.35">
      <c r="A1471" s="2" t="s">
        <v>3846</v>
      </c>
      <c r="B1471" s="2" t="s">
        <v>3847</v>
      </c>
      <c r="C1471" s="2" t="s">
        <v>3848</v>
      </c>
      <c r="D1471" t="s">
        <v>6228</v>
      </c>
      <c r="E1471" t="s">
        <v>7356</v>
      </c>
      <c r="F1471" t="s">
        <v>12</v>
      </c>
      <c r="G1471" t="s">
        <v>0</v>
      </c>
      <c r="H1471" s="1">
        <f>DATE(2024,2,12)</f>
        <v>45334</v>
      </c>
    </row>
    <row r="1472" spans="1:8" x14ac:dyDescent="0.35">
      <c r="A1472" s="2" t="s">
        <v>3849</v>
      </c>
      <c r="B1472" s="2" t="s">
        <v>3850</v>
      </c>
      <c r="C1472" s="2" t="s">
        <v>3851</v>
      </c>
      <c r="D1472" t="s">
        <v>6230</v>
      </c>
      <c r="E1472" t="s">
        <v>7358</v>
      </c>
      <c r="F1472" t="s">
        <v>12</v>
      </c>
      <c r="G1472" t="s">
        <v>0</v>
      </c>
      <c r="H1472" s="1">
        <f>DATE(2023,2,22)</f>
        <v>44979</v>
      </c>
    </row>
    <row r="1473" spans="1:8" x14ac:dyDescent="0.35">
      <c r="A1473" s="2" t="s">
        <v>3852</v>
      </c>
      <c r="B1473" s="2" t="s">
        <v>3853</v>
      </c>
      <c r="C1473" s="2" t="s">
        <v>3854</v>
      </c>
      <c r="D1473" t="s">
        <v>6231</v>
      </c>
      <c r="E1473" t="s">
        <v>7359</v>
      </c>
      <c r="F1473" t="s">
        <v>12</v>
      </c>
      <c r="G1473" t="s">
        <v>0</v>
      </c>
      <c r="H1473" s="1">
        <f>DATE(2023,2,22)</f>
        <v>44979</v>
      </c>
    </row>
    <row r="1474" spans="1:8" x14ac:dyDescent="0.35">
      <c r="A1474" s="2" t="s">
        <v>3855</v>
      </c>
      <c r="B1474" s="2" t="s">
        <v>3856</v>
      </c>
      <c r="C1474" s="2" t="s">
        <v>3857</v>
      </c>
      <c r="D1474" t="s">
        <v>6232</v>
      </c>
      <c r="E1474" t="s">
        <v>7360</v>
      </c>
      <c r="F1474" t="s">
        <v>12</v>
      </c>
      <c r="G1474" t="s">
        <v>0</v>
      </c>
      <c r="H1474" s="1">
        <f>DATE(2023,6,26)</f>
        <v>45103</v>
      </c>
    </row>
    <row r="1475" spans="1:8" x14ac:dyDescent="0.35">
      <c r="A1475" s="2" t="s">
        <v>3858</v>
      </c>
      <c r="B1475" s="2" t="s">
        <v>3859</v>
      </c>
      <c r="C1475" s="2" t="s">
        <v>3860</v>
      </c>
      <c r="D1475" t="s">
        <v>6233</v>
      </c>
      <c r="E1475" t="s">
        <v>7361</v>
      </c>
      <c r="F1475" t="s">
        <v>12</v>
      </c>
      <c r="G1475" t="s">
        <v>0</v>
      </c>
      <c r="H1475" s="1">
        <f>DATE(2023,10,12)</f>
        <v>45211</v>
      </c>
    </row>
    <row r="1476" spans="1:8" x14ac:dyDescent="0.35">
      <c r="A1476" s="2" t="s">
        <v>3861</v>
      </c>
      <c r="B1476" s="2" t="s">
        <v>3862</v>
      </c>
      <c r="C1476" s="2" t="s">
        <v>3863</v>
      </c>
      <c r="D1476" t="s">
        <v>5837</v>
      </c>
      <c r="E1476" t="s">
        <v>6967</v>
      </c>
      <c r="F1476" t="s">
        <v>12</v>
      </c>
      <c r="G1476" t="s">
        <v>0</v>
      </c>
      <c r="H1476" s="1">
        <f>DATE(2023,11,7)</f>
        <v>45237</v>
      </c>
    </row>
    <row r="1477" spans="1:8" x14ac:dyDescent="0.35">
      <c r="A1477" s="2" t="s">
        <v>3864</v>
      </c>
      <c r="B1477" s="2" t="s">
        <v>3865</v>
      </c>
      <c r="C1477" s="2" t="s">
        <v>3866</v>
      </c>
      <c r="D1477" t="s">
        <v>6234</v>
      </c>
      <c r="E1477" t="s">
        <v>7362</v>
      </c>
      <c r="F1477" t="s">
        <v>12</v>
      </c>
      <c r="G1477" t="s">
        <v>0</v>
      </c>
      <c r="H1477" s="1">
        <f>DATE(2024,6,4)</f>
        <v>45447</v>
      </c>
    </row>
    <row r="1478" spans="1:8" x14ac:dyDescent="0.35">
      <c r="A1478" s="2" t="s">
        <v>3867</v>
      </c>
      <c r="B1478" s="2" t="s">
        <v>755</v>
      </c>
      <c r="C1478" s="2" t="s">
        <v>756</v>
      </c>
      <c r="D1478" t="s">
        <v>5534</v>
      </c>
      <c r="E1478" t="s">
        <v>6663</v>
      </c>
      <c r="F1478" t="s">
        <v>12</v>
      </c>
      <c r="G1478" t="s">
        <v>0</v>
      </c>
      <c r="H1478" s="1">
        <f>DATE(2023,2,22)</f>
        <v>44979</v>
      </c>
    </row>
    <row r="1479" spans="1:8" x14ac:dyDescent="0.35">
      <c r="A1479" s="2" t="s">
        <v>3868</v>
      </c>
      <c r="B1479" s="2" t="s">
        <v>3869</v>
      </c>
      <c r="C1479" s="2" t="s">
        <v>3870</v>
      </c>
      <c r="D1479" t="s">
        <v>6235</v>
      </c>
      <c r="E1479" t="s">
        <v>7363</v>
      </c>
      <c r="F1479" t="s">
        <v>12</v>
      </c>
      <c r="G1479" t="s">
        <v>0</v>
      </c>
      <c r="H1479" s="1">
        <f>DATE(2023,6,12)</f>
        <v>45089</v>
      </c>
    </row>
    <row r="1480" spans="1:8" x14ac:dyDescent="0.35">
      <c r="A1480" s="2" t="s">
        <v>3871</v>
      </c>
      <c r="B1480" s="2" t="s">
        <v>3872</v>
      </c>
      <c r="C1480" s="2" t="s">
        <v>3873</v>
      </c>
      <c r="D1480" t="s">
        <v>6236</v>
      </c>
      <c r="E1480" t="s">
        <v>7364</v>
      </c>
      <c r="F1480" t="s">
        <v>12</v>
      </c>
      <c r="G1480" t="s">
        <v>0</v>
      </c>
      <c r="H1480" s="1">
        <f>DATE(2024,5,16)</f>
        <v>45428</v>
      </c>
    </row>
    <row r="1481" spans="1:8" x14ac:dyDescent="0.35">
      <c r="A1481" s="2" t="s">
        <v>3874</v>
      </c>
      <c r="B1481" s="2" t="s">
        <v>3875</v>
      </c>
      <c r="C1481" s="2" t="s">
        <v>3876</v>
      </c>
      <c r="D1481" t="s">
        <v>5837</v>
      </c>
      <c r="E1481" t="s">
        <v>6967</v>
      </c>
      <c r="F1481" t="s">
        <v>12</v>
      </c>
      <c r="G1481" t="s">
        <v>0</v>
      </c>
      <c r="H1481" s="1">
        <f>DATE(2023,6,13)</f>
        <v>45090</v>
      </c>
    </row>
    <row r="1482" spans="1:8" x14ac:dyDescent="0.35">
      <c r="A1482" s="2" t="s">
        <v>3877</v>
      </c>
      <c r="B1482" s="2" t="s">
        <v>3878</v>
      </c>
      <c r="D1482" t="s">
        <v>5387</v>
      </c>
      <c r="E1482" t="e">
        <v>#VALUE!</v>
      </c>
      <c r="F1482" t="s">
        <v>12</v>
      </c>
      <c r="G1482" t="s">
        <v>0</v>
      </c>
      <c r="H1482" s="1">
        <f>DATE(2023,5,31)</f>
        <v>45077</v>
      </c>
    </row>
    <row r="1483" spans="1:8" x14ac:dyDescent="0.35">
      <c r="A1483" s="2" t="s">
        <v>3879</v>
      </c>
      <c r="B1483" s="2" t="s">
        <v>34</v>
      </c>
      <c r="D1483" t="s">
        <v>5387</v>
      </c>
      <c r="E1483" t="e">
        <v>#VALUE!</v>
      </c>
      <c r="G1483" t="s">
        <v>0</v>
      </c>
      <c r="H1483" s="1">
        <f>DATE(2024,6,6)</f>
        <v>45449</v>
      </c>
    </row>
    <row r="1484" spans="1:8" x14ac:dyDescent="0.35">
      <c r="A1484" s="2" t="s">
        <v>3880</v>
      </c>
      <c r="B1484" s="2" t="s">
        <v>3881</v>
      </c>
      <c r="C1484" s="2" t="s">
        <v>3882</v>
      </c>
      <c r="D1484" t="s">
        <v>6237</v>
      </c>
      <c r="E1484" t="s">
        <v>7365</v>
      </c>
      <c r="F1484" t="s">
        <v>12</v>
      </c>
      <c r="G1484" t="s">
        <v>0</v>
      </c>
      <c r="H1484" s="1">
        <f>DATE(2024,5,7)</f>
        <v>45419</v>
      </c>
    </row>
    <row r="1485" spans="1:8" x14ac:dyDescent="0.35">
      <c r="A1485" s="2" t="s">
        <v>3883</v>
      </c>
      <c r="B1485" s="2" t="s">
        <v>3884</v>
      </c>
      <c r="C1485" s="2" t="s">
        <v>3885</v>
      </c>
      <c r="D1485" t="s">
        <v>6238</v>
      </c>
      <c r="E1485" t="e">
        <v>#VALUE!</v>
      </c>
      <c r="F1485" t="s">
        <v>12</v>
      </c>
      <c r="G1485" t="s">
        <v>0</v>
      </c>
      <c r="H1485" s="1">
        <f>DATE(2024,6,7)</f>
        <v>45450</v>
      </c>
    </row>
    <row r="1486" spans="1:8" x14ac:dyDescent="0.35">
      <c r="A1486" s="2" t="s">
        <v>3886</v>
      </c>
      <c r="B1486" s="2" t="s">
        <v>3887</v>
      </c>
      <c r="C1486" s="2" t="s">
        <v>3888</v>
      </c>
      <c r="D1486" t="s">
        <v>6239</v>
      </c>
      <c r="E1486" t="s">
        <v>7366</v>
      </c>
      <c r="F1486" t="s">
        <v>12</v>
      </c>
      <c r="G1486" t="s">
        <v>0</v>
      </c>
      <c r="H1486" s="1">
        <f>DATE(2024,3,1)</f>
        <v>45352</v>
      </c>
    </row>
    <row r="1487" spans="1:8" x14ac:dyDescent="0.35">
      <c r="A1487" s="2" t="s">
        <v>3889</v>
      </c>
      <c r="B1487" s="2" t="s">
        <v>3890</v>
      </c>
      <c r="C1487" s="2" t="s">
        <v>3891</v>
      </c>
      <c r="D1487" t="s">
        <v>6228</v>
      </c>
      <c r="E1487" t="s">
        <v>7356</v>
      </c>
      <c r="F1487" t="s">
        <v>12</v>
      </c>
      <c r="G1487" t="s">
        <v>0</v>
      </c>
      <c r="H1487" s="1">
        <f>DATE(2024,2,12)</f>
        <v>45334</v>
      </c>
    </row>
    <row r="1488" spans="1:8" x14ac:dyDescent="0.35">
      <c r="A1488" s="2" t="s">
        <v>3892</v>
      </c>
      <c r="B1488" s="2" t="s">
        <v>3893</v>
      </c>
      <c r="C1488" s="2" t="s">
        <v>3894</v>
      </c>
      <c r="D1488" t="s">
        <v>6240</v>
      </c>
      <c r="E1488" t="s">
        <v>7367</v>
      </c>
      <c r="F1488" t="s">
        <v>12</v>
      </c>
      <c r="G1488" t="s">
        <v>0</v>
      </c>
      <c r="H1488" s="1">
        <f>DATE(2024,6,14)</f>
        <v>45457</v>
      </c>
    </row>
    <row r="1489" spans="1:8" x14ac:dyDescent="0.35">
      <c r="A1489" s="2" t="s">
        <v>3895</v>
      </c>
      <c r="B1489" s="2" t="s">
        <v>3896</v>
      </c>
      <c r="C1489" s="2" t="s">
        <v>3897</v>
      </c>
      <c r="D1489" t="s">
        <v>6241</v>
      </c>
      <c r="E1489" t="s">
        <v>7368</v>
      </c>
      <c r="F1489" t="s">
        <v>12</v>
      </c>
      <c r="G1489" t="s">
        <v>0</v>
      </c>
      <c r="H1489" s="1">
        <f>DATE(2024,6,19)</f>
        <v>45462</v>
      </c>
    </row>
    <row r="1490" spans="1:8" x14ac:dyDescent="0.35">
      <c r="A1490" s="2" t="s">
        <v>3898</v>
      </c>
      <c r="B1490" s="2" t="s">
        <v>3899</v>
      </c>
      <c r="C1490" s="2" t="s">
        <v>3900</v>
      </c>
      <c r="D1490" t="s">
        <v>6242</v>
      </c>
      <c r="E1490" t="s">
        <v>7369</v>
      </c>
      <c r="F1490" t="s">
        <v>12</v>
      </c>
      <c r="G1490" t="s">
        <v>0</v>
      </c>
      <c r="H1490" s="1">
        <f>DATE(2024,2,28)</f>
        <v>45350</v>
      </c>
    </row>
    <row r="1491" spans="1:8" x14ac:dyDescent="0.35">
      <c r="A1491" s="2" t="s">
        <v>3901</v>
      </c>
      <c r="B1491" s="2" t="s">
        <v>3902</v>
      </c>
      <c r="D1491" t="s">
        <v>5387</v>
      </c>
      <c r="E1491" t="e">
        <v>#VALUE!</v>
      </c>
      <c r="F1491" t="s">
        <v>12</v>
      </c>
      <c r="G1491" t="s">
        <v>0</v>
      </c>
      <c r="H1491" s="1">
        <f>DATE(2024,2,28)</f>
        <v>45350</v>
      </c>
    </row>
    <row r="1492" spans="1:8" x14ac:dyDescent="0.35">
      <c r="A1492" s="2" t="s">
        <v>3903</v>
      </c>
      <c r="B1492" s="2" t="s">
        <v>3904</v>
      </c>
      <c r="C1492" s="2" t="s">
        <v>3905</v>
      </c>
      <c r="D1492" t="s">
        <v>6243</v>
      </c>
      <c r="E1492" t="s">
        <v>7370</v>
      </c>
      <c r="F1492" t="s">
        <v>12</v>
      </c>
      <c r="G1492" t="s">
        <v>0</v>
      </c>
      <c r="H1492" s="1">
        <f>DATE(2024,2,29)</f>
        <v>45351</v>
      </c>
    </row>
    <row r="1493" spans="1:8" x14ac:dyDescent="0.35">
      <c r="A1493" s="2" t="s">
        <v>3906</v>
      </c>
      <c r="B1493" s="2" t="s">
        <v>3907</v>
      </c>
      <c r="C1493" s="2" t="s">
        <v>3908</v>
      </c>
      <c r="D1493" t="s">
        <v>6244</v>
      </c>
      <c r="E1493" t="s">
        <v>7371</v>
      </c>
      <c r="F1493" t="s">
        <v>12</v>
      </c>
      <c r="G1493" t="s">
        <v>0</v>
      </c>
      <c r="H1493" s="1">
        <f>DATE(2024,2,29)</f>
        <v>45351</v>
      </c>
    </row>
    <row r="1494" spans="1:8" x14ac:dyDescent="0.35">
      <c r="A1494" s="2" t="s">
        <v>3909</v>
      </c>
      <c r="B1494" s="2" t="s">
        <v>3910</v>
      </c>
      <c r="D1494" t="s">
        <v>5387</v>
      </c>
      <c r="E1494" t="e">
        <v>#VALUE!</v>
      </c>
      <c r="F1494" t="s">
        <v>12</v>
      </c>
      <c r="G1494" t="s">
        <v>0</v>
      </c>
      <c r="H1494" s="1">
        <f>DATE(2024,3,2)</f>
        <v>45353</v>
      </c>
    </row>
    <row r="1495" spans="1:8" x14ac:dyDescent="0.35">
      <c r="A1495" s="2" t="s">
        <v>3911</v>
      </c>
      <c r="B1495" s="2" t="s">
        <v>3912</v>
      </c>
      <c r="D1495" t="s">
        <v>5387</v>
      </c>
      <c r="E1495" t="e">
        <v>#VALUE!</v>
      </c>
      <c r="F1495" t="s">
        <v>12</v>
      </c>
      <c r="G1495" t="s">
        <v>0</v>
      </c>
      <c r="H1495" s="1">
        <f>DATE(2024,3,4)</f>
        <v>45355</v>
      </c>
    </row>
    <row r="1496" spans="1:8" x14ac:dyDescent="0.35">
      <c r="A1496" s="2" t="s">
        <v>3913</v>
      </c>
      <c r="B1496" s="2" t="s">
        <v>3914</v>
      </c>
      <c r="D1496" t="s">
        <v>5387</v>
      </c>
      <c r="E1496" t="e">
        <v>#VALUE!</v>
      </c>
      <c r="F1496" t="s">
        <v>12</v>
      </c>
      <c r="G1496" t="s">
        <v>0</v>
      </c>
      <c r="H1496" s="1">
        <f>DATE(2024,3,7)</f>
        <v>45358</v>
      </c>
    </row>
    <row r="1497" spans="1:8" x14ac:dyDescent="0.35">
      <c r="A1497" s="2" t="s">
        <v>3915</v>
      </c>
      <c r="B1497" s="2" t="s">
        <v>588</v>
      </c>
      <c r="C1497" s="2" t="s">
        <v>589</v>
      </c>
      <c r="D1497" t="s">
        <v>5508</v>
      </c>
      <c r="E1497" t="s">
        <v>6637</v>
      </c>
      <c r="F1497" t="s">
        <v>12</v>
      </c>
      <c r="G1497" t="s">
        <v>0</v>
      </c>
      <c r="H1497" s="1">
        <f>DATE(2024,3,13)</f>
        <v>45364</v>
      </c>
    </row>
    <row r="1498" spans="1:8" x14ac:dyDescent="0.35">
      <c r="A1498" s="2" t="s">
        <v>3916</v>
      </c>
      <c r="B1498" s="2" t="s">
        <v>3917</v>
      </c>
      <c r="D1498" t="s">
        <v>5387</v>
      </c>
      <c r="E1498" t="e">
        <v>#VALUE!</v>
      </c>
      <c r="F1498" t="s">
        <v>12</v>
      </c>
      <c r="G1498" t="s">
        <v>0</v>
      </c>
      <c r="H1498" s="1">
        <f>DATE(2024,3,14)</f>
        <v>45365</v>
      </c>
    </row>
    <row r="1499" spans="1:8" x14ac:dyDescent="0.35">
      <c r="A1499" s="2" t="s">
        <v>3918</v>
      </c>
      <c r="B1499" s="2" t="s">
        <v>3919</v>
      </c>
      <c r="D1499" t="s">
        <v>5387</v>
      </c>
      <c r="E1499" t="e">
        <v>#VALUE!</v>
      </c>
      <c r="F1499" t="s">
        <v>12</v>
      </c>
      <c r="G1499" t="s">
        <v>0</v>
      </c>
      <c r="H1499" s="1">
        <f>DATE(2024,3,18)</f>
        <v>45369</v>
      </c>
    </row>
    <row r="1500" spans="1:8" x14ac:dyDescent="0.35">
      <c r="A1500" s="2" t="s">
        <v>3920</v>
      </c>
      <c r="B1500" s="2" t="s">
        <v>3921</v>
      </c>
      <c r="D1500" t="s">
        <v>5387</v>
      </c>
      <c r="E1500" t="e">
        <v>#VALUE!</v>
      </c>
      <c r="F1500" t="s">
        <v>12</v>
      </c>
      <c r="G1500" t="s">
        <v>0</v>
      </c>
      <c r="H1500" s="1">
        <f>DATE(2024,3,18)</f>
        <v>45369</v>
      </c>
    </row>
    <row r="1501" spans="1:8" x14ac:dyDescent="0.35">
      <c r="A1501" s="2" t="s">
        <v>3922</v>
      </c>
      <c r="B1501" s="2" t="s">
        <v>3923</v>
      </c>
      <c r="D1501" t="s">
        <v>5387</v>
      </c>
      <c r="E1501" t="e">
        <v>#VALUE!</v>
      </c>
      <c r="F1501" t="s">
        <v>12</v>
      </c>
      <c r="G1501" t="s">
        <v>0</v>
      </c>
      <c r="H1501" s="1">
        <f>DATE(2022,10,20)</f>
        <v>44854</v>
      </c>
    </row>
    <row r="1502" spans="1:8" x14ac:dyDescent="0.35">
      <c r="A1502" s="2" t="s">
        <v>3924</v>
      </c>
      <c r="B1502" s="2" t="s">
        <v>3925</v>
      </c>
      <c r="C1502" s="2" t="s">
        <v>3926</v>
      </c>
      <c r="D1502" t="s">
        <v>6245</v>
      </c>
      <c r="E1502" t="s">
        <v>7372</v>
      </c>
      <c r="F1502" t="s">
        <v>12</v>
      </c>
      <c r="G1502" t="s">
        <v>0</v>
      </c>
      <c r="H1502" s="1">
        <f>DATE(2023,11,23)</f>
        <v>45253</v>
      </c>
    </row>
    <row r="1503" spans="1:8" x14ac:dyDescent="0.35">
      <c r="A1503" s="2" t="s">
        <v>3927</v>
      </c>
      <c r="B1503" s="2" t="s">
        <v>3928</v>
      </c>
      <c r="C1503" s="2" t="s">
        <v>3929</v>
      </c>
      <c r="D1503" t="s">
        <v>6246</v>
      </c>
      <c r="E1503" t="e">
        <v>#VALUE!</v>
      </c>
      <c r="F1503" t="s">
        <v>12</v>
      </c>
      <c r="G1503" t="s">
        <v>0</v>
      </c>
      <c r="H1503" s="1">
        <f>DATE(2024,4,18)</f>
        <v>45400</v>
      </c>
    </row>
    <row r="1504" spans="1:8" x14ac:dyDescent="0.35">
      <c r="A1504" s="2" t="s">
        <v>3930</v>
      </c>
      <c r="B1504" s="2" t="s">
        <v>3931</v>
      </c>
      <c r="C1504" s="2" t="s">
        <v>3932</v>
      </c>
      <c r="D1504" t="s">
        <v>6247</v>
      </c>
      <c r="E1504" t="e">
        <v>#VALUE!</v>
      </c>
      <c r="F1504" t="s">
        <v>12</v>
      </c>
      <c r="G1504" t="s">
        <v>0</v>
      </c>
      <c r="H1504" s="1">
        <f>DATE(2024,4,18)</f>
        <v>45400</v>
      </c>
    </row>
    <row r="1505" spans="1:8" x14ac:dyDescent="0.35">
      <c r="A1505" s="2" t="s">
        <v>3933</v>
      </c>
      <c r="B1505" s="2" t="s">
        <v>3934</v>
      </c>
      <c r="C1505" s="2" t="s">
        <v>3935</v>
      </c>
      <c r="D1505" t="s">
        <v>5503</v>
      </c>
      <c r="E1505" t="s">
        <v>6632</v>
      </c>
      <c r="F1505" t="s">
        <v>12</v>
      </c>
      <c r="G1505" t="s">
        <v>0</v>
      </c>
      <c r="H1505" s="1">
        <f>DATE(2023,6,26)</f>
        <v>45103</v>
      </c>
    </row>
    <row r="1506" spans="1:8" x14ac:dyDescent="0.35">
      <c r="A1506" s="2" t="s">
        <v>3936</v>
      </c>
      <c r="B1506" s="2" t="s">
        <v>3937</v>
      </c>
      <c r="C1506" s="2" t="s">
        <v>3938</v>
      </c>
      <c r="D1506" t="s">
        <v>6248</v>
      </c>
      <c r="E1506" t="e">
        <v>#VALUE!</v>
      </c>
      <c r="F1506" t="s">
        <v>12</v>
      </c>
      <c r="G1506" t="s">
        <v>0</v>
      </c>
      <c r="H1506" s="1">
        <f t="shared" ref="H1506:H1533" si="16">DATE(2024,4,18)</f>
        <v>45400</v>
      </c>
    </row>
    <row r="1507" spans="1:8" x14ac:dyDescent="0.35">
      <c r="A1507" s="2" t="s">
        <v>3939</v>
      </c>
      <c r="B1507" s="2" t="s">
        <v>3940</v>
      </c>
      <c r="C1507" s="2" t="s">
        <v>3941</v>
      </c>
      <c r="D1507" t="s">
        <v>6249</v>
      </c>
      <c r="E1507" t="e">
        <v>#VALUE!</v>
      </c>
      <c r="F1507" t="s">
        <v>12</v>
      </c>
      <c r="G1507" t="s">
        <v>0</v>
      </c>
      <c r="H1507" s="1">
        <f t="shared" si="16"/>
        <v>45400</v>
      </c>
    </row>
    <row r="1508" spans="1:8" x14ac:dyDescent="0.35">
      <c r="A1508" s="2" t="s">
        <v>3942</v>
      </c>
      <c r="B1508" s="2" t="s">
        <v>3943</v>
      </c>
      <c r="C1508" s="2" t="s">
        <v>3944</v>
      </c>
      <c r="D1508" t="s">
        <v>6250</v>
      </c>
      <c r="E1508" t="e">
        <v>#VALUE!</v>
      </c>
      <c r="F1508" t="s">
        <v>12</v>
      </c>
      <c r="G1508" t="s">
        <v>0</v>
      </c>
      <c r="H1508" s="1">
        <f t="shared" si="16"/>
        <v>45400</v>
      </c>
    </row>
    <row r="1509" spans="1:8" x14ac:dyDescent="0.35">
      <c r="A1509" s="2" t="s">
        <v>3945</v>
      </c>
      <c r="B1509" s="2" t="s">
        <v>3946</v>
      </c>
      <c r="C1509" s="2" t="s">
        <v>3947</v>
      </c>
      <c r="D1509" t="s">
        <v>6251</v>
      </c>
      <c r="E1509" t="e">
        <v>#VALUE!</v>
      </c>
      <c r="F1509" t="s">
        <v>12</v>
      </c>
      <c r="G1509" t="s">
        <v>0</v>
      </c>
      <c r="H1509" s="1">
        <f t="shared" si="16"/>
        <v>45400</v>
      </c>
    </row>
    <row r="1510" spans="1:8" x14ac:dyDescent="0.35">
      <c r="A1510" s="2" t="s">
        <v>3948</v>
      </c>
      <c r="B1510" s="2" t="s">
        <v>3949</v>
      </c>
      <c r="C1510" s="2" t="s">
        <v>3950</v>
      </c>
      <c r="D1510" t="s">
        <v>6252</v>
      </c>
      <c r="E1510" t="e">
        <v>#VALUE!</v>
      </c>
      <c r="F1510" t="s">
        <v>1245</v>
      </c>
      <c r="G1510" t="s">
        <v>0</v>
      </c>
      <c r="H1510" s="1">
        <f t="shared" si="16"/>
        <v>45400</v>
      </c>
    </row>
    <row r="1511" spans="1:8" x14ac:dyDescent="0.35">
      <c r="A1511" s="2" t="s">
        <v>3951</v>
      </c>
      <c r="B1511" s="2" t="s">
        <v>3952</v>
      </c>
      <c r="C1511" s="2" t="s">
        <v>3953</v>
      </c>
      <c r="D1511" t="s">
        <v>6253</v>
      </c>
      <c r="E1511" t="e">
        <v>#VALUE!</v>
      </c>
      <c r="F1511" t="s">
        <v>12</v>
      </c>
      <c r="G1511" t="s">
        <v>0</v>
      </c>
      <c r="H1511" s="1">
        <f t="shared" si="16"/>
        <v>45400</v>
      </c>
    </row>
    <row r="1512" spans="1:8" x14ac:dyDescent="0.35">
      <c r="A1512" s="2" t="s">
        <v>3954</v>
      </c>
      <c r="B1512" s="2" t="s">
        <v>3955</v>
      </c>
      <c r="C1512" s="2" t="s">
        <v>3956</v>
      </c>
      <c r="D1512" t="s">
        <v>3956</v>
      </c>
      <c r="E1512" t="e">
        <v>#VALUE!</v>
      </c>
      <c r="F1512" t="s">
        <v>568</v>
      </c>
      <c r="G1512" t="s">
        <v>0</v>
      </c>
      <c r="H1512" s="1">
        <f t="shared" si="16"/>
        <v>45400</v>
      </c>
    </row>
    <row r="1513" spans="1:8" x14ac:dyDescent="0.35">
      <c r="A1513" s="2" t="s">
        <v>3957</v>
      </c>
      <c r="B1513" s="2" t="s">
        <v>3958</v>
      </c>
      <c r="C1513" s="2" t="s">
        <v>3959</v>
      </c>
      <c r="D1513" t="s">
        <v>6254</v>
      </c>
      <c r="E1513" t="e">
        <v>#VALUE!</v>
      </c>
      <c r="F1513" t="s">
        <v>12</v>
      </c>
      <c r="G1513" t="s">
        <v>0</v>
      </c>
      <c r="H1513" s="1">
        <f t="shared" si="16"/>
        <v>45400</v>
      </c>
    </row>
    <row r="1514" spans="1:8" x14ac:dyDescent="0.35">
      <c r="A1514" s="2" t="s">
        <v>3960</v>
      </c>
      <c r="B1514" s="2" t="s">
        <v>3961</v>
      </c>
      <c r="C1514" s="2" t="s">
        <v>3962</v>
      </c>
      <c r="D1514" t="s">
        <v>6255</v>
      </c>
      <c r="E1514" t="e">
        <v>#VALUE!</v>
      </c>
      <c r="F1514" t="s">
        <v>12</v>
      </c>
      <c r="G1514" t="s">
        <v>0</v>
      </c>
      <c r="H1514" s="1">
        <f t="shared" si="16"/>
        <v>45400</v>
      </c>
    </row>
    <row r="1515" spans="1:8" x14ac:dyDescent="0.35">
      <c r="A1515" s="2" t="s">
        <v>3963</v>
      </c>
      <c r="B1515" s="2" t="s">
        <v>3964</v>
      </c>
      <c r="C1515" s="2" t="s">
        <v>3965</v>
      </c>
      <c r="D1515" t="s">
        <v>6246</v>
      </c>
      <c r="E1515" t="e">
        <v>#VALUE!</v>
      </c>
      <c r="F1515" t="s">
        <v>12</v>
      </c>
      <c r="G1515" t="s">
        <v>0</v>
      </c>
      <c r="H1515" s="1">
        <f t="shared" si="16"/>
        <v>45400</v>
      </c>
    </row>
    <row r="1516" spans="1:8" x14ac:dyDescent="0.35">
      <c r="A1516" s="2" t="s">
        <v>3966</v>
      </c>
      <c r="B1516" s="2" t="s">
        <v>3967</v>
      </c>
      <c r="C1516" s="2" t="s">
        <v>3968</v>
      </c>
      <c r="D1516" t="s">
        <v>6249</v>
      </c>
      <c r="E1516" t="e">
        <v>#VALUE!</v>
      </c>
      <c r="F1516" t="s">
        <v>12</v>
      </c>
      <c r="G1516" t="s">
        <v>0</v>
      </c>
      <c r="H1516" s="1">
        <f t="shared" si="16"/>
        <v>45400</v>
      </c>
    </row>
    <row r="1517" spans="1:8" x14ac:dyDescent="0.35">
      <c r="A1517" s="2" t="s">
        <v>3969</v>
      </c>
      <c r="B1517" s="2" t="s">
        <v>3970</v>
      </c>
      <c r="C1517" s="2" t="s">
        <v>3971</v>
      </c>
      <c r="D1517" t="s">
        <v>6247</v>
      </c>
      <c r="E1517" t="e">
        <v>#VALUE!</v>
      </c>
      <c r="F1517" t="s">
        <v>12</v>
      </c>
      <c r="G1517" t="s">
        <v>0</v>
      </c>
      <c r="H1517" s="1">
        <f t="shared" si="16"/>
        <v>45400</v>
      </c>
    </row>
    <row r="1518" spans="1:8" x14ac:dyDescent="0.35">
      <c r="A1518" s="2" t="s">
        <v>3972</v>
      </c>
      <c r="B1518" s="2" t="s">
        <v>3973</v>
      </c>
      <c r="C1518" s="2" t="s">
        <v>3974</v>
      </c>
      <c r="D1518" t="s">
        <v>6246</v>
      </c>
      <c r="E1518" t="e">
        <v>#VALUE!</v>
      </c>
      <c r="F1518" t="s">
        <v>12</v>
      </c>
      <c r="G1518" t="s">
        <v>0</v>
      </c>
      <c r="H1518" s="1">
        <f t="shared" si="16"/>
        <v>45400</v>
      </c>
    </row>
    <row r="1519" spans="1:8" x14ac:dyDescent="0.35">
      <c r="A1519" s="2" t="s">
        <v>3975</v>
      </c>
      <c r="B1519" s="2" t="s">
        <v>3976</v>
      </c>
      <c r="C1519" s="2" t="s">
        <v>3977</v>
      </c>
      <c r="D1519" t="s">
        <v>6247</v>
      </c>
      <c r="E1519" t="e">
        <v>#VALUE!</v>
      </c>
      <c r="F1519" t="s">
        <v>12</v>
      </c>
      <c r="G1519" t="s">
        <v>0</v>
      </c>
      <c r="H1519" s="1">
        <f t="shared" si="16"/>
        <v>45400</v>
      </c>
    </row>
    <row r="1520" spans="1:8" x14ac:dyDescent="0.35">
      <c r="A1520" s="2" t="s">
        <v>3978</v>
      </c>
      <c r="B1520" s="2" t="s">
        <v>3979</v>
      </c>
      <c r="C1520" s="2" t="s">
        <v>3980</v>
      </c>
      <c r="D1520" t="s">
        <v>6247</v>
      </c>
      <c r="E1520" t="e">
        <v>#VALUE!</v>
      </c>
      <c r="F1520" t="s">
        <v>12</v>
      </c>
      <c r="G1520" t="s">
        <v>0</v>
      </c>
      <c r="H1520" s="1">
        <f t="shared" si="16"/>
        <v>45400</v>
      </c>
    </row>
    <row r="1521" spans="1:8" x14ac:dyDescent="0.35">
      <c r="A1521" s="2" t="s">
        <v>3981</v>
      </c>
      <c r="B1521" s="2" t="s">
        <v>3982</v>
      </c>
      <c r="C1521" s="2" t="s">
        <v>3983</v>
      </c>
      <c r="D1521" t="s">
        <v>6256</v>
      </c>
      <c r="E1521" t="e">
        <v>#VALUE!</v>
      </c>
      <c r="F1521" t="s">
        <v>12</v>
      </c>
      <c r="G1521" t="s">
        <v>0</v>
      </c>
      <c r="H1521" s="1">
        <f t="shared" si="16"/>
        <v>45400</v>
      </c>
    </row>
    <row r="1522" spans="1:8" x14ac:dyDescent="0.35">
      <c r="A1522" s="2" t="s">
        <v>3984</v>
      </c>
      <c r="B1522" s="2" t="s">
        <v>3985</v>
      </c>
      <c r="C1522" s="2" t="s">
        <v>3986</v>
      </c>
      <c r="D1522" t="s">
        <v>6247</v>
      </c>
      <c r="E1522" t="e">
        <v>#VALUE!</v>
      </c>
      <c r="F1522" t="s">
        <v>12</v>
      </c>
      <c r="G1522" t="s">
        <v>0</v>
      </c>
      <c r="H1522" s="1">
        <f t="shared" si="16"/>
        <v>45400</v>
      </c>
    </row>
    <row r="1523" spans="1:8" x14ac:dyDescent="0.35">
      <c r="A1523" s="2" t="s">
        <v>3987</v>
      </c>
      <c r="B1523" s="2" t="s">
        <v>3988</v>
      </c>
      <c r="C1523" s="2" t="s">
        <v>3989</v>
      </c>
      <c r="D1523" t="s">
        <v>6257</v>
      </c>
      <c r="E1523" t="e">
        <v>#VALUE!</v>
      </c>
      <c r="F1523" t="s">
        <v>12</v>
      </c>
      <c r="G1523" t="s">
        <v>0</v>
      </c>
      <c r="H1523" s="1">
        <f t="shared" si="16"/>
        <v>45400</v>
      </c>
    </row>
    <row r="1524" spans="1:8" x14ac:dyDescent="0.35">
      <c r="A1524" s="2" t="s">
        <v>3990</v>
      </c>
      <c r="B1524" s="2" t="s">
        <v>3991</v>
      </c>
      <c r="C1524" s="2" t="s">
        <v>3992</v>
      </c>
      <c r="D1524" t="s">
        <v>6247</v>
      </c>
      <c r="E1524" t="e">
        <v>#VALUE!</v>
      </c>
      <c r="F1524" t="s">
        <v>12</v>
      </c>
      <c r="G1524" t="s">
        <v>0</v>
      </c>
      <c r="H1524" s="1">
        <f t="shared" si="16"/>
        <v>45400</v>
      </c>
    </row>
    <row r="1525" spans="1:8" x14ac:dyDescent="0.35">
      <c r="A1525" s="2" t="s">
        <v>3993</v>
      </c>
      <c r="B1525" s="2" t="s">
        <v>3994</v>
      </c>
      <c r="C1525" s="2" t="s">
        <v>3995</v>
      </c>
      <c r="D1525" t="s">
        <v>6258</v>
      </c>
      <c r="E1525" t="e">
        <v>#VALUE!</v>
      </c>
      <c r="F1525" t="s">
        <v>12</v>
      </c>
      <c r="G1525" t="s">
        <v>0</v>
      </c>
      <c r="H1525" s="1">
        <f t="shared" si="16"/>
        <v>45400</v>
      </c>
    </row>
    <row r="1526" spans="1:8" x14ac:dyDescent="0.35">
      <c r="A1526" s="2" t="s">
        <v>3996</v>
      </c>
      <c r="B1526" s="2" t="s">
        <v>3997</v>
      </c>
      <c r="C1526" s="2" t="s">
        <v>3998</v>
      </c>
      <c r="D1526" t="s">
        <v>6259</v>
      </c>
      <c r="E1526" t="e">
        <v>#VALUE!</v>
      </c>
      <c r="F1526" t="s">
        <v>12</v>
      </c>
      <c r="G1526" t="s">
        <v>0</v>
      </c>
      <c r="H1526" s="1">
        <f t="shared" si="16"/>
        <v>45400</v>
      </c>
    </row>
    <row r="1527" spans="1:8" x14ac:dyDescent="0.35">
      <c r="A1527" s="2" t="s">
        <v>3999</v>
      </c>
      <c r="B1527" s="2" t="s">
        <v>4000</v>
      </c>
      <c r="C1527" s="2" t="s">
        <v>4001</v>
      </c>
      <c r="D1527" t="s">
        <v>6260</v>
      </c>
      <c r="E1527" t="e">
        <v>#VALUE!</v>
      </c>
      <c r="F1527" t="s">
        <v>12</v>
      </c>
      <c r="G1527" t="s">
        <v>0</v>
      </c>
      <c r="H1527" s="1">
        <f t="shared" si="16"/>
        <v>45400</v>
      </c>
    </row>
    <row r="1528" spans="1:8" x14ac:dyDescent="0.35">
      <c r="A1528" s="2" t="s">
        <v>4002</v>
      </c>
      <c r="B1528" s="2" t="s">
        <v>4003</v>
      </c>
      <c r="C1528" s="2" t="s">
        <v>4004</v>
      </c>
      <c r="D1528" t="s">
        <v>6253</v>
      </c>
      <c r="E1528" t="e">
        <v>#VALUE!</v>
      </c>
      <c r="F1528" t="s">
        <v>12</v>
      </c>
      <c r="G1528" t="s">
        <v>0</v>
      </c>
      <c r="H1528" s="1">
        <f t="shared" si="16"/>
        <v>45400</v>
      </c>
    </row>
    <row r="1529" spans="1:8" x14ac:dyDescent="0.35">
      <c r="A1529" s="2" t="s">
        <v>4005</v>
      </c>
      <c r="B1529" s="2" t="s">
        <v>4006</v>
      </c>
      <c r="C1529" s="2" t="s">
        <v>4007</v>
      </c>
      <c r="D1529" t="s">
        <v>6261</v>
      </c>
      <c r="E1529" t="e">
        <v>#VALUE!</v>
      </c>
      <c r="F1529" t="s">
        <v>12</v>
      </c>
      <c r="G1529" t="s">
        <v>0</v>
      </c>
      <c r="H1529" s="1">
        <f t="shared" si="16"/>
        <v>45400</v>
      </c>
    </row>
    <row r="1530" spans="1:8" x14ac:dyDescent="0.35">
      <c r="A1530" s="2" t="s">
        <v>4008</v>
      </c>
      <c r="B1530" s="2" t="s">
        <v>4009</v>
      </c>
      <c r="C1530" s="2" t="s">
        <v>4010</v>
      </c>
      <c r="D1530" t="s">
        <v>6262</v>
      </c>
      <c r="E1530" t="e">
        <v>#VALUE!</v>
      </c>
      <c r="F1530" t="s">
        <v>12</v>
      </c>
      <c r="G1530" t="s">
        <v>0</v>
      </c>
      <c r="H1530" s="1">
        <f t="shared" si="16"/>
        <v>45400</v>
      </c>
    </row>
    <row r="1531" spans="1:8" x14ac:dyDescent="0.35">
      <c r="A1531" s="2" t="s">
        <v>4011</v>
      </c>
      <c r="B1531" s="2" t="s">
        <v>4012</v>
      </c>
      <c r="C1531" s="2" t="s">
        <v>4013</v>
      </c>
      <c r="D1531" t="s">
        <v>6261</v>
      </c>
      <c r="E1531" t="e">
        <v>#VALUE!</v>
      </c>
      <c r="F1531" t="s">
        <v>12</v>
      </c>
      <c r="G1531" t="s">
        <v>0</v>
      </c>
      <c r="H1531" s="1">
        <f t="shared" si="16"/>
        <v>45400</v>
      </c>
    </row>
    <row r="1532" spans="1:8" x14ac:dyDescent="0.35">
      <c r="A1532" s="2" t="s">
        <v>4014</v>
      </c>
      <c r="B1532" s="2" t="s">
        <v>4015</v>
      </c>
      <c r="C1532" s="2" t="s">
        <v>4016</v>
      </c>
      <c r="D1532" t="s">
        <v>6249</v>
      </c>
      <c r="E1532" t="e">
        <v>#VALUE!</v>
      </c>
      <c r="F1532" t="s">
        <v>12</v>
      </c>
      <c r="G1532" t="s">
        <v>0</v>
      </c>
      <c r="H1532" s="1">
        <f t="shared" si="16"/>
        <v>45400</v>
      </c>
    </row>
    <row r="1533" spans="1:8" x14ac:dyDescent="0.35">
      <c r="A1533" s="2" t="s">
        <v>4017</v>
      </c>
      <c r="B1533" s="2" t="s">
        <v>4018</v>
      </c>
      <c r="C1533" s="2" t="s">
        <v>4019</v>
      </c>
      <c r="D1533" t="s">
        <v>6249</v>
      </c>
      <c r="E1533" t="e">
        <v>#VALUE!</v>
      </c>
      <c r="F1533" t="s">
        <v>12</v>
      </c>
      <c r="G1533" t="s">
        <v>0</v>
      </c>
      <c r="H1533" s="1">
        <f t="shared" si="16"/>
        <v>45400</v>
      </c>
    </row>
    <row r="1534" spans="1:8" x14ac:dyDescent="0.35">
      <c r="A1534" s="2" t="s">
        <v>4020</v>
      </c>
      <c r="B1534" s="2" t="s">
        <v>4021</v>
      </c>
      <c r="D1534" t="s">
        <v>5387</v>
      </c>
      <c r="E1534" t="e">
        <v>#VALUE!</v>
      </c>
      <c r="F1534" t="s">
        <v>12</v>
      </c>
      <c r="G1534" t="s">
        <v>0</v>
      </c>
      <c r="H1534" s="1">
        <f>DATE(2023,10,11)</f>
        <v>45210</v>
      </c>
    </row>
    <row r="1535" spans="1:8" x14ac:dyDescent="0.35">
      <c r="A1535" s="2" t="s">
        <v>4022</v>
      </c>
      <c r="B1535" s="2" t="s">
        <v>4023</v>
      </c>
      <c r="D1535" t="s">
        <v>5387</v>
      </c>
      <c r="E1535" t="e">
        <v>#VALUE!</v>
      </c>
      <c r="F1535" t="s">
        <v>12</v>
      </c>
      <c r="G1535" t="s">
        <v>0</v>
      </c>
      <c r="H1535" s="1">
        <f>DATE(2023,10,11)</f>
        <v>45210</v>
      </c>
    </row>
    <row r="1536" spans="1:8" x14ac:dyDescent="0.35">
      <c r="A1536" s="2" t="s">
        <v>4024</v>
      </c>
      <c r="B1536" s="2" t="s">
        <v>4025</v>
      </c>
      <c r="C1536" s="2" t="s">
        <v>4026</v>
      </c>
      <c r="D1536" t="s">
        <v>6263</v>
      </c>
      <c r="E1536" t="s">
        <v>7373</v>
      </c>
      <c r="F1536" t="s">
        <v>12</v>
      </c>
      <c r="G1536" t="s">
        <v>0</v>
      </c>
      <c r="H1536" s="1">
        <f>DATE(2023,11,6)</f>
        <v>45236</v>
      </c>
    </row>
    <row r="1537" spans="1:8" x14ac:dyDescent="0.35">
      <c r="A1537" s="2" t="s">
        <v>4027</v>
      </c>
      <c r="B1537" s="2" t="s">
        <v>4028</v>
      </c>
      <c r="C1537" s="2" t="s">
        <v>4029</v>
      </c>
      <c r="D1537" t="s">
        <v>6264</v>
      </c>
      <c r="E1537" t="s">
        <v>7374</v>
      </c>
      <c r="F1537" t="s">
        <v>12</v>
      </c>
      <c r="G1537" t="s">
        <v>0</v>
      </c>
      <c r="H1537" s="1">
        <f>DATE(2022,11,29)</f>
        <v>44894</v>
      </c>
    </row>
    <row r="1538" spans="1:8" x14ac:dyDescent="0.35">
      <c r="A1538" s="2" t="s">
        <v>4030</v>
      </c>
      <c r="B1538" s="2" t="s">
        <v>4031</v>
      </c>
      <c r="C1538" s="2" t="s">
        <v>4032</v>
      </c>
      <c r="D1538" t="s">
        <v>6265</v>
      </c>
      <c r="E1538" t="s">
        <v>7375</v>
      </c>
      <c r="F1538" t="s">
        <v>12</v>
      </c>
      <c r="G1538" t="s">
        <v>0</v>
      </c>
      <c r="H1538" s="1">
        <f>DATE(2023,6,5)</f>
        <v>45082</v>
      </c>
    </row>
    <row r="1539" spans="1:8" x14ac:dyDescent="0.35">
      <c r="A1539" s="2" t="s">
        <v>4033</v>
      </c>
      <c r="B1539" s="2" t="s">
        <v>4034</v>
      </c>
      <c r="C1539" s="2" t="s">
        <v>4035</v>
      </c>
      <c r="D1539" t="s">
        <v>6266</v>
      </c>
      <c r="E1539" t="s">
        <v>7376</v>
      </c>
      <c r="F1539" t="s">
        <v>12</v>
      </c>
      <c r="G1539" t="s">
        <v>0</v>
      </c>
      <c r="H1539" s="1">
        <f>DATE(2022,11,28)</f>
        <v>44893</v>
      </c>
    </row>
    <row r="1540" spans="1:8" x14ac:dyDescent="0.35">
      <c r="A1540" s="2" t="s">
        <v>4036</v>
      </c>
      <c r="B1540" s="2" t="s">
        <v>4037</v>
      </c>
      <c r="C1540" s="2" t="s">
        <v>247</v>
      </c>
      <c r="D1540" t="s">
        <v>5427</v>
      </c>
      <c r="E1540" t="s">
        <v>6557</v>
      </c>
      <c r="F1540" t="s">
        <v>12</v>
      </c>
      <c r="G1540" t="s">
        <v>0</v>
      </c>
      <c r="H1540" s="1">
        <f>DATE(2023,6,12)</f>
        <v>45089</v>
      </c>
    </row>
    <row r="1541" spans="1:8" x14ac:dyDescent="0.35">
      <c r="A1541" s="2" t="s">
        <v>4038</v>
      </c>
      <c r="B1541" s="2" t="s">
        <v>4039</v>
      </c>
      <c r="D1541" t="s">
        <v>5387</v>
      </c>
      <c r="E1541" t="e">
        <v>#VALUE!</v>
      </c>
      <c r="F1541" t="s">
        <v>12</v>
      </c>
      <c r="G1541" t="s">
        <v>0</v>
      </c>
      <c r="H1541" s="1">
        <f>DATE(2022,11,29)</f>
        <v>44894</v>
      </c>
    </row>
    <row r="1542" spans="1:8" x14ac:dyDescent="0.35">
      <c r="A1542" s="2" t="s">
        <v>4040</v>
      </c>
      <c r="B1542" s="2" t="s">
        <v>4041</v>
      </c>
      <c r="C1542" s="2" t="s">
        <v>1857</v>
      </c>
      <c r="D1542" t="s">
        <v>5808</v>
      </c>
      <c r="E1542" t="s">
        <v>6938</v>
      </c>
      <c r="F1542" t="s">
        <v>12</v>
      </c>
      <c r="G1542" t="s">
        <v>0</v>
      </c>
      <c r="H1542" s="1">
        <f>DATE(2022,11,29)</f>
        <v>44894</v>
      </c>
    </row>
    <row r="1543" spans="1:8" x14ac:dyDescent="0.35">
      <c r="A1543" s="2" t="s">
        <v>4042</v>
      </c>
      <c r="B1543" s="2" t="s">
        <v>4043</v>
      </c>
      <c r="D1543" t="s">
        <v>5387</v>
      </c>
      <c r="E1543" t="e">
        <v>#VALUE!</v>
      </c>
      <c r="F1543" t="s">
        <v>12</v>
      </c>
      <c r="G1543" t="s">
        <v>0</v>
      </c>
      <c r="H1543" s="1">
        <f>DATE(2023,10,11)</f>
        <v>45210</v>
      </c>
    </row>
    <row r="1544" spans="1:8" x14ac:dyDescent="0.35">
      <c r="A1544" s="2" t="s">
        <v>4044</v>
      </c>
      <c r="B1544" s="2" t="s">
        <v>4045</v>
      </c>
      <c r="C1544" s="2" t="s">
        <v>889</v>
      </c>
      <c r="D1544" t="s">
        <v>889</v>
      </c>
      <c r="E1544" t="s">
        <v>6694</v>
      </c>
      <c r="F1544" t="s">
        <v>50</v>
      </c>
      <c r="G1544" t="s">
        <v>0</v>
      </c>
      <c r="H1544" s="1">
        <f>DATE(2023,6,13)</f>
        <v>45090</v>
      </c>
    </row>
    <row r="1545" spans="1:8" x14ac:dyDescent="0.35">
      <c r="A1545" s="2" t="s">
        <v>4046</v>
      </c>
      <c r="B1545" s="2" t="s">
        <v>4047</v>
      </c>
      <c r="C1545" s="2" t="s">
        <v>4048</v>
      </c>
      <c r="D1545" t="s">
        <v>6267</v>
      </c>
      <c r="E1545" t="s">
        <v>7377</v>
      </c>
      <c r="F1545" t="s">
        <v>12</v>
      </c>
      <c r="G1545" t="s">
        <v>0</v>
      </c>
      <c r="H1545" s="1">
        <f>DATE(2022,12,1)</f>
        <v>44896</v>
      </c>
    </row>
    <row r="1546" spans="1:8" x14ac:dyDescent="0.35">
      <c r="A1546" s="2" t="s">
        <v>4049</v>
      </c>
      <c r="B1546" s="2" t="s">
        <v>4050</v>
      </c>
      <c r="C1546" s="2" t="s">
        <v>4051</v>
      </c>
      <c r="D1546" t="s">
        <v>6268</v>
      </c>
      <c r="E1546" t="s">
        <v>7378</v>
      </c>
      <c r="F1546" t="s">
        <v>12</v>
      </c>
      <c r="G1546" t="s">
        <v>0</v>
      </c>
      <c r="H1546" s="1">
        <f>DATE(2022,12,2)</f>
        <v>44897</v>
      </c>
    </row>
    <row r="1547" spans="1:8" x14ac:dyDescent="0.35">
      <c r="A1547" s="2" t="s">
        <v>4052</v>
      </c>
      <c r="B1547" s="2" t="s">
        <v>4053</v>
      </c>
      <c r="C1547" s="2" t="s">
        <v>4054</v>
      </c>
      <c r="D1547" t="s">
        <v>6269</v>
      </c>
      <c r="E1547" t="s">
        <v>7379</v>
      </c>
      <c r="F1547" t="s">
        <v>12</v>
      </c>
      <c r="G1547" t="s">
        <v>0</v>
      </c>
      <c r="H1547" s="1">
        <f>DATE(2023,6,21)</f>
        <v>45098</v>
      </c>
    </row>
    <row r="1548" spans="1:8" x14ac:dyDescent="0.35">
      <c r="A1548" s="2" t="s">
        <v>4055</v>
      </c>
      <c r="B1548" s="2" t="s">
        <v>4056</v>
      </c>
      <c r="C1548" s="2" t="s">
        <v>4057</v>
      </c>
      <c r="D1548" t="s">
        <v>6270</v>
      </c>
      <c r="E1548" t="s">
        <v>7380</v>
      </c>
      <c r="F1548" t="s">
        <v>12</v>
      </c>
      <c r="G1548" t="s">
        <v>0</v>
      </c>
      <c r="H1548" s="1">
        <f>DATE(2022,12,21)</f>
        <v>44916</v>
      </c>
    </row>
    <row r="1549" spans="1:8" x14ac:dyDescent="0.35">
      <c r="A1549" s="2" t="s">
        <v>4058</v>
      </c>
      <c r="B1549" s="2" t="s">
        <v>4059</v>
      </c>
      <c r="C1549" s="2" t="s">
        <v>4060</v>
      </c>
      <c r="D1549" t="s">
        <v>6271</v>
      </c>
      <c r="E1549" t="s">
        <v>7381</v>
      </c>
      <c r="F1549" t="s">
        <v>12</v>
      </c>
      <c r="G1549" t="s">
        <v>0</v>
      </c>
      <c r="H1549" s="1">
        <f>DATE(2022,12,5)</f>
        <v>44900</v>
      </c>
    </row>
    <row r="1550" spans="1:8" x14ac:dyDescent="0.35">
      <c r="A1550" s="2" t="s">
        <v>4061</v>
      </c>
      <c r="B1550" s="2" t="s">
        <v>4062</v>
      </c>
      <c r="D1550" t="s">
        <v>5387</v>
      </c>
      <c r="E1550" t="e">
        <v>#VALUE!</v>
      </c>
      <c r="F1550" t="s">
        <v>12</v>
      </c>
      <c r="G1550" t="s">
        <v>0</v>
      </c>
      <c r="H1550" s="1">
        <f>DATE(2022,12,6)</f>
        <v>44901</v>
      </c>
    </row>
    <row r="1551" spans="1:8" x14ac:dyDescent="0.35">
      <c r="A1551" s="2" t="s">
        <v>4063</v>
      </c>
      <c r="B1551" s="2" t="s">
        <v>4064</v>
      </c>
      <c r="C1551" s="2" t="s">
        <v>4065</v>
      </c>
      <c r="D1551" t="s">
        <v>6272</v>
      </c>
      <c r="E1551" t="s">
        <v>7382</v>
      </c>
      <c r="F1551" t="s">
        <v>12</v>
      </c>
      <c r="G1551" t="s">
        <v>0</v>
      </c>
      <c r="H1551" s="1">
        <f>DATE(2022,12,8)</f>
        <v>44903</v>
      </c>
    </row>
    <row r="1552" spans="1:8" x14ac:dyDescent="0.35">
      <c r="A1552" s="2" t="s">
        <v>4066</v>
      </c>
      <c r="B1552" s="2" t="s">
        <v>4067</v>
      </c>
      <c r="C1552" s="2" t="s">
        <v>4068</v>
      </c>
      <c r="D1552" t="s">
        <v>6273</v>
      </c>
      <c r="E1552" t="s">
        <v>7383</v>
      </c>
      <c r="F1552" t="s">
        <v>12</v>
      </c>
      <c r="G1552" t="s">
        <v>0</v>
      </c>
      <c r="H1552" s="1">
        <f>DATE(2022,12,8)</f>
        <v>44903</v>
      </c>
    </row>
    <row r="1553" spans="1:8" x14ac:dyDescent="0.35">
      <c r="A1553" s="2" t="s">
        <v>4069</v>
      </c>
      <c r="B1553" s="2" t="s">
        <v>4070</v>
      </c>
      <c r="D1553" t="s">
        <v>5387</v>
      </c>
      <c r="E1553" t="e">
        <v>#VALUE!</v>
      </c>
      <c r="F1553" t="s">
        <v>12</v>
      </c>
      <c r="G1553" t="s">
        <v>0</v>
      </c>
      <c r="H1553" s="1">
        <f>DATE(2022,12,12)</f>
        <v>44907</v>
      </c>
    </row>
    <row r="1554" spans="1:8" x14ac:dyDescent="0.35">
      <c r="A1554" s="2" t="s">
        <v>4071</v>
      </c>
      <c r="B1554" s="2" t="s">
        <v>4072</v>
      </c>
      <c r="C1554" s="2" t="s">
        <v>4073</v>
      </c>
      <c r="D1554" t="s">
        <v>6274</v>
      </c>
      <c r="E1554" t="s">
        <v>7384</v>
      </c>
      <c r="F1554" t="s">
        <v>12</v>
      </c>
      <c r="G1554" t="s">
        <v>0</v>
      </c>
      <c r="H1554" s="1">
        <f>DATE(2023,10,24)</f>
        <v>45223</v>
      </c>
    </row>
    <row r="1555" spans="1:8" x14ac:dyDescent="0.35">
      <c r="A1555" s="2" t="s">
        <v>4074</v>
      </c>
      <c r="B1555" s="2" t="s">
        <v>4075</v>
      </c>
      <c r="C1555" s="2" t="s">
        <v>4076</v>
      </c>
      <c r="D1555" t="s">
        <v>6275</v>
      </c>
      <c r="E1555" t="s">
        <v>7385</v>
      </c>
      <c r="F1555" t="s">
        <v>12</v>
      </c>
      <c r="G1555" t="s">
        <v>0</v>
      </c>
      <c r="H1555" s="1">
        <f>DATE(2022,12,12)</f>
        <v>44907</v>
      </c>
    </row>
    <row r="1556" spans="1:8" x14ac:dyDescent="0.35">
      <c r="A1556" s="2" t="s">
        <v>4077</v>
      </c>
      <c r="B1556" s="2" t="s">
        <v>4078</v>
      </c>
      <c r="C1556" s="2" t="s">
        <v>4079</v>
      </c>
      <c r="D1556" t="s">
        <v>5629</v>
      </c>
      <c r="E1556" t="s">
        <v>6759</v>
      </c>
      <c r="F1556" t="s">
        <v>12</v>
      </c>
      <c r="G1556" t="s">
        <v>0</v>
      </c>
      <c r="H1556" s="1">
        <f>DATE(2022,12,14)</f>
        <v>44909</v>
      </c>
    </row>
    <row r="1557" spans="1:8" x14ac:dyDescent="0.35">
      <c r="A1557" s="2" t="s">
        <v>4080</v>
      </c>
      <c r="B1557" s="2" t="s">
        <v>4081</v>
      </c>
      <c r="D1557" t="s">
        <v>5387</v>
      </c>
      <c r="E1557" t="e">
        <v>#VALUE!</v>
      </c>
      <c r="F1557" t="s">
        <v>12</v>
      </c>
      <c r="G1557" t="s">
        <v>0</v>
      </c>
      <c r="H1557" s="1">
        <f>DATE(2023,12,11)</f>
        <v>45271</v>
      </c>
    </row>
    <row r="1558" spans="1:8" x14ac:dyDescent="0.35">
      <c r="A1558" s="2" t="s">
        <v>4082</v>
      </c>
      <c r="B1558" s="2" t="s">
        <v>4083</v>
      </c>
      <c r="C1558" s="2" t="s">
        <v>4084</v>
      </c>
      <c r="D1558" t="s">
        <v>6276</v>
      </c>
      <c r="E1558" t="s">
        <v>7386</v>
      </c>
      <c r="F1558" t="s">
        <v>12</v>
      </c>
      <c r="G1558" t="s">
        <v>0</v>
      </c>
      <c r="H1558" s="1">
        <f>DATE(2022,12,14)</f>
        <v>44909</v>
      </c>
    </row>
    <row r="1559" spans="1:8" x14ac:dyDescent="0.35">
      <c r="A1559" s="2" t="s">
        <v>4085</v>
      </c>
      <c r="B1559" s="2" t="s">
        <v>4086</v>
      </c>
      <c r="D1559" t="s">
        <v>5387</v>
      </c>
      <c r="E1559" t="e">
        <v>#VALUE!</v>
      </c>
      <c r="F1559" t="s">
        <v>4087</v>
      </c>
      <c r="G1559" t="s">
        <v>0</v>
      </c>
      <c r="H1559" s="1">
        <f>DATE(2022,12,20)</f>
        <v>44915</v>
      </c>
    </row>
    <row r="1560" spans="1:8" x14ac:dyDescent="0.35">
      <c r="A1560" s="2" t="s">
        <v>4088</v>
      </c>
      <c r="B1560" s="2" t="s">
        <v>4089</v>
      </c>
      <c r="C1560" s="2" t="s">
        <v>4090</v>
      </c>
      <c r="D1560" t="s">
        <v>6277</v>
      </c>
      <c r="E1560" t="s">
        <v>7387</v>
      </c>
      <c r="F1560" t="s">
        <v>12</v>
      </c>
      <c r="G1560" t="s">
        <v>0</v>
      </c>
      <c r="H1560" s="1">
        <f>DATE(2022,12,14)</f>
        <v>44909</v>
      </c>
    </row>
    <row r="1561" spans="1:8" x14ac:dyDescent="0.35">
      <c r="A1561" s="2" t="s">
        <v>4091</v>
      </c>
      <c r="B1561" s="2" t="s">
        <v>4092</v>
      </c>
      <c r="C1561" s="2" t="s">
        <v>4093</v>
      </c>
      <c r="D1561" t="s">
        <v>6278</v>
      </c>
      <c r="E1561" t="s">
        <v>7388</v>
      </c>
      <c r="F1561" t="s">
        <v>12</v>
      </c>
      <c r="G1561" t="s">
        <v>0</v>
      </c>
      <c r="H1561" s="1">
        <f>DATE(2022,12,14)</f>
        <v>44909</v>
      </c>
    </row>
    <row r="1562" spans="1:8" x14ac:dyDescent="0.35">
      <c r="A1562" s="2" t="s">
        <v>4094</v>
      </c>
      <c r="B1562" s="2" t="s">
        <v>4095</v>
      </c>
      <c r="D1562" t="s">
        <v>5387</v>
      </c>
      <c r="E1562" t="e">
        <v>#VALUE!</v>
      </c>
      <c r="F1562" t="s">
        <v>12</v>
      </c>
      <c r="G1562" t="s">
        <v>0</v>
      </c>
      <c r="H1562" s="1">
        <f>DATE(2022,12,14)</f>
        <v>44909</v>
      </c>
    </row>
    <row r="1563" spans="1:8" x14ac:dyDescent="0.35">
      <c r="A1563" s="2" t="s">
        <v>4096</v>
      </c>
      <c r="B1563" s="2" t="s">
        <v>4097</v>
      </c>
      <c r="C1563" s="2" t="s">
        <v>4098</v>
      </c>
      <c r="D1563" t="s">
        <v>6279</v>
      </c>
      <c r="E1563" t="s">
        <v>7389</v>
      </c>
      <c r="F1563" t="s">
        <v>12</v>
      </c>
      <c r="G1563" t="s">
        <v>0</v>
      </c>
      <c r="H1563" s="1">
        <f>DATE(2022,12,14)</f>
        <v>44909</v>
      </c>
    </row>
    <row r="1564" spans="1:8" x14ac:dyDescent="0.35">
      <c r="A1564" s="2" t="s">
        <v>4099</v>
      </c>
      <c r="B1564" s="2" t="s">
        <v>4100</v>
      </c>
      <c r="D1564" t="s">
        <v>5387</v>
      </c>
      <c r="E1564" t="e">
        <v>#VALUE!</v>
      </c>
      <c r="F1564" t="s">
        <v>50</v>
      </c>
      <c r="G1564" t="s">
        <v>0</v>
      </c>
      <c r="H1564" s="1">
        <f>DATE(2022,12,15)</f>
        <v>44910</v>
      </c>
    </row>
    <row r="1565" spans="1:8" x14ac:dyDescent="0.35">
      <c r="A1565" s="2" t="s">
        <v>4101</v>
      </c>
      <c r="B1565" s="2" t="s">
        <v>4102</v>
      </c>
      <c r="D1565" t="s">
        <v>5387</v>
      </c>
      <c r="E1565" t="e">
        <v>#VALUE!</v>
      </c>
      <c r="F1565" t="s">
        <v>4103</v>
      </c>
      <c r="G1565" t="s">
        <v>0</v>
      </c>
      <c r="H1565" s="1">
        <f>DATE(2023,10,6)</f>
        <v>45205</v>
      </c>
    </row>
    <row r="1566" spans="1:8" x14ac:dyDescent="0.35">
      <c r="A1566" s="2" t="s">
        <v>4104</v>
      </c>
      <c r="B1566" s="2" t="s">
        <v>4105</v>
      </c>
      <c r="D1566" t="s">
        <v>5387</v>
      </c>
      <c r="E1566" t="e">
        <v>#VALUE!</v>
      </c>
      <c r="F1566" t="s">
        <v>12</v>
      </c>
      <c r="G1566" t="s">
        <v>0</v>
      </c>
      <c r="H1566" s="1">
        <f>DATE(2022,12,15)</f>
        <v>44910</v>
      </c>
    </row>
    <row r="1567" spans="1:8" x14ac:dyDescent="0.35">
      <c r="A1567" s="2" t="s">
        <v>4106</v>
      </c>
      <c r="B1567" s="2" t="s">
        <v>4107</v>
      </c>
      <c r="C1567" s="2" t="s">
        <v>4108</v>
      </c>
      <c r="D1567" t="s">
        <v>6280</v>
      </c>
      <c r="E1567" t="s">
        <v>7390</v>
      </c>
      <c r="F1567" t="s">
        <v>12</v>
      </c>
      <c r="G1567" t="s">
        <v>0</v>
      </c>
      <c r="H1567" s="1">
        <f t="shared" ref="H1567:H1572" si="17">DATE(2022,12,16)</f>
        <v>44911</v>
      </c>
    </row>
    <row r="1568" spans="1:8" x14ac:dyDescent="0.35">
      <c r="A1568" s="2" t="s">
        <v>4109</v>
      </c>
      <c r="B1568" s="2" t="s">
        <v>4110</v>
      </c>
      <c r="C1568" s="2" t="s">
        <v>4111</v>
      </c>
      <c r="D1568" t="s">
        <v>6281</v>
      </c>
      <c r="E1568" t="s">
        <v>7391</v>
      </c>
      <c r="F1568" t="s">
        <v>12</v>
      </c>
      <c r="G1568" t="s">
        <v>0</v>
      </c>
      <c r="H1568" s="1">
        <f t="shared" si="17"/>
        <v>44911</v>
      </c>
    </row>
    <row r="1569" spans="1:8" x14ac:dyDescent="0.35">
      <c r="A1569" s="2" t="s">
        <v>4112</v>
      </c>
      <c r="B1569" s="2" t="s">
        <v>4113</v>
      </c>
      <c r="C1569" s="2" t="s">
        <v>4114</v>
      </c>
      <c r="D1569" t="s">
        <v>6282</v>
      </c>
      <c r="E1569" t="s">
        <v>7392</v>
      </c>
      <c r="F1569" t="s">
        <v>12</v>
      </c>
      <c r="G1569" t="s">
        <v>0</v>
      </c>
      <c r="H1569" s="1">
        <f t="shared" si="17"/>
        <v>44911</v>
      </c>
    </row>
    <row r="1570" spans="1:8" x14ac:dyDescent="0.35">
      <c r="A1570" s="2" t="s">
        <v>4115</v>
      </c>
      <c r="B1570" s="2" t="s">
        <v>4116</v>
      </c>
      <c r="C1570" s="2" t="s">
        <v>4117</v>
      </c>
      <c r="D1570" t="s">
        <v>6283</v>
      </c>
      <c r="E1570" t="s">
        <v>7393</v>
      </c>
      <c r="F1570" t="s">
        <v>12</v>
      </c>
      <c r="G1570" t="s">
        <v>0</v>
      </c>
      <c r="H1570" s="1">
        <f t="shared" si="17"/>
        <v>44911</v>
      </c>
    </row>
    <row r="1571" spans="1:8" x14ac:dyDescent="0.35">
      <c r="A1571" s="2" t="s">
        <v>4118</v>
      </c>
      <c r="B1571" s="2" t="s">
        <v>4119</v>
      </c>
      <c r="D1571" t="s">
        <v>5387</v>
      </c>
      <c r="E1571" t="e">
        <v>#VALUE!</v>
      </c>
      <c r="F1571" t="s">
        <v>12</v>
      </c>
      <c r="G1571" t="s">
        <v>0</v>
      </c>
      <c r="H1571" s="1">
        <f t="shared" si="17"/>
        <v>44911</v>
      </c>
    </row>
    <row r="1572" spans="1:8" x14ac:dyDescent="0.35">
      <c r="A1572" s="2" t="s">
        <v>4120</v>
      </c>
      <c r="B1572" s="2" t="s">
        <v>4121</v>
      </c>
      <c r="D1572" t="s">
        <v>5387</v>
      </c>
      <c r="E1572" t="e">
        <v>#VALUE!</v>
      </c>
      <c r="F1572" t="s">
        <v>12</v>
      </c>
      <c r="G1572" t="s">
        <v>0</v>
      </c>
      <c r="H1572" s="1">
        <f t="shared" si="17"/>
        <v>44911</v>
      </c>
    </row>
    <row r="1573" spans="1:8" x14ac:dyDescent="0.35">
      <c r="A1573" s="2" t="s">
        <v>4122</v>
      </c>
      <c r="B1573" s="2" t="s">
        <v>4123</v>
      </c>
      <c r="C1573" s="2" t="s">
        <v>4124</v>
      </c>
      <c r="D1573" t="s">
        <v>6284</v>
      </c>
      <c r="E1573" t="s">
        <v>7394</v>
      </c>
      <c r="F1573" t="s">
        <v>12</v>
      </c>
      <c r="G1573" t="s">
        <v>0</v>
      </c>
      <c r="H1573" s="1">
        <f>DATE(2023,12,18)</f>
        <v>45278</v>
      </c>
    </row>
    <row r="1574" spans="1:8" x14ac:dyDescent="0.35">
      <c r="A1574" s="2" t="s">
        <v>4125</v>
      </c>
      <c r="B1574" s="2" t="s">
        <v>4126</v>
      </c>
      <c r="C1574" s="2" t="s">
        <v>4127</v>
      </c>
      <c r="D1574" t="s">
        <v>6285</v>
      </c>
      <c r="E1574" t="s">
        <v>7395</v>
      </c>
      <c r="F1574" t="s">
        <v>12</v>
      </c>
      <c r="G1574" t="s">
        <v>0</v>
      </c>
      <c r="H1574" s="1">
        <f>DATE(2022,12,29)</f>
        <v>44924</v>
      </c>
    </row>
    <row r="1575" spans="1:8" x14ac:dyDescent="0.35">
      <c r="A1575" s="2" t="s">
        <v>4128</v>
      </c>
      <c r="B1575" s="2" t="s">
        <v>4129</v>
      </c>
      <c r="D1575" t="s">
        <v>5387</v>
      </c>
      <c r="E1575" t="e">
        <v>#VALUE!</v>
      </c>
      <c r="F1575" t="s">
        <v>12</v>
      </c>
      <c r="G1575" t="s">
        <v>0</v>
      </c>
      <c r="H1575" s="1">
        <f>DATE(2022,12,20)</f>
        <v>44915</v>
      </c>
    </row>
    <row r="1576" spans="1:8" x14ac:dyDescent="0.35">
      <c r="A1576" s="2" t="s">
        <v>4130</v>
      </c>
      <c r="B1576" s="2" t="s">
        <v>4131</v>
      </c>
      <c r="C1576" s="2" t="s">
        <v>4132</v>
      </c>
      <c r="D1576" t="s">
        <v>6286</v>
      </c>
      <c r="E1576" t="s">
        <v>7396</v>
      </c>
      <c r="F1576" t="s">
        <v>12</v>
      </c>
      <c r="G1576" t="s">
        <v>0</v>
      </c>
      <c r="H1576" s="1">
        <f>DATE(2022,12,23)</f>
        <v>44918</v>
      </c>
    </row>
    <row r="1577" spans="1:8" x14ac:dyDescent="0.35">
      <c r="A1577" s="2" t="s">
        <v>4133</v>
      </c>
      <c r="B1577" s="2" t="s">
        <v>4134</v>
      </c>
      <c r="C1577" s="2" t="s">
        <v>4135</v>
      </c>
      <c r="D1577" t="s">
        <v>6287</v>
      </c>
      <c r="E1577" t="s">
        <v>7397</v>
      </c>
      <c r="F1577" t="s">
        <v>12</v>
      </c>
      <c r="G1577" t="s">
        <v>0</v>
      </c>
      <c r="H1577" s="1">
        <f>DATE(2024,1,10)</f>
        <v>45301</v>
      </c>
    </row>
    <row r="1578" spans="1:8" x14ac:dyDescent="0.35">
      <c r="A1578" s="2" t="s">
        <v>4136</v>
      </c>
      <c r="B1578" s="2" t="s">
        <v>4137</v>
      </c>
      <c r="D1578" t="s">
        <v>5387</v>
      </c>
      <c r="E1578" t="e">
        <v>#VALUE!</v>
      </c>
      <c r="F1578" t="s">
        <v>12</v>
      </c>
      <c r="G1578" t="s">
        <v>0</v>
      </c>
      <c r="H1578" s="1">
        <f>DATE(2022,12,21)</f>
        <v>44916</v>
      </c>
    </row>
    <row r="1579" spans="1:8" x14ac:dyDescent="0.35">
      <c r="A1579" s="2" t="s">
        <v>4138</v>
      </c>
      <c r="B1579" s="2" t="s">
        <v>4139</v>
      </c>
      <c r="C1579" s="2" t="s">
        <v>4140</v>
      </c>
      <c r="D1579" t="s">
        <v>6288</v>
      </c>
      <c r="E1579" t="s">
        <v>7398</v>
      </c>
      <c r="F1579" t="s">
        <v>12</v>
      </c>
      <c r="G1579" t="s">
        <v>0</v>
      </c>
      <c r="H1579" s="1">
        <f>DATE(2023,11,9)</f>
        <v>45239</v>
      </c>
    </row>
    <row r="1580" spans="1:8" x14ac:dyDescent="0.35">
      <c r="A1580" s="2" t="s">
        <v>4141</v>
      </c>
      <c r="B1580" s="2" t="s">
        <v>4142</v>
      </c>
      <c r="C1580" s="2" t="s">
        <v>4143</v>
      </c>
      <c r="D1580" t="s">
        <v>6289</v>
      </c>
      <c r="E1580" t="s">
        <v>7399</v>
      </c>
      <c r="F1580" t="s">
        <v>12</v>
      </c>
      <c r="G1580" t="s">
        <v>0</v>
      </c>
      <c r="H1580" s="1">
        <f>DATE(2022,12,23)</f>
        <v>44918</v>
      </c>
    </row>
    <row r="1581" spans="1:8" x14ac:dyDescent="0.35">
      <c r="A1581" s="2" t="s">
        <v>4144</v>
      </c>
      <c r="B1581" s="2" t="s">
        <v>4145</v>
      </c>
      <c r="C1581" s="2" t="s">
        <v>4146</v>
      </c>
      <c r="D1581" t="s">
        <v>6290</v>
      </c>
      <c r="E1581" t="s">
        <v>7400</v>
      </c>
      <c r="F1581" t="s">
        <v>12</v>
      </c>
      <c r="G1581" t="s">
        <v>0</v>
      </c>
      <c r="H1581" s="1">
        <f>DATE(2022,12,26)</f>
        <v>44921</v>
      </c>
    </row>
    <row r="1582" spans="1:8" x14ac:dyDescent="0.35">
      <c r="A1582" s="2" t="s">
        <v>4147</v>
      </c>
      <c r="B1582" s="2" t="s">
        <v>4148</v>
      </c>
      <c r="D1582" t="s">
        <v>5387</v>
      </c>
      <c r="E1582" t="e">
        <v>#VALUE!</v>
      </c>
      <c r="F1582" t="s">
        <v>12</v>
      </c>
      <c r="G1582" t="s">
        <v>0</v>
      </c>
      <c r="H1582" s="1">
        <f>DATE(2022,12,26)</f>
        <v>44921</v>
      </c>
    </row>
    <row r="1583" spans="1:8" x14ac:dyDescent="0.35">
      <c r="A1583" s="2" t="s">
        <v>4149</v>
      </c>
      <c r="B1583" s="2" t="s">
        <v>4150</v>
      </c>
      <c r="C1583" s="2" t="s">
        <v>4151</v>
      </c>
      <c r="D1583" t="s">
        <v>6291</v>
      </c>
      <c r="E1583" t="s">
        <v>7401</v>
      </c>
      <c r="F1583" t="s">
        <v>12</v>
      </c>
      <c r="G1583" t="s">
        <v>0</v>
      </c>
      <c r="H1583" s="1">
        <f t="shared" ref="H1583:H1588" si="18">DATE(2022,12,27)</f>
        <v>44922</v>
      </c>
    </row>
    <row r="1584" spans="1:8" x14ac:dyDescent="0.35">
      <c r="A1584" s="2" t="s">
        <v>4152</v>
      </c>
      <c r="B1584" s="2" t="s">
        <v>4153</v>
      </c>
      <c r="C1584" s="2" t="s">
        <v>4154</v>
      </c>
      <c r="D1584" t="s">
        <v>6292</v>
      </c>
      <c r="E1584" t="s">
        <v>7402</v>
      </c>
      <c r="F1584" t="s">
        <v>12</v>
      </c>
      <c r="G1584" t="s">
        <v>0</v>
      </c>
      <c r="H1584" s="1">
        <f t="shared" si="18"/>
        <v>44922</v>
      </c>
    </row>
    <row r="1585" spans="1:8" x14ac:dyDescent="0.35">
      <c r="A1585" s="2" t="s">
        <v>4155</v>
      </c>
      <c r="B1585" s="2" t="s">
        <v>4156</v>
      </c>
      <c r="D1585" t="s">
        <v>5387</v>
      </c>
      <c r="E1585" t="e">
        <v>#VALUE!</v>
      </c>
      <c r="F1585" t="s">
        <v>12</v>
      </c>
      <c r="G1585" t="s">
        <v>0</v>
      </c>
      <c r="H1585" s="1">
        <f t="shared" si="18"/>
        <v>44922</v>
      </c>
    </row>
    <row r="1586" spans="1:8" x14ac:dyDescent="0.35">
      <c r="A1586" s="2" t="s">
        <v>4157</v>
      </c>
      <c r="B1586" s="2" t="s">
        <v>4158</v>
      </c>
      <c r="D1586" t="s">
        <v>5387</v>
      </c>
      <c r="E1586" t="e">
        <v>#VALUE!</v>
      </c>
      <c r="F1586" t="s">
        <v>12</v>
      </c>
      <c r="G1586" t="s">
        <v>0</v>
      </c>
      <c r="H1586" s="1">
        <f t="shared" si="18"/>
        <v>44922</v>
      </c>
    </row>
    <row r="1587" spans="1:8" x14ac:dyDescent="0.35">
      <c r="A1587" s="2" t="s">
        <v>4159</v>
      </c>
      <c r="B1587" s="2" t="s">
        <v>4160</v>
      </c>
      <c r="C1587" s="2" t="s">
        <v>4161</v>
      </c>
      <c r="D1587" t="s">
        <v>6293</v>
      </c>
      <c r="E1587" t="s">
        <v>7403</v>
      </c>
      <c r="F1587" t="s">
        <v>12</v>
      </c>
      <c r="G1587" t="s">
        <v>0</v>
      </c>
      <c r="H1587" s="1">
        <f t="shared" si="18"/>
        <v>44922</v>
      </c>
    </row>
    <row r="1588" spans="1:8" x14ac:dyDescent="0.35">
      <c r="A1588" s="2" t="s">
        <v>4162</v>
      </c>
      <c r="B1588" s="2" t="s">
        <v>4163</v>
      </c>
      <c r="C1588" s="2" t="s">
        <v>4164</v>
      </c>
      <c r="D1588" t="s">
        <v>6294</v>
      </c>
      <c r="E1588" t="s">
        <v>7404</v>
      </c>
      <c r="F1588" t="s">
        <v>12</v>
      </c>
      <c r="G1588" t="s">
        <v>0</v>
      </c>
      <c r="H1588" s="1">
        <f t="shared" si="18"/>
        <v>44922</v>
      </c>
    </row>
    <row r="1589" spans="1:8" x14ac:dyDescent="0.35">
      <c r="A1589" s="2" t="s">
        <v>4165</v>
      </c>
      <c r="B1589" s="2" t="s">
        <v>4166</v>
      </c>
      <c r="C1589" s="2" t="s">
        <v>4167</v>
      </c>
      <c r="D1589" t="s">
        <v>6295</v>
      </c>
      <c r="E1589" t="s">
        <v>7405</v>
      </c>
      <c r="F1589" t="s">
        <v>12</v>
      </c>
      <c r="G1589" t="s">
        <v>0</v>
      </c>
      <c r="H1589" s="1">
        <f>DATE(2023,9,12)</f>
        <v>45181</v>
      </c>
    </row>
    <row r="1590" spans="1:8" x14ac:dyDescent="0.35">
      <c r="A1590" s="2" t="s">
        <v>4168</v>
      </c>
      <c r="B1590" s="2" t="s">
        <v>4169</v>
      </c>
      <c r="C1590" s="2" t="s">
        <v>4170</v>
      </c>
      <c r="D1590" t="s">
        <v>6296</v>
      </c>
      <c r="E1590" t="s">
        <v>7406</v>
      </c>
      <c r="F1590" t="s">
        <v>12</v>
      </c>
      <c r="G1590" t="s">
        <v>0</v>
      </c>
      <c r="H1590" s="1">
        <f>DATE(2022,12,27)</f>
        <v>44922</v>
      </c>
    </row>
    <row r="1591" spans="1:8" x14ac:dyDescent="0.35">
      <c r="A1591" s="2" t="s">
        <v>4171</v>
      </c>
      <c r="B1591" s="2" t="s">
        <v>4172</v>
      </c>
      <c r="C1591" s="2" t="s">
        <v>4173</v>
      </c>
      <c r="D1591" t="s">
        <v>6297</v>
      </c>
      <c r="E1591" t="s">
        <v>7407</v>
      </c>
      <c r="F1591" t="s">
        <v>12</v>
      </c>
      <c r="G1591" t="s">
        <v>0</v>
      </c>
      <c r="H1591" s="1">
        <f>DATE(2022,12,27)</f>
        <v>44922</v>
      </c>
    </row>
    <row r="1592" spans="1:8" x14ac:dyDescent="0.35">
      <c r="A1592" s="2" t="s">
        <v>4174</v>
      </c>
      <c r="B1592" s="2" t="s">
        <v>4175</v>
      </c>
      <c r="D1592" t="s">
        <v>5387</v>
      </c>
      <c r="E1592" t="e">
        <v>#VALUE!</v>
      </c>
      <c r="F1592" t="s">
        <v>12</v>
      </c>
      <c r="G1592" t="s">
        <v>0</v>
      </c>
      <c r="H1592" s="1">
        <f>DATE(2022,12,27)</f>
        <v>44922</v>
      </c>
    </row>
    <row r="1593" spans="1:8" x14ac:dyDescent="0.35">
      <c r="A1593" s="2" t="s">
        <v>4176</v>
      </c>
      <c r="B1593" s="2" t="s">
        <v>4177</v>
      </c>
      <c r="D1593" t="s">
        <v>5387</v>
      </c>
      <c r="E1593" t="e">
        <v>#VALUE!</v>
      </c>
      <c r="F1593" t="s">
        <v>12</v>
      </c>
      <c r="G1593" t="s">
        <v>0</v>
      </c>
      <c r="H1593" s="1">
        <f>DATE(2023,9,1)</f>
        <v>45170</v>
      </c>
    </row>
    <row r="1594" spans="1:8" x14ac:dyDescent="0.35">
      <c r="A1594" s="2" t="s">
        <v>4178</v>
      </c>
      <c r="B1594" s="2" t="s">
        <v>4179</v>
      </c>
      <c r="C1594" s="2" t="s">
        <v>4180</v>
      </c>
      <c r="D1594" t="s">
        <v>6298</v>
      </c>
      <c r="E1594" t="s">
        <v>7408</v>
      </c>
      <c r="F1594" t="s">
        <v>12</v>
      </c>
      <c r="G1594" t="s">
        <v>0</v>
      </c>
      <c r="H1594" s="1">
        <f>DATE(2022,12,28)</f>
        <v>44923</v>
      </c>
    </row>
    <row r="1595" spans="1:8" x14ac:dyDescent="0.35">
      <c r="A1595" s="2" t="s">
        <v>4181</v>
      </c>
      <c r="B1595" s="2" t="s">
        <v>4182</v>
      </c>
      <c r="C1595" s="2" t="s">
        <v>4183</v>
      </c>
      <c r="D1595" t="s">
        <v>6299</v>
      </c>
      <c r="E1595" t="s">
        <v>7409</v>
      </c>
      <c r="F1595" t="s">
        <v>12</v>
      </c>
      <c r="G1595" t="s">
        <v>0</v>
      </c>
      <c r="H1595" s="1">
        <f>DATE(2022,12,29)</f>
        <v>44924</v>
      </c>
    </row>
    <row r="1596" spans="1:8" x14ac:dyDescent="0.35">
      <c r="A1596" s="2" t="s">
        <v>4184</v>
      </c>
      <c r="B1596" s="2" t="s">
        <v>4185</v>
      </c>
      <c r="D1596" t="s">
        <v>5387</v>
      </c>
      <c r="E1596" t="e">
        <v>#VALUE!</v>
      </c>
      <c r="F1596" t="s">
        <v>4186</v>
      </c>
      <c r="G1596" t="s">
        <v>0</v>
      </c>
      <c r="H1596" s="1">
        <f>DATE(2022,12,29)</f>
        <v>44924</v>
      </c>
    </row>
    <row r="1597" spans="1:8" x14ac:dyDescent="0.35">
      <c r="A1597" s="2" t="s">
        <v>4187</v>
      </c>
      <c r="B1597" s="2" t="s">
        <v>4188</v>
      </c>
      <c r="D1597" t="s">
        <v>5387</v>
      </c>
      <c r="E1597" t="e">
        <v>#VALUE!</v>
      </c>
      <c r="F1597" t="s">
        <v>12</v>
      </c>
      <c r="G1597" t="s">
        <v>0</v>
      </c>
      <c r="H1597" s="1">
        <f>DATE(2023,10,31)</f>
        <v>45230</v>
      </c>
    </row>
    <row r="1598" spans="1:8" x14ac:dyDescent="0.35">
      <c r="A1598" s="2" t="s">
        <v>4189</v>
      </c>
      <c r="B1598" s="2" t="s">
        <v>4190</v>
      </c>
      <c r="D1598" t="s">
        <v>5387</v>
      </c>
      <c r="E1598" t="e">
        <v>#VALUE!</v>
      </c>
      <c r="F1598" t="s">
        <v>4191</v>
      </c>
      <c r="G1598" t="s">
        <v>0</v>
      </c>
      <c r="H1598" s="1">
        <f>DATE(2024,1,22)</f>
        <v>45313</v>
      </c>
    </row>
    <row r="1599" spans="1:8" x14ac:dyDescent="0.35">
      <c r="A1599" s="2" t="s">
        <v>4192</v>
      </c>
      <c r="B1599" s="2" t="s">
        <v>4193</v>
      </c>
      <c r="D1599" t="s">
        <v>5387</v>
      </c>
      <c r="E1599" t="e">
        <v>#VALUE!</v>
      </c>
      <c r="F1599" t="s">
        <v>50</v>
      </c>
      <c r="G1599" t="s">
        <v>0</v>
      </c>
      <c r="H1599" s="1">
        <f>DATE(2023,1,2)</f>
        <v>44928</v>
      </c>
    </row>
    <row r="1600" spans="1:8" x14ac:dyDescent="0.35">
      <c r="A1600" s="2" t="s">
        <v>4194</v>
      </c>
      <c r="B1600" s="2" t="s">
        <v>4195</v>
      </c>
      <c r="C1600" s="2" t="s">
        <v>4196</v>
      </c>
      <c r="D1600" t="s">
        <v>6300</v>
      </c>
      <c r="E1600" t="s">
        <v>7410</v>
      </c>
      <c r="F1600" t="s">
        <v>12</v>
      </c>
      <c r="G1600" t="s">
        <v>0</v>
      </c>
      <c r="H1600" s="1">
        <f>DATE(2023,9,25)</f>
        <v>45194</v>
      </c>
    </row>
    <row r="1601" spans="1:8" x14ac:dyDescent="0.35">
      <c r="A1601" s="2" t="s">
        <v>4197</v>
      </c>
      <c r="B1601" s="2" t="s">
        <v>4198</v>
      </c>
      <c r="D1601" t="s">
        <v>5387</v>
      </c>
      <c r="E1601" t="e">
        <v>#VALUE!</v>
      </c>
      <c r="F1601" t="s">
        <v>12</v>
      </c>
      <c r="G1601" t="s">
        <v>0</v>
      </c>
      <c r="H1601" s="1">
        <f>DATE(2023,1,4)</f>
        <v>44930</v>
      </c>
    </row>
    <row r="1602" spans="1:8" x14ac:dyDescent="0.35">
      <c r="A1602" s="2" t="s">
        <v>4199</v>
      </c>
      <c r="B1602" s="2" t="s">
        <v>4200</v>
      </c>
      <c r="C1602" s="2" t="s">
        <v>4201</v>
      </c>
      <c r="D1602" t="s">
        <v>6301</v>
      </c>
      <c r="E1602" t="s">
        <v>7411</v>
      </c>
      <c r="F1602" t="s">
        <v>12</v>
      </c>
      <c r="G1602" t="s">
        <v>0</v>
      </c>
      <c r="H1602" s="1">
        <f>DATE(2023,1,4)</f>
        <v>44930</v>
      </c>
    </row>
    <row r="1603" spans="1:8" x14ac:dyDescent="0.35">
      <c r="A1603" s="2" t="s">
        <v>4202</v>
      </c>
      <c r="B1603" s="2" t="s">
        <v>4203</v>
      </c>
      <c r="C1603" s="2" t="s">
        <v>4204</v>
      </c>
      <c r="D1603" t="s">
        <v>5409</v>
      </c>
      <c r="E1603" t="s">
        <v>6539</v>
      </c>
      <c r="F1603" t="s">
        <v>12</v>
      </c>
      <c r="G1603" t="s">
        <v>0</v>
      </c>
      <c r="H1603" s="1">
        <f>DATE(2023,1,5)</f>
        <v>44931</v>
      </c>
    </row>
    <row r="1604" spans="1:8" x14ac:dyDescent="0.35">
      <c r="A1604" s="2" t="s">
        <v>4205</v>
      </c>
      <c r="B1604" s="2" t="s">
        <v>4203</v>
      </c>
      <c r="D1604" t="s">
        <v>5387</v>
      </c>
      <c r="E1604" t="e">
        <v>#VALUE!</v>
      </c>
      <c r="F1604" t="s">
        <v>12</v>
      </c>
      <c r="G1604" t="s">
        <v>0</v>
      </c>
      <c r="H1604" s="1">
        <f>DATE(2024,1,22)</f>
        <v>45313</v>
      </c>
    </row>
    <row r="1605" spans="1:8" x14ac:dyDescent="0.35">
      <c r="A1605" s="2" t="s">
        <v>4206</v>
      </c>
      <c r="B1605" s="2" t="s">
        <v>4203</v>
      </c>
      <c r="C1605" s="2" t="s">
        <v>4207</v>
      </c>
      <c r="D1605" t="s">
        <v>5409</v>
      </c>
      <c r="E1605" t="s">
        <v>6539</v>
      </c>
      <c r="F1605" t="s">
        <v>12</v>
      </c>
      <c r="G1605" t="s">
        <v>0</v>
      </c>
      <c r="H1605" s="1">
        <f>DATE(2023,1,5)</f>
        <v>44931</v>
      </c>
    </row>
    <row r="1606" spans="1:8" x14ac:dyDescent="0.35">
      <c r="A1606" s="2" t="s">
        <v>4208</v>
      </c>
      <c r="B1606" s="2" t="s">
        <v>4209</v>
      </c>
      <c r="C1606" s="2" t="s">
        <v>4210</v>
      </c>
      <c r="D1606" t="s">
        <v>5409</v>
      </c>
      <c r="E1606" t="s">
        <v>6539</v>
      </c>
      <c r="F1606" t="s">
        <v>12</v>
      </c>
      <c r="G1606" t="s">
        <v>0</v>
      </c>
      <c r="H1606" s="1">
        <f>DATE(2023,1,5)</f>
        <v>44931</v>
      </c>
    </row>
    <row r="1607" spans="1:8" x14ac:dyDescent="0.35">
      <c r="A1607" s="2" t="s">
        <v>4211</v>
      </c>
      <c r="B1607" s="2" t="s">
        <v>4203</v>
      </c>
      <c r="C1607" s="2" t="s">
        <v>4212</v>
      </c>
      <c r="D1607" t="s">
        <v>5409</v>
      </c>
      <c r="E1607" t="s">
        <v>6539</v>
      </c>
      <c r="F1607" t="s">
        <v>12</v>
      </c>
      <c r="G1607" t="s">
        <v>0</v>
      </c>
      <c r="H1607" s="1">
        <f>DATE(2023,1,5)</f>
        <v>44931</v>
      </c>
    </row>
    <row r="1608" spans="1:8" x14ac:dyDescent="0.35">
      <c r="A1608" s="2" t="s">
        <v>4213</v>
      </c>
      <c r="B1608" s="2" t="s">
        <v>4203</v>
      </c>
      <c r="C1608" s="2" t="s">
        <v>4214</v>
      </c>
      <c r="D1608" t="s">
        <v>5409</v>
      </c>
      <c r="E1608" t="s">
        <v>6539</v>
      </c>
      <c r="F1608" t="s">
        <v>12</v>
      </c>
      <c r="G1608" t="s">
        <v>0</v>
      </c>
      <c r="H1608" s="1">
        <f>DATE(2023,1,5)</f>
        <v>44931</v>
      </c>
    </row>
    <row r="1609" spans="1:8" x14ac:dyDescent="0.35">
      <c r="A1609" s="2" t="s">
        <v>4215</v>
      </c>
      <c r="B1609" s="2" t="s">
        <v>4203</v>
      </c>
      <c r="C1609" s="2" t="s">
        <v>4216</v>
      </c>
      <c r="D1609" t="s">
        <v>5409</v>
      </c>
      <c r="E1609" t="s">
        <v>6539</v>
      </c>
      <c r="F1609" t="s">
        <v>12</v>
      </c>
      <c r="G1609" t="s">
        <v>0</v>
      </c>
      <c r="H1609" s="1">
        <f>DATE(2023,1,5)</f>
        <v>44931</v>
      </c>
    </row>
    <row r="1610" spans="1:8" x14ac:dyDescent="0.35">
      <c r="A1610" s="2" t="s">
        <v>4217</v>
      </c>
      <c r="B1610" s="2" t="s">
        <v>4218</v>
      </c>
      <c r="D1610" t="s">
        <v>5387</v>
      </c>
      <c r="E1610" t="e">
        <v>#VALUE!</v>
      </c>
      <c r="F1610" t="s">
        <v>12</v>
      </c>
      <c r="G1610" t="s">
        <v>0</v>
      </c>
      <c r="H1610" s="1">
        <f>DATE(2023,1,9)</f>
        <v>44935</v>
      </c>
    </row>
    <row r="1611" spans="1:8" x14ac:dyDescent="0.35">
      <c r="A1611" s="2" t="s">
        <v>4219</v>
      </c>
      <c r="B1611" s="2" t="s">
        <v>4220</v>
      </c>
      <c r="D1611" t="s">
        <v>5387</v>
      </c>
      <c r="E1611" t="e">
        <v>#VALUE!</v>
      </c>
      <c r="F1611" t="s">
        <v>12</v>
      </c>
      <c r="G1611" t="s">
        <v>0</v>
      </c>
      <c r="H1611" s="1">
        <f>DATE(2023,1,10)</f>
        <v>44936</v>
      </c>
    </row>
    <row r="1612" spans="1:8" x14ac:dyDescent="0.35">
      <c r="A1612" s="2" t="s">
        <v>4221</v>
      </c>
      <c r="B1612" s="2" t="s">
        <v>4222</v>
      </c>
      <c r="C1612" s="2" t="s">
        <v>4223</v>
      </c>
      <c r="D1612" t="s">
        <v>6302</v>
      </c>
      <c r="E1612" t="s">
        <v>7412</v>
      </c>
      <c r="F1612" t="s">
        <v>12</v>
      </c>
      <c r="G1612" t="s">
        <v>0</v>
      </c>
      <c r="H1612" s="1">
        <f>DATE(2023,1,10)</f>
        <v>44936</v>
      </c>
    </row>
    <row r="1613" spans="1:8" x14ac:dyDescent="0.35">
      <c r="A1613" s="2" t="s">
        <v>4224</v>
      </c>
      <c r="B1613" s="2" t="s">
        <v>4225</v>
      </c>
      <c r="D1613" t="s">
        <v>5387</v>
      </c>
      <c r="E1613" t="e">
        <v>#VALUE!</v>
      </c>
      <c r="F1613" t="s">
        <v>12</v>
      </c>
      <c r="G1613" t="s">
        <v>0</v>
      </c>
      <c r="H1613" s="1">
        <f>DATE(2024,2,7)</f>
        <v>45329</v>
      </c>
    </row>
    <row r="1614" spans="1:8" x14ac:dyDescent="0.35">
      <c r="A1614" s="2" t="s">
        <v>4226</v>
      </c>
      <c r="B1614" s="2" t="s">
        <v>4227</v>
      </c>
      <c r="D1614" t="s">
        <v>5387</v>
      </c>
      <c r="E1614" t="e">
        <v>#VALUE!</v>
      </c>
      <c r="F1614" t="s">
        <v>12</v>
      </c>
      <c r="G1614" t="s">
        <v>0</v>
      </c>
      <c r="H1614" s="1">
        <f>DATE(2024,2,9)</f>
        <v>45331</v>
      </c>
    </row>
    <row r="1615" spans="1:8" x14ac:dyDescent="0.35">
      <c r="A1615" s="2" t="s">
        <v>4228</v>
      </c>
      <c r="B1615" s="2" t="s">
        <v>4229</v>
      </c>
      <c r="C1615" s="2" t="s">
        <v>4230</v>
      </c>
      <c r="D1615" t="s">
        <v>6303</v>
      </c>
      <c r="E1615" t="s">
        <v>7413</v>
      </c>
      <c r="F1615" t="s">
        <v>12</v>
      </c>
      <c r="G1615" t="s">
        <v>0</v>
      </c>
      <c r="H1615" s="1">
        <f>DATE(2024,2,15)</f>
        <v>45337</v>
      </c>
    </row>
    <row r="1616" spans="1:8" x14ac:dyDescent="0.35">
      <c r="A1616" s="2" t="s">
        <v>4231</v>
      </c>
      <c r="B1616" s="2" t="s">
        <v>4232</v>
      </c>
      <c r="D1616" t="s">
        <v>5387</v>
      </c>
      <c r="E1616" t="e">
        <v>#VALUE!</v>
      </c>
      <c r="F1616" t="s">
        <v>218</v>
      </c>
      <c r="G1616" t="s">
        <v>0</v>
      </c>
      <c r="H1616" s="1">
        <f>DATE(2024,2,19)</f>
        <v>45341</v>
      </c>
    </row>
    <row r="1617" spans="1:8" x14ac:dyDescent="0.35">
      <c r="A1617" s="2" t="s">
        <v>4233</v>
      </c>
      <c r="B1617" s="2" t="s">
        <v>4234</v>
      </c>
      <c r="C1617" s="2" t="s">
        <v>2736</v>
      </c>
      <c r="D1617" t="s">
        <v>5503</v>
      </c>
      <c r="E1617" t="s">
        <v>6632</v>
      </c>
      <c r="F1617" t="s">
        <v>12</v>
      </c>
      <c r="G1617" t="s">
        <v>0</v>
      </c>
      <c r="H1617" s="1">
        <f>DATE(2024,2,23)</f>
        <v>45345</v>
      </c>
    </row>
    <row r="1618" spans="1:8" x14ac:dyDescent="0.35">
      <c r="A1618" s="2" t="s">
        <v>4235</v>
      </c>
      <c r="B1618" s="2" t="s">
        <v>4236</v>
      </c>
      <c r="D1618" t="s">
        <v>5387</v>
      </c>
      <c r="E1618" t="e">
        <v>#VALUE!</v>
      </c>
      <c r="F1618" t="s">
        <v>4186</v>
      </c>
      <c r="G1618" t="s">
        <v>0</v>
      </c>
      <c r="H1618" s="1">
        <f>DATE(2023,12,26)</f>
        <v>45286</v>
      </c>
    </row>
    <row r="1619" spans="1:8" x14ac:dyDescent="0.35">
      <c r="A1619" s="2" t="s">
        <v>4237</v>
      </c>
      <c r="B1619" s="2" t="s">
        <v>3806</v>
      </c>
      <c r="C1619" s="2" t="s">
        <v>3807</v>
      </c>
      <c r="D1619" t="s">
        <v>6221</v>
      </c>
      <c r="E1619" t="s">
        <v>7349</v>
      </c>
      <c r="F1619" t="s">
        <v>12</v>
      </c>
      <c r="G1619" t="s">
        <v>0</v>
      </c>
      <c r="H1619" s="1">
        <f>DATE(2023,4,15)</f>
        <v>45031</v>
      </c>
    </row>
    <row r="1620" spans="1:8" x14ac:dyDescent="0.35">
      <c r="A1620" s="2" t="s">
        <v>4238</v>
      </c>
      <c r="B1620" s="2" t="s">
        <v>4239</v>
      </c>
      <c r="C1620" s="2" t="s">
        <v>4240</v>
      </c>
      <c r="D1620" t="s">
        <v>6304</v>
      </c>
      <c r="E1620" t="s">
        <v>7414</v>
      </c>
      <c r="F1620" t="s">
        <v>12</v>
      </c>
      <c r="G1620" t="s">
        <v>0</v>
      </c>
      <c r="H1620" s="1">
        <f>DATE(2023,2,22)</f>
        <v>44979</v>
      </c>
    </row>
    <row r="1621" spans="1:8" x14ac:dyDescent="0.35">
      <c r="A1621" s="2" t="s">
        <v>4241</v>
      </c>
      <c r="B1621" s="2" t="s">
        <v>4242</v>
      </c>
      <c r="C1621" s="2" t="s">
        <v>4243</v>
      </c>
      <c r="D1621" t="s">
        <v>6305</v>
      </c>
      <c r="E1621" t="s">
        <v>7415</v>
      </c>
      <c r="F1621" t="s">
        <v>12</v>
      </c>
      <c r="G1621" t="s">
        <v>0</v>
      </c>
      <c r="H1621" s="1">
        <f>DATE(2023,6,12)</f>
        <v>45089</v>
      </c>
    </row>
    <row r="1622" spans="1:8" x14ac:dyDescent="0.35">
      <c r="A1622" s="2" t="s">
        <v>4244</v>
      </c>
      <c r="B1622" s="2" t="s">
        <v>4245</v>
      </c>
      <c r="C1622" s="2" t="s">
        <v>4246</v>
      </c>
      <c r="D1622" t="s">
        <v>6254</v>
      </c>
      <c r="E1622" t="e">
        <v>#VALUE!</v>
      </c>
      <c r="F1622" t="s">
        <v>12</v>
      </c>
      <c r="G1622" t="s">
        <v>0</v>
      </c>
      <c r="H1622" s="1">
        <f>DATE(2024,4,18)</f>
        <v>45400</v>
      </c>
    </row>
    <row r="1623" spans="1:8" x14ac:dyDescent="0.35">
      <c r="A1623" s="2" t="s">
        <v>4247</v>
      </c>
      <c r="B1623" s="2" t="s">
        <v>4248</v>
      </c>
      <c r="C1623" s="2" t="s">
        <v>4249</v>
      </c>
      <c r="D1623" t="s">
        <v>6246</v>
      </c>
      <c r="E1623" t="e">
        <v>#VALUE!</v>
      </c>
      <c r="F1623" t="s">
        <v>12</v>
      </c>
      <c r="G1623" t="s">
        <v>0</v>
      </c>
      <c r="H1623" s="1">
        <f>DATE(2024,4,18)</f>
        <v>45400</v>
      </c>
    </row>
    <row r="1624" spans="1:8" x14ac:dyDescent="0.35">
      <c r="A1624" s="2" t="s">
        <v>4250</v>
      </c>
      <c r="B1624" s="2" t="s">
        <v>4251</v>
      </c>
      <c r="C1624" s="2" t="s">
        <v>4252</v>
      </c>
      <c r="D1624" t="s">
        <v>6261</v>
      </c>
      <c r="E1624" t="e">
        <v>#VALUE!</v>
      </c>
      <c r="F1624" t="s">
        <v>12</v>
      </c>
      <c r="G1624" t="s">
        <v>0</v>
      </c>
      <c r="H1624" s="1">
        <f>DATE(2024,4,18)</f>
        <v>45400</v>
      </c>
    </row>
    <row r="1625" spans="1:8" x14ac:dyDescent="0.35">
      <c r="A1625" s="2" t="s">
        <v>4253</v>
      </c>
      <c r="B1625" s="2" t="s">
        <v>4254</v>
      </c>
      <c r="C1625" s="2" t="s">
        <v>4255</v>
      </c>
      <c r="D1625" t="s">
        <v>6245</v>
      </c>
      <c r="E1625" t="s">
        <v>7372</v>
      </c>
      <c r="F1625" t="s">
        <v>12</v>
      </c>
      <c r="G1625" t="s">
        <v>0</v>
      </c>
      <c r="H1625" s="1">
        <f>DATE(2023,11,23)</f>
        <v>45253</v>
      </c>
    </row>
    <row r="1626" spans="1:8" x14ac:dyDescent="0.35">
      <c r="A1626" s="2" t="s">
        <v>4256</v>
      </c>
      <c r="B1626" s="2" t="s">
        <v>4257</v>
      </c>
      <c r="C1626" s="2" t="s">
        <v>4258</v>
      </c>
      <c r="D1626" t="s">
        <v>6306</v>
      </c>
      <c r="E1626" t="s">
        <v>7416</v>
      </c>
      <c r="F1626" t="s">
        <v>12</v>
      </c>
      <c r="G1626" t="s">
        <v>0</v>
      </c>
      <c r="H1626" s="1">
        <f>DATE(2024,4,30)</f>
        <v>45412</v>
      </c>
    </row>
    <row r="1627" spans="1:8" x14ac:dyDescent="0.35">
      <c r="A1627" s="2" t="s">
        <v>4259</v>
      </c>
      <c r="B1627" s="2" t="s">
        <v>4260</v>
      </c>
      <c r="C1627" s="2" t="s">
        <v>4261</v>
      </c>
      <c r="D1627" t="s">
        <v>6307</v>
      </c>
      <c r="E1627" t="s">
        <v>7417</v>
      </c>
      <c r="F1627" t="s">
        <v>12</v>
      </c>
      <c r="G1627" t="s">
        <v>0</v>
      </c>
      <c r="H1627" s="1">
        <f>DATE(2023,12,8)</f>
        <v>45268</v>
      </c>
    </row>
    <row r="1628" spans="1:8" x14ac:dyDescent="0.35">
      <c r="A1628" s="2" t="s">
        <v>4262</v>
      </c>
      <c r="B1628" s="2" t="s">
        <v>4263</v>
      </c>
      <c r="C1628" s="2" t="s">
        <v>4264</v>
      </c>
      <c r="D1628" t="s">
        <v>6308</v>
      </c>
      <c r="E1628" t="s">
        <v>7418</v>
      </c>
      <c r="F1628" t="s">
        <v>12</v>
      </c>
      <c r="G1628" t="s">
        <v>0</v>
      </c>
      <c r="H1628" s="1">
        <f>DATE(2024,3,13)</f>
        <v>45364</v>
      </c>
    </row>
    <row r="1629" spans="1:8" x14ac:dyDescent="0.35">
      <c r="A1629" s="2" t="s">
        <v>4265</v>
      </c>
      <c r="B1629" s="2" t="s">
        <v>4266</v>
      </c>
      <c r="C1629" s="2" t="s">
        <v>4267</v>
      </c>
      <c r="D1629" t="s">
        <v>5917</v>
      </c>
      <c r="E1629" t="s">
        <v>7047</v>
      </c>
      <c r="F1629" t="s">
        <v>12</v>
      </c>
      <c r="G1629" t="s">
        <v>0</v>
      </c>
      <c r="H1629" s="1">
        <f>DATE(2023,7,11)</f>
        <v>45118</v>
      </c>
    </row>
    <row r="1630" spans="1:8" x14ac:dyDescent="0.35">
      <c r="A1630" s="2" t="s">
        <v>4268</v>
      </c>
      <c r="B1630" s="2" t="s">
        <v>4269</v>
      </c>
      <c r="C1630" s="2" t="s">
        <v>4270</v>
      </c>
      <c r="D1630" t="s">
        <v>6121</v>
      </c>
      <c r="E1630" t="s">
        <v>7251</v>
      </c>
      <c r="F1630" t="s">
        <v>12</v>
      </c>
      <c r="G1630" t="s">
        <v>0</v>
      </c>
      <c r="H1630" s="1">
        <f>DATE(2024,3,6)</f>
        <v>45357</v>
      </c>
    </row>
    <row r="1631" spans="1:8" x14ac:dyDescent="0.35">
      <c r="A1631" s="2" t="s">
        <v>4271</v>
      </c>
      <c r="B1631" s="2" t="s">
        <v>4272</v>
      </c>
      <c r="C1631" s="2" t="s">
        <v>4273</v>
      </c>
      <c r="D1631" t="s">
        <v>6309</v>
      </c>
      <c r="E1631" t="s">
        <v>7419</v>
      </c>
      <c r="F1631" t="s">
        <v>12</v>
      </c>
      <c r="G1631" t="s">
        <v>0</v>
      </c>
      <c r="H1631" s="1">
        <f>DATE(2024,1,5)</f>
        <v>45296</v>
      </c>
    </row>
    <row r="1632" spans="1:8" x14ac:dyDescent="0.35">
      <c r="A1632" s="2" t="s">
        <v>4274</v>
      </c>
      <c r="B1632" s="2" t="s">
        <v>4275</v>
      </c>
      <c r="C1632" s="2" t="s">
        <v>4276</v>
      </c>
      <c r="D1632" t="s">
        <v>6160</v>
      </c>
      <c r="E1632" t="s">
        <v>7290</v>
      </c>
      <c r="F1632" t="s">
        <v>12</v>
      </c>
      <c r="G1632" t="s">
        <v>0</v>
      </c>
      <c r="H1632" s="1">
        <f>DATE(2022,9,12)</f>
        <v>44816</v>
      </c>
    </row>
    <row r="1633" spans="1:8" x14ac:dyDescent="0.35">
      <c r="A1633" s="2" t="s">
        <v>4277</v>
      </c>
      <c r="B1633" s="2" t="s">
        <v>4278</v>
      </c>
      <c r="C1633" s="2" t="s">
        <v>4279</v>
      </c>
      <c r="D1633" t="s">
        <v>6160</v>
      </c>
      <c r="E1633" t="s">
        <v>7290</v>
      </c>
      <c r="F1633" t="s">
        <v>12</v>
      </c>
      <c r="G1633" t="s">
        <v>0</v>
      </c>
      <c r="H1633" s="1">
        <f>DATE(2022,9,12)</f>
        <v>44816</v>
      </c>
    </row>
    <row r="1634" spans="1:8" x14ac:dyDescent="0.35">
      <c r="A1634" s="2" t="s">
        <v>4280</v>
      </c>
      <c r="B1634" s="2" t="s">
        <v>4281</v>
      </c>
      <c r="D1634" t="s">
        <v>5387</v>
      </c>
      <c r="E1634" t="e">
        <v>#VALUE!</v>
      </c>
      <c r="F1634" t="s">
        <v>12</v>
      </c>
      <c r="G1634" t="s">
        <v>0</v>
      </c>
      <c r="H1634" s="1">
        <f>DATE(2021,11,24)</f>
        <v>44524</v>
      </c>
    </row>
    <row r="1635" spans="1:8" x14ac:dyDescent="0.35">
      <c r="A1635" s="2" t="s">
        <v>4282</v>
      </c>
      <c r="B1635" s="2" t="s">
        <v>3934</v>
      </c>
      <c r="C1635" s="2" t="s">
        <v>3935</v>
      </c>
      <c r="D1635" t="s">
        <v>5503</v>
      </c>
      <c r="E1635" t="s">
        <v>6632</v>
      </c>
      <c r="F1635" t="s">
        <v>12</v>
      </c>
      <c r="G1635" t="s">
        <v>0</v>
      </c>
      <c r="H1635" s="1">
        <f>DATE(2021,11,24)</f>
        <v>44524</v>
      </c>
    </row>
    <row r="1636" spans="1:8" x14ac:dyDescent="0.35">
      <c r="A1636" s="2" t="s">
        <v>4283</v>
      </c>
      <c r="B1636" s="2" t="s">
        <v>4284</v>
      </c>
      <c r="D1636" t="s">
        <v>5387</v>
      </c>
      <c r="E1636" t="e">
        <v>#VALUE!</v>
      </c>
      <c r="F1636" t="s">
        <v>12</v>
      </c>
      <c r="G1636" t="s">
        <v>0</v>
      </c>
      <c r="H1636" s="1">
        <f>DATE(2021,11,24)</f>
        <v>44524</v>
      </c>
    </row>
    <row r="1637" spans="1:8" x14ac:dyDescent="0.35">
      <c r="A1637" s="2" t="s">
        <v>4285</v>
      </c>
      <c r="B1637" s="2" t="s">
        <v>4286</v>
      </c>
      <c r="C1637" s="2" t="s">
        <v>4287</v>
      </c>
      <c r="D1637" t="s">
        <v>6160</v>
      </c>
      <c r="E1637" t="s">
        <v>7290</v>
      </c>
      <c r="F1637" t="s">
        <v>12</v>
      </c>
      <c r="G1637" t="s">
        <v>0</v>
      </c>
      <c r="H1637" s="1">
        <f>DATE(2022,9,12)</f>
        <v>44816</v>
      </c>
    </row>
    <row r="1638" spans="1:8" x14ac:dyDescent="0.35">
      <c r="A1638" s="2" t="s">
        <v>4288</v>
      </c>
      <c r="B1638" s="2" t="s">
        <v>4289</v>
      </c>
      <c r="C1638" s="2" t="s">
        <v>4290</v>
      </c>
      <c r="D1638" t="s">
        <v>6160</v>
      </c>
      <c r="E1638" t="s">
        <v>7290</v>
      </c>
      <c r="F1638" t="s">
        <v>12</v>
      </c>
      <c r="G1638" t="s">
        <v>0</v>
      </c>
      <c r="H1638" s="1">
        <f>DATE(2023,10,6)</f>
        <v>45205</v>
      </c>
    </row>
    <row r="1639" spans="1:8" x14ac:dyDescent="0.35">
      <c r="A1639" s="2" t="s">
        <v>4291</v>
      </c>
      <c r="B1639" s="2" t="s">
        <v>4292</v>
      </c>
      <c r="C1639" s="2" t="s">
        <v>4293</v>
      </c>
      <c r="D1639" t="s">
        <v>6160</v>
      </c>
      <c r="E1639" t="s">
        <v>7290</v>
      </c>
      <c r="F1639" t="s">
        <v>12</v>
      </c>
      <c r="G1639" t="s">
        <v>0</v>
      </c>
      <c r="H1639" s="1">
        <f>DATE(2022,9,12)</f>
        <v>44816</v>
      </c>
    </row>
    <row r="1640" spans="1:8" x14ac:dyDescent="0.35">
      <c r="A1640" s="2" t="s">
        <v>4294</v>
      </c>
      <c r="B1640" s="2" t="s">
        <v>4292</v>
      </c>
      <c r="C1640" s="2" t="s">
        <v>4293</v>
      </c>
      <c r="D1640" t="s">
        <v>6160</v>
      </c>
      <c r="E1640" t="s">
        <v>7290</v>
      </c>
      <c r="F1640" t="s">
        <v>12</v>
      </c>
      <c r="G1640" t="s">
        <v>0</v>
      </c>
      <c r="H1640" s="1">
        <f>DATE(2022,9,12)</f>
        <v>44816</v>
      </c>
    </row>
    <row r="1641" spans="1:8" x14ac:dyDescent="0.35">
      <c r="A1641" s="2" t="s">
        <v>4295</v>
      </c>
      <c r="B1641" s="2" t="s">
        <v>4296</v>
      </c>
      <c r="C1641" s="2" t="s">
        <v>4297</v>
      </c>
      <c r="D1641" t="s">
        <v>6160</v>
      </c>
      <c r="E1641" t="s">
        <v>7290</v>
      </c>
      <c r="F1641" t="s">
        <v>12</v>
      </c>
      <c r="G1641" t="s">
        <v>0</v>
      </c>
      <c r="H1641" s="1">
        <f>DATE(2023,11,28)</f>
        <v>45258</v>
      </c>
    </row>
    <row r="1642" spans="1:8" x14ac:dyDescent="0.35">
      <c r="A1642" s="2" t="s">
        <v>4298</v>
      </c>
      <c r="B1642" s="2" t="s">
        <v>4299</v>
      </c>
      <c r="C1642" s="2" t="s">
        <v>4300</v>
      </c>
      <c r="D1642" t="s">
        <v>6310</v>
      </c>
      <c r="E1642" t="s">
        <v>7420</v>
      </c>
      <c r="F1642" t="s">
        <v>12</v>
      </c>
      <c r="G1642" t="s">
        <v>0</v>
      </c>
      <c r="H1642" s="1">
        <f>DATE(2021,11,24)</f>
        <v>44524</v>
      </c>
    </row>
    <row r="1643" spans="1:8" x14ac:dyDescent="0.35">
      <c r="A1643" s="2" t="s">
        <v>4301</v>
      </c>
      <c r="B1643" s="2" t="s">
        <v>4302</v>
      </c>
      <c r="C1643" s="2" t="s">
        <v>4303</v>
      </c>
      <c r="D1643" t="s">
        <v>6311</v>
      </c>
      <c r="E1643" t="s">
        <v>7421</v>
      </c>
      <c r="F1643" t="s">
        <v>12</v>
      </c>
      <c r="G1643" t="s">
        <v>0</v>
      </c>
      <c r="H1643" s="1">
        <f>DATE(2022,9,12)</f>
        <v>44816</v>
      </c>
    </row>
    <row r="1644" spans="1:8" x14ac:dyDescent="0.35">
      <c r="A1644" s="2" t="s">
        <v>4304</v>
      </c>
      <c r="B1644" s="2" t="s">
        <v>4305</v>
      </c>
      <c r="C1644" s="2" t="s">
        <v>4306</v>
      </c>
      <c r="D1644" t="s">
        <v>6312</v>
      </c>
      <c r="E1644" t="s">
        <v>7422</v>
      </c>
      <c r="F1644" t="s">
        <v>12</v>
      </c>
      <c r="G1644" t="s">
        <v>0</v>
      </c>
      <c r="H1644" s="1">
        <f>DATE(2021,11,24)</f>
        <v>44524</v>
      </c>
    </row>
    <row r="1645" spans="1:8" x14ac:dyDescent="0.35">
      <c r="A1645" s="2" t="s">
        <v>4307</v>
      </c>
      <c r="B1645" s="2" t="s">
        <v>4308</v>
      </c>
      <c r="D1645" t="s">
        <v>5387</v>
      </c>
      <c r="E1645" t="e">
        <v>#VALUE!</v>
      </c>
      <c r="F1645" t="s">
        <v>12</v>
      </c>
      <c r="G1645" t="s">
        <v>0</v>
      </c>
      <c r="H1645" s="1">
        <f>DATE(2023,12,1)</f>
        <v>45261</v>
      </c>
    </row>
    <row r="1646" spans="1:8" x14ac:dyDescent="0.35">
      <c r="A1646" s="2" t="s">
        <v>4309</v>
      </c>
      <c r="B1646" s="2" t="s">
        <v>4310</v>
      </c>
      <c r="D1646" t="s">
        <v>5387</v>
      </c>
      <c r="E1646" t="e">
        <v>#VALUE!</v>
      </c>
      <c r="F1646" t="s">
        <v>12</v>
      </c>
      <c r="G1646" t="s">
        <v>0</v>
      </c>
      <c r="H1646" s="1">
        <f>DATE(2023,3,17)</f>
        <v>45002</v>
      </c>
    </row>
    <row r="1647" spans="1:8" x14ac:dyDescent="0.35">
      <c r="A1647" s="2" t="s">
        <v>4311</v>
      </c>
      <c r="B1647" s="2" t="s">
        <v>4312</v>
      </c>
      <c r="D1647" t="s">
        <v>5387</v>
      </c>
      <c r="E1647" t="e">
        <v>#VALUE!</v>
      </c>
      <c r="F1647" t="s">
        <v>12</v>
      </c>
      <c r="G1647" t="s">
        <v>0</v>
      </c>
      <c r="H1647" s="1">
        <f>DATE(2021,11,24)</f>
        <v>44524</v>
      </c>
    </row>
    <row r="1648" spans="1:8" x14ac:dyDescent="0.35">
      <c r="A1648" s="2" t="s">
        <v>4313</v>
      </c>
      <c r="B1648" s="2" t="s">
        <v>4314</v>
      </c>
      <c r="D1648" t="s">
        <v>5387</v>
      </c>
      <c r="E1648" t="e">
        <v>#VALUE!</v>
      </c>
      <c r="F1648" t="s">
        <v>12</v>
      </c>
      <c r="G1648" t="s">
        <v>0</v>
      </c>
      <c r="H1648" s="1">
        <f>DATE(2021,11,24)</f>
        <v>44524</v>
      </c>
    </row>
    <row r="1649" spans="1:8" x14ac:dyDescent="0.35">
      <c r="A1649" s="2" t="s">
        <v>4315</v>
      </c>
      <c r="B1649" s="2" t="s">
        <v>4316</v>
      </c>
      <c r="D1649" t="s">
        <v>5387</v>
      </c>
      <c r="E1649" t="e">
        <v>#VALUE!</v>
      </c>
      <c r="F1649" t="s">
        <v>12</v>
      </c>
      <c r="G1649" t="s">
        <v>0</v>
      </c>
      <c r="H1649" s="1">
        <f>DATE(2021,11,24)</f>
        <v>44524</v>
      </c>
    </row>
    <row r="1650" spans="1:8" x14ac:dyDescent="0.35">
      <c r="A1650" s="2" t="s">
        <v>4317</v>
      </c>
      <c r="B1650" s="2" t="s">
        <v>4318</v>
      </c>
      <c r="C1650" s="2" t="s">
        <v>4319</v>
      </c>
      <c r="D1650" t="s">
        <v>6313</v>
      </c>
      <c r="E1650" t="s">
        <v>7423</v>
      </c>
      <c r="F1650" t="s">
        <v>12</v>
      </c>
      <c r="G1650" t="s">
        <v>0</v>
      </c>
      <c r="H1650" s="1">
        <f>DATE(2022,9,12)</f>
        <v>44816</v>
      </c>
    </row>
    <row r="1651" spans="1:8" x14ac:dyDescent="0.35">
      <c r="A1651" s="2" t="s">
        <v>4320</v>
      </c>
      <c r="B1651" s="2" t="s">
        <v>4321</v>
      </c>
      <c r="D1651" t="s">
        <v>5387</v>
      </c>
      <c r="E1651" t="e">
        <v>#VALUE!</v>
      </c>
      <c r="F1651" t="s">
        <v>12</v>
      </c>
      <c r="G1651" t="s">
        <v>0</v>
      </c>
      <c r="H1651" s="1">
        <f>DATE(2021,11,24)</f>
        <v>44524</v>
      </c>
    </row>
    <row r="1652" spans="1:8" x14ac:dyDescent="0.35">
      <c r="A1652" s="2" t="s">
        <v>4322</v>
      </c>
      <c r="B1652" s="2" t="s">
        <v>4323</v>
      </c>
      <c r="D1652" t="s">
        <v>5387</v>
      </c>
      <c r="E1652" t="e">
        <v>#VALUE!</v>
      </c>
      <c r="F1652" t="s">
        <v>12</v>
      </c>
      <c r="G1652" t="s">
        <v>0</v>
      </c>
      <c r="H1652" s="1">
        <f>DATE(2021,11,24)</f>
        <v>44524</v>
      </c>
    </row>
    <row r="1653" spans="1:8" x14ac:dyDescent="0.35">
      <c r="A1653" s="2" t="s">
        <v>4324</v>
      </c>
      <c r="B1653" s="2" t="s">
        <v>4325</v>
      </c>
      <c r="D1653" t="s">
        <v>5387</v>
      </c>
      <c r="E1653" t="e">
        <v>#VALUE!</v>
      </c>
      <c r="F1653" t="s">
        <v>12</v>
      </c>
      <c r="G1653" t="s">
        <v>0</v>
      </c>
      <c r="H1653" s="1">
        <f>DATE(2021,11,24)</f>
        <v>44524</v>
      </c>
    </row>
    <row r="1654" spans="1:8" x14ac:dyDescent="0.35">
      <c r="A1654" s="2" t="s">
        <v>4326</v>
      </c>
      <c r="B1654" s="2" t="s">
        <v>4327</v>
      </c>
      <c r="D1654" t="s">
        <v>5387</v>
      </c>
      <c r="E1654" t="e">
        <v>#VALUE!</v>
      </c>
      <c r="F1654" t="s">
        <v>12</v>
      </c>
      <c r="G1654" t="s">
        <v>0</v>
      </c>
      <c r="H1654" s="1">
        <f>DATE(2021,11,24)</f>
        <v>44524</v>
      </c>
    </row>
    <row r="1655" spans="1:8" x14ac:dyDescent="0.35">
      <c r="A1655" s="2" t="s">
        <v>4328</v>
      </c>
      <c r="B1655" s="2" t="s">
        <v>4329</v>
      </c>
      <c r="D1655" t="s">
        <v>5387</v>
      </c>
      <c r="E1655" t="e">
        <v>#VALUE!</v>
      </c>
      <c r="F1655" t="s">
        <v>12</v>
      </c>
      <c r="G1655" t="s">
        <v>0</v>
      </c>
      <c r="H1655" s="1">
        <f>DATE(2021,11,24)</f>
        <v>44524</v>
      </c>
    </row>
    <row r="1656" spans="1:8" x14ac:dyDescent="0.35">
      <c r="A1656" s="2" t="s">
        <v>4330</v>
      </c>
      <c r="B1656" s="2" t="s">
        <v>4331</v>
      </c>
      <c r="C1656" s="2" t="s">
        <v>4332</v>
      </c>
      <c r="D1656" t="s">
        <v>6314</v>
      </c>
      <c r="E1656" t="s">
        <v>7424</v>
      </c>
      <c r="F1656" t="s">
        <v>12</v>
      </c>
      <c r="G1656" t="s">
        <v>0</v>
      </c>
      <c r="H1656" s="1">
        <f>DATE(2022,9,12)</f>
        <v>44816</v>
      </c>
    </row>
    <row r="1657" spans="1:8" x14ac:dyDescent="0.35">
      <c r="A1657" s="2" t="s">
        <v>4333</v>
      </c>
      <c r="B1657" s="2" t="s">
        <v>4334</v>
      </c>
      <c r="C1657" s="2" t="s">
        <v>4335</v>
      </c>
      <c r="D1657" t="s">
        <v>6315</v>
      </c>
      <c r="E1657" t="s">
        <v>7425</v>
      </c>
      <c r="F1657" t="s">
        <v>12</v>
      </c>
      <c r="G1657" t="s">
        <v>0</v>
      </c>
      <c r="H1657" s="1">
        <f>DATE(2022,9,12)</f>
        <v>44816</v>
      </c>
    </row>
    <row r="1658" spans="1:8" x14ac:dyDescent="0.35">
      <c r="A1658" s="2" t="s">
        <v>4336</v>
      </c>
      <c r="B1658" s="2" t="s">
        <v>4337</v>
      </c>
      <c r="D1658" t="s">
        <v>5387</v>
      </c>
      <c r="E1658" t="e">
        <v>#VALUE!</v>
      </c>
      <c r="F1658" t="s">
        <v>12</v>
      </c>
      <c r="G1658" t="s">
        <v>0</v>
      </c>
      <c r="H1658" s="1">
        <f>DATE(2021,11,24)</f>
        <v>44524</v>
      </c>
    </row>
    <row r="1659" spans="1:8" x14ac:dyDescent="0.35">
      <c r="A1659" s="2" t="s">
        <v>4338</v>
      </c>
      <c r="B1659" s="2" t="s">
        <v>4339</v>
      </c>
      <c r="C1659" s="2" t="s">
        <v>4340</v>
      </c>
      <c r="D1659" t="s">
        <v>6316</v>
      </c>
      <c r="E1659" t="s">
        <v>7426</v>
      </c>
      <c r="F1659" t="s">
        <v>12</v>
      </c>
      <c r="G1659" t="s">
        <v>0</v>
      </c>
      <c r="H1659" s="1">
        <f>DATE(2022,9,12)</f>
        <v>44816</v>
      </c>
    </row>
    <row r="1660" spans="1:8" x14ac:dyDescent="0.35">
      <c r="A1660" s="2" t="s">
        <v>4341</v>
      </c>
      <c r="B1660" s="2" t="s">
        <v>4342</v>
      </c>
      <c r="C1660" s="2" t="s">
        <v>4343</v>
      </c>
      <c r="D1660" t="s">
        <v>6317</v>
      </c>
      <c r="E1660" t="s">
        <v>7427</v>
      </c>
      <c r="F1660" t="s">
        <v>12</v>
      </c>
      <c r="G1660" t="s">
        <v>0</v>
      </c>
      <c r="H1660" s="1">
        <f>DATE(2022,9,12)</f>
        <v>44816</v>
      </c>
    </row>
    <row r="1661" spans="1:8" x14ac:dyDescent="0.35">
      <c r="A1661" s="2" t="s">
        <v>4344</v>
      </c>
      <c r="B1661" s="2" t="s">
        <v>4345</v>
      </c>
      <c r="D1661" t="s">
        <v>5387</v>
      </c>
      <c r="E1661" t="e">
        <v>#VALUE!</v>
      </c>
      <c r="F1661" t="s">
        <v>12</v>
      </c>
      <c r="G1661" t="s">
        <v>0</v>
      </c>
      <c r="H1661" s="1">
        <f>DATE(2021,11,24)</f>
        <v>44524</v>
      </c>
    </row>
    <row r="1662" spans="1:8" x14ac:dyDescent="0.35">
      <c r="A1662" s="2" t="s">
        <v>4346</v>
      </c>
      <c r="B1662" s="2" t="s">
        <v>4347</v>
      </c>
      <c r="D1662" t="s">
        <v>5387</v>
      </c>
      <c r="E1662" t="e">
        <v>#VALUE!</v>
      </c>
      <c r="F1662" t="s">
        <v>12</v>
      </c>
      <c r="G1662" t="s">
        <v>0</v>
      </c>
      <c r="H1662" s="1">
        <f>DATE(2021,11,24)</f>
        <v>44524</v>
      </c>
    </row>
    <row r="1663" spans="1:8" x14ac:dyDescent="0.35">
      <c r="A1663" s="2" t="s">
        <v>4348</v>
      </c>
      <c r="B1663" s="2" t="s">
        <v>4349</v>
      </c>
      <c r="D1663" t="s">
        <v>5387</v>
      </c>
      <c r="E1663" t="e">
        <v>#VALUE!</v>
      </c>
      <c r="F1663" t="s">
        <v>12</v>
      </c>
      <c r="G1663" t="s">
        <v>0</v>
      </c>
      <c r="H1663" s="1">
        <f>DATE(2022,9,12)</f>
        <v>44816</v>
      </c>
    </row>
    <row r="1664" spans="1:8" x14ac:dyDescent="0.35">
      <c r="A1664" s="2" t="s">
        <v>4350</v>
      </c>
      <c r="B1664" s="2" t="s">
        <v>4351</v>
      </c>
      <c r="D1664" t="s">
        <v>5387</v>
      </c>
      <c r="E1664" t="e">
        <v>#VALUE!</v>
      </c>
      <c r="F1664" t="s">
        <v>12</v>
      </c>
      <c r="G1664" t="s">
        <v>0</v>
      </c>
      <c r="H1664" s="1">
        <f>DATE(2021,11,24)</f>
        <v>44524</v>
      </c>
    </row>
    <row r="1665" spans="1:8" x14ac:dyDescent="0.35">
      <c r="A1665" s="2" t="s">
        <v>4352</v>
      </c>
      <c r="B1665" s="2" t="s">
        <v>4353</v>
      </c>
      <c r="D1665" t="s">
        <v>5387</v>
      </c>
      <c r="E1665" t="e">
        <v>#VALUE!</v>
      </c>
      <c r="F1665" t="s">
        <v>12</v>
      </c>
      <c r="G1665" t="s">
        <v>0</v>
      </c>
      <c r="H1665" s="1">
        <f>DATE(2022,10,24)</f>
        <v>44858</v>
      </c>
    </row>
    <row r="1666" spans="1:8" x14ac:dyDescent="0.35">
      <c r="A1666" s="2" t="s">
        <v>4354</v>
      </c>
      <c r="B1666" s="2" t="s">
        <v>4355</v>
      </c>
      <c r="C1666" s="2" t="s">
        <v>3744</v>
      </c>
      <c r="D1666" t="s">
        <v>6213</v>
      </c>
      <c r="E1666" t="e">
        <v>#VALUE!</v>
      </c>
      <c r="F1666" t="s">
        <v>12</v>
      </c>
      <c r="G1666" t="s">
        <v>0</v>
      </c>
      <c r="H1666" s="1">
        <f>DATE(2021,11,24)</f>
        <v>44524</v>
      </c>
    </row>
    <row r="1667" spans="1:8" x14ac:dyDescent="0.35">
      <c r="A1667" s="2" t="s">
        <v>4356</v>
      </c>
      <c r="B1667" s="2" t="s">
        <v>4357</v>
      </c>
      <c r="D1667" t="s">
        <v>5387</v>
      </c>
      <c r="E1667" t="e">
        <v>#VALUE!</v>
      </c>
      <c r="F1667" t="s">
        <v>12</v>
      </c>
      <c r="G1667" t="s">
        <v>0</v>
      </c>
      <c r="H1667" s="1">
        <f>DATE(2021,11,24)</f>
        <v>44524</v>
      </c>
    </row>
    <row r="1668" spans="1:8" x14ac:dyDescent="0.35">
      <c r="A1668" s="2" t="s">
        <v>4358</v>
      </c>
      <c r="B1668" s="2" t="s">
        <v>4359</v>
      </c>
      <c r="C1668" s="2" t="s">
        <v>4360</v>
      </c>
      <c r="D1668" t="s">
        <v>6318</v>
      </c>
      <c r="E1668" t="s">
        <v>7428</v>
      </c>
      <c r="F1668" t="s">
        <v>12</v>
      </c>
      <c r="G1668" t="s">
        <v>0</v>
      </c>
      <c r="H1668" s="1">
        <f>DATE(2022,10,18)</f>
        <v>44852</v>
      </c>
    </row>
    <row r="1669" spans="1:8" x14ac:dyDescent="0.35">
      <c r="A1669" s="2" t="s">
        <v>4361</v>
      </c>
      <c r="B1669" s="2" t="s">
        <v>4362</v>
      </c>
      <c r="D1669" t="s">
        <v>5387</v>
      </c>
      <c r="E1669" t="e">
        <v>#VALUE!</v>
      </c>
      <c r="F1669" t="s">
        <v>12</v>
      </c>
      <c r="G1669" t="s">
        <v>0</v>
      </c>
      <c r="H1669" s="1">
        <f t="shared" ref="H1669:H1676" si="19">DATE(2021,11,24)</f>
        <v>44524</v>
      </c>
    </row>
    <row r="1670" spans="1:8" x14ac:dyDescent="0.35">
      <c r="A1670" s="2" t="s">
        <v>4363</v>
      </c>
      <c r="B1670" s="2" t="s">
        <v>4364</v>
      </c>
      <c r="D1670" t="s">
        <v>5387</v>
      </c>
      <c r="E1670" t="e">
        <v>#VALUE!</v>
      </c>
      <c r="F1670" t="s">
        <v>12</v>
      </c>
      <c r="G1670" t="s">
        <v>0</v>
      </c>
      <c r="H1670" s="1">
        <f t="shared" si="19"/>
        <v>44524</v>
      </c>
    </row>
    <row r="1671" spans="1:8" x14ac:dyDescent="0.35">
      <c r="A1671" s="2" t="s">
        <v>4365</v>
      </c>
      <c r="B1671" s="2" t="s">
        <v>4366</v>
      </c>
      <c r="C1671" s="2" t="s">
        <v>2736</v>
      </c>
      <c r="D1671" t="s">
        <v>5503</v>
      </c>
      <c r="E1671" t="s">
        <v>6632</v>
      </c>
      <c r="F1671" t="s">
        <v>12</v>
      </c>
      <c r="G1671" t="s">
        <v>0</v>
      </c>
      <c r="H1671" s="1">
        <f t="shared" si="19"/>
        <v>44524</v>
      </c>
    </row>
    <row r="1672" spans="1:8" x14ac:dyDescent="0.35">
      <c r="A1672" s="2" t="s">
        <v>4367</v>
      </c>
      <c r="B1672" s="2" t="s">
        <v>4368</v>
      </c>
      <c r="D1672" t="s">
        <v>5387</v>
      </c>
      <c r="E1672" t="e">
        <v>#VALUE!</v>
      </c>
      <c r="F1672" t="s">
        <v>12</v>
      </c>
      <c r="G1672" t="s">
        <v>0</v>
      </c>
      <c r="H1672" s="1">
        <f t="shared" si="19"/>
        <v>44524</v>
      </c>
    </row>
    <row r="1673" spans="1:8" x14ac:dyDescent="0.35">
      <c r="A1673" s="2" t="s">
        <v>4369</v>
      </c>
      <c r="B1673" s="2" t="s">
        <v>4370</v>
      </c>
      <c r="D1673" t="s">
        <v>5387</v>
      </c>
      <c r="E1673" t="e">
        <v>#VALUE!</v>
      </c>
      <c r="F1673" t="s">
        <v>12</v>
      </c>
      <c r="G1673" t="s">
        <v>0</v>
      </c>
      <c r="H1673" s="1">
        <f t="shared" si="19"/>
        <v>44524</v>
      </c>
    </row>
    <row r="1674" spans="1:8" x14ac:dyDescent="0.35">
      <c r="A1674" s="2" t="s">
        <v>4371</v>
      </c>
      <c r="B1674" s="2" t="s">
        <v>4372</v>
      </c>
      <c r="D1674" t="s">
        <v>5387</v>
      </c>
      <c r="E1674" t="e">
        <v>#VALUE!</v>
      </c>
      <c r="F1674" t="s">
        <v>12</v>
      </c>
      <c r="G1674" t="s">
        <v>0</v>
      </c>
      <c r="H1674" s="1">
        <f t="shared" si="19"/>
        <v>44524</v>
      </c>
    </row>
    <row r="1675" spans="1:8" x14ac:dyDescent="0.35">
      <c r="A1675" s="2" t="s">
        <v>4373</v>
      </c>
      <c r="B1675" s="2" t="s">
        <v>4374</v>
      </c>
      <c r="D1675" t="s">
        <v>5387</v>
      </c>
      <c r="E1675" t="e">
        <v>#VALUE!</v>
      </c>
      <c r="F1675" t="s">
        <v>12</v>
      </c>
      <c r="G1675" t="s">
        <v>0</v>
      </c>
      <c r="H1675" s="1">
        <f t="shared" si="19"/>
        <v>44524</v>
      </c>
    </row>
    <row r="1676" spans="1:8" x14ac:dyDescent="0.35">
      <c r="A1676" s="2" t="s">
        <v>4375</v>
      </c>
      <c r="B1676" s="2" t="s">
        <v>4376</v>
      </c>
      <c r="D1676" t="s">
        <v>5387</v>
      </c>
      <c r="E1676" t="e">
        <v>#VALUE!</v>
      </c>
      <c r="F1676" t="s">
        <v>12</v>
      </c>
      <c r="G1676" t="s">
        <v>0</v>
      </c>
      <c r="H1676" s="1">
        <f t="shared" si="19"/>
        <v>44524</v>
      </c>
    </row>
    <row r="1677" spans="1:8" x14ac:dyDescent="0.35">
      <c r="A1677" s="2" t="s">
        <v>4377</v>
      </c>
      <c r="B1677" s="2" t="s">
        <v>4275</v>
      </c>
      <c r="C1677" s="2" t="s">
        <v>4378</v>
      </c>
      <c r="D1677" t="s">
        <v>6319</v>
      </c>
      <c r="E1677" t="s">
        <v>7429</v>
      </c>
      <c r="F1677" t="s">
        <v>12</v>
      </c>
      <c r="G1677" t="s">
        <v>0</v>
      </c>
      <c r="H1677" s="1">
        <f>DATE(2022,9,12)</f>
        <v>44816</v>
      </c>
    </row>
    <row r="1678" spans="1:8" x14ac:dyDescent="0.35">
      <c r="A1678" s="2" t="s">
        <v>4379</v>
      </c>
      <c r="B1678" s="2" t="s">
        <v>4380</v>
      </c>
      <c r="D1678" t="s">
        <v>5387</v>
      </c>
      <c r="E1678" t="e">
        <v>#VALUE!</v>
      </c>
      <c r="F1678" t="s">
        <v>12</v>
      </c>
      <c r="G1678" t="s">
        <v>0</v>
      </c>
      <c r="H1678" s="1">
        <f>DATE(2021,6,22)</f>
        <v>44369</v>
      </c>
    </row>
    <row r="1679" spans="1:8" x14ac:dyDescent="0.35">
      <c r="A1679" s="2" t="s">
        <v>4381</v>
      </c>
      <c r="B1679" s="2" t="s">
        <v>4382</v>
      </c>
      <c r="D1679" t="s">
        <v>5387</v>
      </c>
      <c r="E1679" t="e">
        <v>#VALUE!</v>
      </c>
      <c r="F1679" t="s">
        <v>12</v>
      </c>
      <c r="G1679" t="s">
        <v>0</v>
      </c>
      <c r="H1679" s="1">
        <f>DATE(2021,6,23)</f>
        <v>44370</v>
      </c>
    </row>
    <row r="1680" spans="1:8" x14ac:dyDescent="0.35">
      <c r="A1680" s="2" t="s">
        <v>4383</v>
      </c>
      <c r="B1680" s="2" t="s">
        <v>4384</v>
      </c>
      <c r="D1680" t="s">
        <v>5387</v>
      </c>
      <c r="E1680" t="e">
        <v>#VALUE!</v>
      </c>
      <c r="F1680" t="s">
        <v>12</v>
      </c>
      <c r="G1680" t="s">
        <v>0</v>
      </c>
      <c r="H1680" s="1">
        <f>DATE(2023,2,27)</f>
        <v>44984</v>
      </c>
    </row>
    <row r="1681" spans="1:8" x14ac:dyDescent="0.35">
      <c r="A1681" s="2" t="s">
        <v>4385</v>
      </c>
      <c r="B1681" s="2" t="s">
        <v>4386</v>
      </c>
      <c r="D1681" t="s">
        <v>5387</v>
      </c>
      <c r="E1681" t="e">
        <v>#VALUE!</v>
      </c>
      <c r="F1681" t="s">
        <v>12</v>
      </c>
      <c r="G1681" t="s">
        <v>0</v>
      </c>
      <c r="H1681" s="1">
        <f t="shared" ref="H1681:H1687" si="20">DATE(2021,11,24)</f>
        <v>44524</v>
      </c>
    </row>
    <row r="1682" spans="1:8" x14ac:dyDescent="0.35">
      <c r="A1682" s="2" t="s">
        <v>4387</v>
      </c>
      <c r="B1682" s="2" t="s">
        <v>4388</v>
      </c>
      <c r="C1682" s="2" t="s">
        <v>4389</v>
      </c>
      <c r="D1682" t="s">
        <v>6320</v>
      </c>
      <c r="E1682" t="s">
        <v>7430</v>
      </c>
      <c r="F1682" t="s">
        <v>12</v>
      </c>
      <c r="G1682" t="s">
        <v>0</v>
      </c>
      <c r="H1682" s="1">
        <f t="shared" si="20"/>
        <v>44524</v>
      </c>
    </row>
    <row r="1683" spans="1:8" x14ac:dyDescent="0.35">
      <c r="A1683" s="2" t="s">
        <v>4390</v>
      </c>
      <c r="B1683" s="2" t="s">
        <v>4388</v>
      </c>
      <c r="C1683" s="2" t="s">
        <v>4391</v>
      </c>
      <c r="D1683" t="s">
        <v>6321</v>
      </c>
      <c r="E1683" t="s">
        <v>7431</v>
      </c>
      <c r="F1683" t="s">
        <v>12</v>
      </c>
      <c r="G1683" t="s">
        <v>0</v>
      </c>
      <c r="H1683" s="1">
        <f t="shared" si="20"/>
        <v>44524</v>
      </c>
    </row>
    <row r="1684" spans="1:8" x14ac:dyDescent="0.35">
      <c r="A1684" s="2" t="s">
        <v>4392</v>
      </c>
      <c r="B1684" s="2" t="s">
        <v>4393</v>
      </c>
      <c r="D1684" t="s">
        <v>5387</v>
      </c>
      <c r="E1684" t="e">
        <v>#VALUE!</v>
      </c>
      <c r="F1684" t="s">
        <v>12</v>
      </c>
      <c r="G1684" t="s">
        <v>0</v>
      </c>
      <c r="H1684" s="1">
        <f t="shared" si="20"/>
        <v>44524</v>
      </c>
    </row>
    <row r="1685" spans="1:8" x14ac:dyDescent="0.35">
      <c r="A1685" s="2" t="s">
        <v>4394</v>
      </c>
      <c r="B1685" s="2" t="s">
        <v>4395</v>
      </c>
      <c r="C1685" s="2" t="s">
        <v>4396</v>
      </c>
      <c r="D1685" t="s">
        <v>6322</v>
      </c>
      <c r="E1685" t="s">
        <v>7432</v>
      </c>
      <c r="F1685" t="s">
        <v>12</v>
      </c>
      <c r="G1685" t="s">
        <v>0</v>
      </c>
      <c r="H1685" s="1">
        <f t="shared" si="20"/>
        <v>44524</v>
      </c>
    </row>
    <row r="1686" spans="1:8" x14ac:dyDescent="0.35">
      <c r="A1686" s="2" t="s">
        <v>4397</v>
      </c>
      <c r="B1686" s="2" t="s">
        <v>4398</v>
      </c>
      <c r="D1686" t="s">
        <v>5387</v>
      </c>
      <c r="E1686" t="e">
        <v>#VALUE!</v>
      </c>
      <c r="F1686" t="s">
        <v>12</v>
      </c>
      <c r="G1686" t="s">
        <v>0</v>
      </c>
      <c r="H1686" s="1">
        <f t="shared" si="20"/>
        <v>44524</v>
      </c>
    </row>
    <row r="1687" spans="1:8" x14ac:dyDescent="0.35">
      <c r="A1687" s="2" t="s">
        <v>4399</v>
      </c>
      <c r="B1687" s="2" t="s">
        <v>4400</v>
      </c>
      <c r="D1687" t="s">
        <v>5387</v>
      </c>
      <c r="E1687" t="e">
        <v>#VALUE!</v>
      </c>
      <c r="F1687" t="s">
        <v>12</v>
      </c>
      <c r="G1687" t="s">
        <v>0</v>
      </c>
      <c r="H1687" s="1">
        <f t="shared" si="20"/>
        <v>44524</v>
      </c>
    </row>
    <row r="1688" spans="1:8" x14ac:dyDescent="0.35">
      <c r="A1688" s="2" t="s">
        <v>4401</v>
      </c>
      <c r="B1688" s="2" t="s">
        <v>4402</v>
      </c>
      <c r="C1688" s="2" t="s">
        <v>4403</v>
      </c>
      <c r="D1688" t="s">
        <v>6323</v>
      </c>
      <c r="E1688" t="s">
        <v>7433</v>
      </c>
      <c r="F1688" t="s">
        <v>12</v>
      </c>
      <c r="G1688" t="s">
        <v>0</v>
      </c>
      <c r="H1688" s="1">
        <f>DATE(2022,6,13)</f>
        <v>44725</v>
      </c>
    </row>
    <row r="1689" spans="1:8" x14ac:dyDescent="0.35">
      <c r="A1689" s="2" t="s">
        <v>4404</v>
      </c>
      <c r="B1689" s="2" t="s">
        <v>4405</v>
      </c>
      <c r="D1689" t="s">
        <v>5387</v>
      </c>
      <c r="E1689" t="e">
        <v>#VALUE!</v>
      </c>
      <c r="F1689" t="s">
        <v>12</v>
      </c>
      <c r="G1689" t="s">
        <v>0</v>
      </c>
      <c r="H1689" s="1">
        <f>DATE(2021,11,24)</f>
        <v>44524</v>
      </c>
    </row>
    <row r="1690" spans="1:8" x14ac:dyDescent="0.35">
      <c r="A1690" s="2" t="s">
        <v>4406</v>
      </c>
      <c r="B1690" s="2" t="s">
        <v>4407</v>
      </c>
      <c r="D1690" t="s">
        <v>5387</v>
      </c>
      <c r="E1690" t="e">
        <v>#VALUE!</v>
      </c>
      <c r="F1690" t="s">
        <v>12</v>
      </c>
      <c r="G1690" t="s">
        <v>0</v>
      </c>
      <c r="H1690" s="1">
        <f>DATE(2021,11,24)</f>
        <v>44524</v>
      </c>
    </row>
    <row r="1691" spans="1:8" x14ac:dyDescent="0.35">
      <c r="A1691" s="2" t="s">
        <v>4408</v>
      </c>
      <c r="B1691" s="2" t="s">
        <v>4409</v>
      </c>
      <c r="D1691" t="s">
        <v>5387</v>
      </c>
      <c r="E1691" t="e">
        <v>#VALUE!</v>
      </c>
      <c r="F1691" t="s">
        <v>12</v>
      </c>
      <c r="G1691" t="s">
        <v>0</v>
      </c>
      <c r="H1691" s="1">
        <f>DATE(2021,11,24)</f>
        <v>44524</v>
      </c>
    </row>
    <row r="1692" spans="1:8" x14ac:dyDescent="0.35">
      <c r="A1692" s="2" t="s">
        <v>4410</v>
      </c>
      <c r="B1692" s="2" t="s">
        <v>4411</v>
      </c>
      <c r="D1692" t="s">
        <v>5387</v>
      </c>
      <c r="E1692" t="e">
        <v>#VALUE!</v>
      </c>
      <c r="F1692" t="s">
        <v>12</v>
      </c>
      <c r="G1692" t="s">
        <v>0</v>
      </c>
      <c r="H1692" s="1">
        <f>DATE(2021,11,24)</f>
        <v>44524</v>
      </c>
    </row>
    <row r="1693" spans="1:8" x14ac:dyDescent="0.35">
      <c r="A1693" s="2" t="s">
        <v>4412</v>
      </c>
      <c r="B1693" s="2" t="s">
        <v>4413</v>
      </c>
      <c r="C1693" s="2" t="s">
        <v>4414</v>
      </c>
      <c r="D1693" t="s">
        <v>6324</v>
      </c>
      <c r="E1693" t="s">
        <v>7434</v>
      </c>
      <c r="F1693" t="s">
        <v>12</v>
      </c>
      <c r="G1693" t="s">
        <v>0</v>
      </c>
      <c r="H1693" s="1">
        <f>DATE(2022,11,16)</f>
        <v>44881</v>
      </c>
    </row>
    <row r="1694" spans="1:8" x14ac:dyDescent="0.35">
      <c r="A1694" s="2" t="s">
        <v>4415</v>
      </c>
      <c r="B1694" s="2" t="s">
        <v>3829</v>
      </c>
      <c r="C1694" s="2" t="s">
        <v>3830</v>
      </c>
      <c r="D1694" t="s">
        <v>6226</v>
      </c>
      <c r="E1694" t="s">
        <v>7354</v>
      </c>
      <c r="F1694" t="s">
        <v>12</v>
      </c>
      <c r="G1694" t="s">
        <v>0</v>
      </c>
      <c r="H1694" s="1">
        <f>DATE(2021,12,14)</f>
        <v>44544</v>
      </c>
    </row>
    <row r="1695" spans="1:8" x14ac:dyDescent="0.35">
      <c r="A1695" s="2" t="s">
        <v>4416</v>
      </c>
      <c r="B1695" s="2" t="s">
        <v>4417</v>
      </c>
      <c r="D1695" t="s">
        <v>5387</v>
      </c>
      <c r="E1695" t="e">
        <v>#VALUE!</v>
      </c>
      <c r="F1695" t="s">
        <v>12</v>
      </c>
      <c r="G1695" t="s">
        <v>0</v>
      </c>
      <c r="H1695" s="1">
        <f>DATE(2021,12,14)</f>
        <v>44544</v>
      </c>
    </row>
    <row r="1696" spans="1:8" x14ac:dyDescent="0.35">
      <c r="A1696" s="2" t="s">
        <v>4418</v>
      </c>
      <c r="B1696" s="2" t="s">
        <v>4419</v>
      </c>
      <c r="C1696" s="2" t="s">
        <v>4420</v>
      </c>
      <c r="D1696" t="s">
        <v>6325</v>
      </c>
      <c r="E1696" t="s">
        <v>7435</v>
      </c>
      <c r="F1696" t="s">
        <v>12</v>
      </c>
      <c r="G1696" t="s">
        <v>0</v>
      </c>
      <c r="H1696" s="1">
        <f>DATE(2021,12,14)</f>
        <v>44544</v>
      </c>
    </row>
    <row r="1697" spans="1:8" x14ac:dyDescent="0.35">
      <c r="A1697" s="2" t="s">
        <v>4421</v>
      </c>
      <c r="B1697" s="2" t="s">
        <v>4422</v>
      </c>
      <c r="C1697" s="2" t="s">
        <v>4423</v>
      </c>
      <c r="D1697" t="s">
        <v>6316</v>
      </c>
      <c r="E1697" t="s">
        <v>7426</v>
      </c>
      <c r="F1697" t="s">
        <v>12</v>
      </c>
      <c r="G1697" t="s">
        <v>0</v>
      </c>
      <c r="H1697" s="1">
        <f>DATE(2021,12,23)</f>
        <v>44553</v>
      </c>
    </row>
    <row r="1698" spans="1:8" x14ac:dyDescent="0.35">
      <c r="A1698" s="2" t="s">
        <v>4424</v>
      </c>
      <c r="B1698" s="2" t="s">
        <v>4425</v>
      </c>
      <c r="D1698" t="s">
        <v>5387</v>
      </c>
      <c r="E1698" t="e">
        <v>#VALUE!</v>
      </c>
      <c r="F1698" t="s">
        <v>12</v>
      </c>
      <c r="G1698" t="s">
        <v>0</v>
      </c>
      <c r="H1698" s="1">
        <f>DATE(2022,1,14)</f>
        <v>44575</v>
      </c>
    </row>
    <row r="1699" spans="1:8" x14ac:dyDescent="0.35">
      <c r="A1699" s="2" t="s">
        <v>4426</v>
      </c>
      <c r="B1699" s="2" t="s">
        <v>4427</v>
      </c>
      <c r="D1699" t="s">
        <v>5387</v>
      </c>
      <c r="E1699" t="e">
        <v>#VALUE!</v>
      </c>
      <c r="F1699" t="s">
        <v>12</v>
      </c>
      <c r="G1699" t="s">
        <v>0</v>
      </c>
      <c r="H1699" s="1">
        <f>DATE(2022,1,27)</f>
        <v>44588</v>
      </c>
    </row>
    <row r="1700" spans="1:8" x14ac:dyDescent="0.35">
      <c r="A1700" s="2" t="s">
        <v>4428</v>
      </c>
      <c r="B1700" s="2" t="s">
        <v>4429</v>
      </c>
      <c r="D1700" t="s">
        <v>5387</v>
      </c>
      <c r="E1700" t="e">
        <v>#VALUE!</v>
      </c>
      <c r="F1700" t="s">
        <v>12</v>
      </c>
      <c r="G1700" t="s">
        <v>0</v>
      </c>
      <c r="H1700" s="1">
        <f>DATE(2022,1,31)</f>
        <v>44592</v>
      </c>
    </row>
    <row r="1701" spans="1:8" x14ac:dyDescent="0.35">
      <c r="A1701" s="2" t="s">
        <v>4430</v>
      </c>
      <c r="B1701" s="2" t="s">
        <v>4431</v>
      </c>
      <c r="D1701" t="s">
        <v>5387</v>
      </c>
      <c r="E1701" t="e">
        <v>#VALUE!</v>
      </c>
      <c r="F1701" t="s">
        <v>12</v>
      </c>
      <c r="G1701" t="s">
        <v>0</v>
      </c>
      <c r="H1701" s="1">
        <f>DATE(2022,2,1)</f>
        <v>44593</v>
      </c>
    </row>
    <row r="1702" spans="1:8" x14ac:dyDescent="0.35">
      <c r="A1702" s="2" t="s">
        <v>4432</v>
      </c>
      <c r="B1702" s="2" t="s">
        <v>4433</v>
      </c>
      <c r="C1702" s="2" t="s">
        <v>2736</v>
      </c>
      <c r="D1702" t="s">
        <v>5503</v>
      </c>
      <c r="E1702" t="s">
        <v>6632</v>
      </c>
      <c r="F1702" t="s">
        <v>12</v>
      </c>
      <c r="G1702" t="s">
        <v>0</v>
      </c>
      <c r="H1702" s="1">
        <f>DATE(2023,10,6)</f>
        <v>45205</v>
      </c>
    </row>
    <row r="1703" spans="1:8" x14ac:dyDescent="0.35">
      <c r="A1703" s="2" t="s">
        <v>4434</v>
      </c>
      <c r="B1703" s="2" t="s">
        <v>4435</v>
      </c>
      <c r="D1703" t="s">
        <v>5387</v>
      </c>
      <c r="E1703" t="e">
        <v>#VALUE!</v>
      </c>
      <c r="F1703" t="s">
        <v>12</v>
      </c>
      <c r="G1703" t="s">
        <v>0</v>
      </c>
      <c r="H1703" s="1">
        <f>DATE(2022,2,16)</f>
        <v>44608</v>
      </c>
    </row>
    <row r="1704" spans="1:8" x14ac:dyDescent="0.35">
      <c r="A1704" s="2" t="s">
        <v>4436</v>
      </c>
      <c r="B1704" s="2" t="s">
        <v>4437</v>
      </c>
      <c r="D1704" t="s">
        <v>5387</v>
      </c>
      <c r="E1704" t="e">
        <v>#VALUE!</v>
      </c>
      <c r="F1704" t="s">
        <v>12</v>
      </c>
      <c r="G1704" t="s">
        <v>0</v>
      </c>
      <c r="H1704" s="1">
        <f>DATE(2022,2,16)</f>
        <v>44608</v>
      </c>
    </row>
    <row r="1705" spans="1:8" x14ac:dyDescent="0.35">
      <c r="A1705" s="2" t="s">
        <v>4438</v>
      </c>
      <c r="B1705" s="2" t="s">
        <v>4439</v>
      </c>
      <c r="D1705" t="s">
        <v>5387</v>
      </c>
      <c r="E1705" t="e">
        <v>#VALUE!</v>
      </c>
      <c r="F1705" t="s">
        <v>12</v>
      </c>
      <c r="G1705" t="s">
        <v>0</v>
      </c>
      <c r="H1705" s="1">
        <f>DATE(2022,2,16)</f>
        <v>44608</v>
      </c>
    </row>
    <row r="1706" spans="1:8" x14ac:dyDescent="0.35">
      <c r="A1706" s="2" t="s">
        <v>4440</v>
      </c>
      <c r="B1706" s="2" t="s">
        <v>4441</v>
      </c>
      <c r="C1706" s="2" t="s">
        <v>4442</v>
      </c>
      <c r="D1706" t="s">
        <v>6326</v>
      </c>
      <c r="E1706" t="s">
        <v>7436</v>
      </c>
      <c r="F1706" t="s">
        <v>12</v>
      </c>
      <c r="G1706" t="s">
        <v>0</v>
      </c>
      <c r="H1706" s="1">
        <f>DATE(2022,2,23)</f>
        <v>44615</v>
      </c>
    </row>
    <row r="1707" spans="1:8" x14ac:dyDescent="0.35">
      <c r="A1707" s="2" t="s">
        <v>4443</v>
      </c>
      <c r="B1707" s="2" t="s">
        <v>4444</v>
      </c>
      <c r="D1707" t="s">
        <v>5387</v>
      </c>
      <c r="E1707" t="e">
        <v>#VALUE!</v>
      </c>
      <c r="F1707" t="s">
        <v>12</v>
      </c>
      <c r="G1707" t="s">
        <v>0</v>
      </c>
      <c r="H1707" s="1">
        <f>DATE(2022,3,3)</f>
        <v>44623</v>
      </c>
    </row>
    <row r="1708" spans="1:8" x14ac:dyDescent="0.35">
      <c r="A1708" s="2" t="s">
        <v>4445</v>
      </c>
      <c r="B1708" s="2" t="s">
        <v>4446</v>
      </c>
      <c r="C1708" s="2" t="s">
        <v>2736</v>
      </c>
      <c r="D1708" t="s">
        <v>5503</v>
      </c>
      <c r="E1708" t="s">
        <v>6632</v>
      </c>
      <c r="F1708" t="s">
        <v>12</v>
      </c>
      <c r="G1708" t="s">
        <v>0</v>
      </c>
      <c r="H1708" s="1">
        <f>DATE(2023,10,6)</f>
        <v>45205</v>
      </c>
    </row>
    <row r="1709" spans="1:8" x14ac:dyDescent="0.35">
      <c r="A1709" s="2" t="s">
        <v>4447</v>
      </c>
      <c r="B1709" s="2" t="s">
        <v>4448</v>
      </c>
      <c r="D1709" t="s">
        <v>5387</v>
      </c>
      <c r="E1709" t="e">
        <v>#VALUE!</v>
      </c>
      <c r="F1709" t="s">
        <v>12</v>
      </c>
      <c r="G1709" t="s">
        <v>0</v>
      </c>
      <c r="H1709" s="1">
        <f>DATE(2022,3,15)</f>
        <v>44635</v>
      </c>
    </row>
    <row r="1710" spans="1:8" x14ac:dyDescent="0.35">
      <c r="A1710" s="2" t="s">
        <v>4449</v>
      </c>
      <c r="B1710" s="2" t="s">
        <v>4450</v>
      </c>
      <c r="D1710" t="s">
        <v>5387</v>
      </c>
      <c r="E1710" t="e">
        <v>#VALUE!</v>
      </c>
      <c r="F1710" t="s">
        <v>12</v>
      </c>
      <c r="G1710" t="s">
        <v>0</v>
      </c>
      <c r="H1710" s="1">
        <f>DATE(2022,4,1)</f>
        <v>44652</v>
      </c>
    </row>
    <row r="1711" spans="1:8" x14ac:dyDescent="0.35">
      <c r="A1711" s="2" t="s">
        <v>4451</v>
      </c>
      <c r="B1711" s="2" t="s">
        <v>4452</v>
      </c>
      <c r="D1711" t="s">
        <v>5387</v>
      </c>
      <c r="E1711" t="e">
        <v>#VALUE!</v>
      </c>
      <c r="F1711" t="s">
        <v>12</v>
      </c>
      <c r="G1711" t="s">
        <v>0</v>
      </c>
      <c r="H1711" s="1">
        <f>DATE(2022,4,1)</f>
        <v>44652</v>
      </c>
    </row>
    <row r="1712" spans="1:8" x14ac:dyDescent="0.35">
      <c r="A1712" s="2" t="s">
        <v>4453</v>
      </c>
      <c r="B1712" s="2" t="s">
        <v>4454</v>
      </c>
      <c r="D1712" t="s">
        <v>5387</v>
      </c>
      <c r="E1712" t="e">
        <v>#VALUE!</v>
      </c>
      <c r="F1712" t="s">
        <v>12</v>
      </c>
      <c r="G1712" t="s">
        <v>0</v>
      </c>
      <c r="H1712" s="1">
        <f>DATE(2022,4,14)</f>
        <v>44665</v>
      </c>
    </row>
    <row r="1713" spans="1:8" x14ac:dyDescent="0.35">
      <c r="A1713" s="2" t="s">
        <v>4455</v>
      </c>
      <c r="B1713" s="2" t="s">
        <v>4456</v>
      </c>
      <c r="D1713" t="s">
        <v>5387</v>
      </c>
      <c r="E1713" t="e">
        <v>#VALUE!</v>
      </c>
      <c r="F1713" t="s">
        <v>12</v>
      </c>
      <c r="G1713" t="s">
        <v>0</v>
      </c>
      <c r="H1713" s="1">
        <f>DATE(2022,4,14)</f>
        <v>44665</v>
      </c>
    </row>
    <row r="1714" spans="1:8" x14ac:dyDescent="0.35">
      <c r="A1714" s="2" t="s">
        <v>4457</v>
      </c>
      <c r="B1714" s="2" t="s">
        <v>4458</v>
      </c>
      <c r="C1714" s="2" t="s">
        <v>4459</v>
      </c>
      <c r="D1714" t="s">
        <v>6327</v>
      </c>
      <c r="E1714" t="s">
        <v>7437</v>
      </c>
      <c r="F1714" t="s">
        <v>12</v>
      </c>
      <c r="G1714" t="s">
        <v>0</v>
      </c>
      <c r="H1714" s="1">
        <f>DATE(2022,4,20)</f>
        <v>44671</v>
      </c>
    </row>
    <row r="1715" spans="1:8" x14ac:dyDescent="0.35">
      <c r="A1715" s="2" t="s">
        <v>4460</v>
      </c>
      <c r="B1715" s="2" t="s">
        <v>4461</v>
      </c>
      <c r="C1715" s="2" t="s">
        <v>4462</v>
      </c>
      <c r="D1715" t="s">
        <v>6160</v>
      </c>
      <c r="E1715" t="s">
        <v>7290</v>
      </c>
      <c r="F1715" t="s">
        <v>12</v>
      </c>
      <c r="G1715" t="s">
        <v>0</v>
      </c>
      <c r="H1715" s="1">
        <f>DATE(2022,9,12)</f>
        <v>44816</v>
      </c>
    </row>
    <row r="1716" spans="1:8" x14ac:dyDescent="0.35">
      <c r="A1716" s="2" t="s">
        <v>4463</v>
      </c>
      <c r="B1716" s="2" t="s">
        <v>4464</v>
      </c>
      <c r="D1716" t="s">
        <v>5387</v>
      </c>
      <c r="E1716" t="e">
        <v>#VALUE!</v>
      </c>
      <c r="F1716" t="s">
        <v>12</v>
      </c>
      <c r="G1716" t="s">
        <v>0</v>
      </c>
      <c r="H1716" s="1">
        <f>DATE(2022,6,15)</f>
        <v>44727</v>
      </c>
    </row>
    <row r="1717" spans="1:8" x14ac:dyDescent="0.35">
      <c r="A1717" s="2" t="s">
        <v>4465</v>
      </c>
      <c r="B1717" s="2" t="s">
        <v>4466</v>
      </c>
      <c r="C1717" s="2" t="s">
        <v>4467</v>
      </c>
      <c r="D1717" t="s">
        <v>6328</v>
      </c>
      <c r="E1717" t="s">
        <v>7438</v>
      </c>
      <c r="F1717" t="s">
        <v>12</v>
      </c>
      <c r="G1717" t="s">
        <v>0</v>
      </c>
      <c r="H1717" s="1">
        <f>DATE(2022,6,24)</f>
        <v>44736</v>
      </c>
    </row>
    <row r="1718" spans="1:8" x14ac:dyDescent="0.35">
      <c r="A1718" s="2" t="s">
        <v>4468</v>
      </c>
      <c r="B1718" s="2" t="s">
        <v>4469</v>
      </c>
      <c r="C1718" s="2" t="s">
        <v>2736</v>
      </c>
      <c r="D1718" t="s">
        <v>5503</v>
      </c>
      <c r="E1718" t="s">
        <v>6632</v>
      </c>
      <c r="F1718" t="s">
        <v>12</v>
      </c>
      <c r="G1718" t="s">
        <v>0</v>
      </c>
      <c r="H1718" s="1">
        <f>DATE(2023,10,6)</f>
        <v>45205</v>
      </c>
    </row>
    <row r="1719" spans="1:8" x14ac:dyDescent="0.35">
      <c r="A1719" s="2" t="s">
        <v>4470</v>
      </c>
      <c r="B1719" s="2" t="s">
        <v>4471</v>
      </c>
      <c r="D1719" t="s">
        <v>5387</v>
      </c>
      <c r="E1719" t="e">
        <v>#VALUE!</v>
      </c>
      <c r="F1719" t="s">
        <v>12</v>
      </c>
      <c r="G1719" t="s">
        <v>0</v>
      </c>
      <c r="H1719" s="1">
        <f>DATE(2022,9,12)</f>
        <v>44816</v>
      </c>
    </row>
    <row r="1720" spans="1:8" x14ac:dyDescent="0.35">
      <c r="A1720" s="2" t="s">
        <v>4472</v>
      </c>
      <c r="B1720" s="2" t="s">
        <v>4473</v>
      </c>
      <c r="D1720" t="s">
        <v>5387</v>
      </c>
      <c r="E1720" t="e">
        <v>#VALUE!</v>
      </c>
      <c r="F1720" t="s">
        <v>12</v>
      </c>
      <c r="G1720" t="s">
        <v>0</v>
      </c>
      <c r="H1720" s="1">
        <f>DATE(2022,9,12)</f>
        <v>44816</v>
      </c>
    </row>
    <row r="1721" spans="1:8" x14ac:dyDescent="0.35">
      <c r="A1721" s="2" t="s">
        <v>4474</v>
      </c>
      <c r="B1721" s="2" t="s">
        <v>4475</v>
      </c>
      <c r="D1721" t="s">
        <v>5387</v>
      </c>
      <c r="E1721" t="e">
        <v>#VALUE!</v>
      </c>
      <c r="F1721" t="s">
        <v>12</v>
      </c>
      <c r="G1721" t="s">
        <v>0</v>
      </c>
      <c r="H1721" s="1">
        <f>DATE(2022,9,13)</f>
        <v>44817</v>
      </c>
    </row>
    <row r="1722" spans="1:8" x14ac:dyDescent="0.35">
      <c r="A1722" s="2" t="s">
        <v>4476</v>
      </c>
      <c r="B1722" s="2" t="s">
        <v>4477</v>
      </c>
      <c r="D1722" t="s">
        <v>5387</v>
      </c>
      <c r="E1722" t="e">
        <v>#VALUE!</v>
      </c>
      <c r="F1722" t="s">
        <v>12</v>
      </c>
      <c r="G1722" t="s">
        <v>0</v>
      </c>
      <c r="H1722" s="1">
        <f>DATE(2022,10,3)</f>
        <v>44837</v>
      </c>
    </row>
    <row r="1723" spans="1:8" x14ac:dyDescent="0.35">
      <c r="A1723" s="2" t="s">
        <v>4478</v>
      </c>
      <c r="B1723" s="2" t="s">
        <v>4479</v>
      </c>
      <c r="D1723" t="s">
        <v>5387</v>
      </c>
      <c r="E1723" t="e">
        <v>#VALUE!</v>
      </c>
      <c r="F1723" t="s">
        <v>12</v>
      </c>
      <c r="G1723" t="s">
        <v>0</v>
      </c>
      <c r="H1723" s="1">
        <f>DATE(2022,10,5)</f>
        <v>44839</v>
      </c>
    </row>
    <row r="1724" spans="1:8" x14ac:dyDescent="0.35">
      <c r="A1724" s="2" t="s">
        <v>4480</v>
      </c>
      <c r="B1724" s="2" t="s">
        <v>4481</v>
      </c>
      <c r="D1724" t="s">
        <v>5387</v>
      </c>
      <c r="E1724" t="e">
        <v>#VALUE!</v>
      </c>
      <c r="F1724" t="s">
        <v>12</v>
      </c>
      <c r="G1724" t="s">
        <v>0</v>
      </c>
      <c r="H1724" s="1">
        <f>DATE(2022,10,5)</f>
        <v>44839</v>
      </c>
    </row>
    <row r="1725" spans="1:8" x14ac:dyDescent="0.35">
      <c r="A1725" s="2" t="s">
        <v>4482</v>
      </c>
      <c r="B1725" s="2" t="s">
        <v>4441</v>
      </c>
      <c r="C1725" s="2" t="s">
        <v>4483</v>
      </c>
      <c r="D1725" t="s">
        <v>6329</v>
      </c>
      <c r="E1725" t="s">
        <v>7439</v>
      </c>
      <c r="F1725" t="s">
        <v>12</v>
      </c>
      <c r="G1725" t="s">
        <v>0</v>
      </c>
      <c r="H1725" s="1">
        <f>DATE(2022,10,17)</f>
        <v>44851</v>
      </c>
    </row>
    <row r="1726" spans="1:8" x14ac:dyDescent="0.35">
      <c r="A1726" s="2" t="s">
        <v>4484</v>
      </c>
      <c r="B1726" s="2" t="s">
        <v>4485</v>
      </c>
      <c r="C1726" s="2" t="s">
        <v>4486</v>
      </c>
      <c r="D1726" t="s">
        <v>6330</v>
      </c>
      <c r="E1726" t="s">
        <v>7440</v>
      </c>
      <c r="F1726" t="s">
        <v>12</v>
      </c>
      <c r="G1726" t="s">
        <v>0</v>
      </c>
      <c r="H1726" s="1">
        <f>DATE(2022,10,25)</f>
        <v>44859</v>
      </c>
    </row>
    <row r="1727" spans="1:8" x14ac:dyDescent="0.35">
      <c r="A1727" s="2" t="s">
        <v>4487</v>
      </c>
      <c r="B1727" s="2" t="s">
        <v>4488</v>
      </c>
      <c r="D1727" t="s">
        <v>5387</v>
      </c>
      <c r="E1727" t="e">
        <v>#VALUE!</v>
      </c>
      <c r="F1727" t="s">
        <v>12</v>
      </c>
      <c r="G1727" t="s">
        <v>0</v>
      </c>
      <c r="H1727" s="1">
        <f>DATE(2022,11,8)</f>
        <v>44873</v>
      </c>
    </row>
    <row r="1728" spans="1:8" x14ac:dyDescent="0.35">
      <c r="A1728" s="2" t="s">
        <v>4489</v>
      </c>
      <c r="B1728" s="2" t="s">
        <v>4490</v>
      </c>
      <c r="D1728" t="s">
        <v>5387</v>
      </c>
      <c r="E1728" t="e">
        <v>#VALUE!</v>
      </c>
      <c r="F1728" t="s">
        <v>12</v>
      </c>
      <c r="G1728" t="s">
        <v>0</v>
      </c>
      <c r="H1728" s="1">
        <f>DATE(2022,11,10)</f>
        <v>44875</v>
      </c>
    </row>
    <row r="1729" spans="1:8" x14ac:dyDescent="0.35">
      <c r="A1729" s="2" t="s">
        <v>4491</v>
      </c>
      <c r="B1729" s="2" t="s">
        <v>4492</v>
      </c>
      <c r="C1729" s="2" t="s">
        <v>4493</v>
      </c>
      <c r="D1729" t="s">
        <v>6331</v>
      </c>
      <c r="E1729" t="s">
        <v>7441</v>
      </c>
      <c r="F1729" t="s">
        <v>12</v>
      </c>
      <c r="G1729" t="s">
        <v>0</v>
      </c>
      <c r="H1729" s="1">
        <f>DATE(2022,11,17)</f>
        <v>44882</v>
      </c>
    </row>
    <row r="1730" spans="1:8" x14ac:dyDescent="0.35">
      <c r="A1730" s="2" t="s">
        <v>4494</v>
      </c>
      <c r="B1730" s="2" t="s">
        <v>4495</v>
      </c>
      <c r="D1730" t="s">
        <v>5387</v>
      </c>
      <c r="E1730" t="e">
        <v>#VALUE!</v>
      </c>
      <c r="F1730" t="s">
        <v>12</v>
      </c>
      <c r="G1730" t="s">
        <v>0</v>
      </c>
      <c r="H1730" s="1">
        <f>DATE(2022,11,22)</f>
        <v>44887</v>
      </c>
    </row>
    <row r="1731" spans="1:8" x14ac:dyDescent="0.35">
      <c r="A1731" s="2" t="s">
        <v>4496</v>
      </c>
      <c r="B1731" s="2" t="s">
        <v>4497</v>
      </c>
      <c r="D1731" t="s">
        <v>5387</v>
      </c>
      <c r="E1731" t="e">
        <v>#VALUE!</v>
      </c>
      <c r="F1731" t="s">
        <v>12</v>
      </c>
      <c r="G1731" t="s">
        <v>0</v>
      </c>
      <c r="H1731" s="1">
        <f>DATE(2022,11,24)</f>
        <v>44889</v>
      </c>
    </row>
    <row r="1732" spans="1:8" x14ac:dyDescent="0.35">
      <c r="A1732" s="2" t="s">
        <v>4498</v>
      </c>
      <c r="B1732" s="2" t="s">
        <v>4499</v>
      </c>
      <c r="C1732" s="2" t="s">
        <v>4500</v>
      </c>
      <c r="D1732" t="s">
        <v>6332</v>
      </c>
      <c r="E1732" t="s">
        <v>7442</v>
      </c>
      <c r="F1732" t="s">
        <v>12</v>
      </c>
      <c r="G1732" t="s">
        <v>0</v>
      </c>
      <c r="H1732" s="1">
        <f>DATE(2024,1,9)</f>
        <v>45300</v>
      </c>
    </row>
    <row r="1733" spans="1:8" x14ac:dyDescent="0.35">
      <c r="A1733" s="2" t="s">
        <v>4501</v>
      </c>
      <c r="B1733" s="2" t="s">
        <v>4502</v>
      </c>
      <c r="C1733" s="2" t="s">
        <v>4503</v>
      </c>
      <c r="D1733" t="s">
        <v>6333</v>
      </c>
      <c r="E1733" t="s">
        <v>7443</v>
      </c>
      <c r="F1733" t="s">
        <v>12</v>
      </c>
      <c r="G1733" t="s">
        <v>0</v>
      </c>
      <c r="H1733" s="1">
        <f>DATE(2023,2,22)</f>
        <v>44979</v>
      </c>
    </row>
    <row r="1734" spans="1:8" x14ac:dyDescent="0.35">
      <c r="A1734" s="2" t="s">
        <v>4504</v>
      </c>
      <c r="B1734" s="2" t="s">
        <v>4505</v>
      </c>
      <c r="C1734" s="2" t="s">
        <v>4506</v>
      </c>
      <c r="D1734" t="s">
        <v>5989</v>
      </c>
      <c r="E1734" t="s">
        <v>7119</v>
      </c>
      <c r="F1734" t="s">
        <v>12</v>
      </c>
      <c r="G1734" t="s">
        <v>0</v>
      </c>
      <c r="H1734" s="1">
        <f>DATE(2024,6,27)</f>
        <v>45470</v>
      </c>
    </row>
    <row r="1735" spans="1:8" x14ac:dyDescent="0.35">
      <c r="A1735" s="2" t="s">
        <v>4507</v>
      </c>
      <c r="B1735" s="2" t="s">
        <v>4508</v>
      </c>
      <c r="C1735" s="2" t="s">
        <v>4509</v>
      </c>
      <c r="D1735" t="s">
        <v>6334</v>
      </c>
      <c r="E1735" t="s">
        <v>7444</v>
      </c>
      <c r="F1735" t="s">
        <v>12</v>
      </c>
      <c r="G1735" t="s">
        <v>0</v>
      </c>
      <c r="H1735" s="1">
        <f>DATE(2023,2,22)</f>
        <v>44979</v>
      </c>
    </row>
    <row r="1736" spans="1:8" x14ac:dyDescent="0.35">
      <c r="A1736" s="2" t="s">
        <v>4510</v>
      </c>
      <c r="B1736" s="2" t="s">
        <v>4511</v>
      </c>
      <c r="C1736" s="2" t="s">
        <v>4512</v>
      </c>
      <c r="D1736" t="s">
        <v>6335</v>
      </c>
      <c r="E1736" t="s">
        <v>7445</v>
      </c>
      <c r="F1736" t="s">
        <v>12</v>
      </c>
      <c r="G1736" t="s">
        <v>0</v>
      </c>
      <c r="H1736" s="1">
        <f>DATE(2024,7,5)</f>
        <v>45478</v>
      </c>
    </row>
    <row r="1737" spans="1:8" x14ac:dyDescent="0.35">
      <c r="A1737" s="2" t="s">
        <v>4513</v>
      </c>
      <c r="B1737" s="2" t="s">
        <v>4514</v>
      </c>
      <c r="C1737" s="2" t="s">
        <v>4515</v>
      </c>
      <c r="D1737" t="s">
        <v>6336</v>
      </c>
      <c r="E1737" t="s">
        <v>7446</v>
      </c>
      <c r="F1737" t="s">
        <v>12</v>
      </c>
      <c r="G1737" t="s">
        <v>0</v>
      </c>
      <c r="H1737" s="1">
        <f>DATE(2024,4,8)</f>
        <v>45390</v>
      </c>
    </row>
    <row r="1738" spans="1:8" x14ac:dyDescent="0.35">
      <c r="A1738" s="2" t="s">
        <v>4516</v>
      </c>
      <c r="B1738" s="2" t="s">
        <v>4517</v>
      </c>
      <c r="D1738" t="s">
        <v>5387</v>
      </c>
      <c r="E1738" t="e">
        <v>#VALUE!</v>
      </c>
      <c r="F1738" t="s">
        <v>12</v>
      </c>
      <c r="G1738" t="s">
        <v>0</v>
      </c>
      <c r="H1738" s="1">
        <f>DATE(2024,7,10)</f>
        <v>45483</v>
      </c>
    </row>
    <row r="1739" spans="1:8" x14ac:dyDescent="0.35">
      <c r="A1739" s="2" t="s">
        <v>4518</v>
      </c>
      <c r="B1739" s="2" t="s">
        <v>4519</v>
      </c>
      <c r="C1739" s="2" t="s">
        <v>4520</v>
      </c>
      <c r="D1739" t="s">
        <v>6337</v>
      </c>
      <c r="E1739" t="s">
        <v>7447</v>
      </c>
      <c r="F1739" t="s">
        <v>12</v>
      </c>
      <c r="G1739" t="s">
        <v>0</v>
      </c>
      <c r="H1739" s="1">
        <f>DATE(2024,7,16)</f>
        <v>45489</v>
      </c>
    </row>
    <row r="1740" spans="1:8" x14ac:dyDescent="0.35">
      <c r="A1740" s="2" t="s">
        <v>4521</v>
      </c>
      <c r="B1740" s="2" t="s">
        <v>4522</v>
      </c>
      <c r="C1740" s="2" t="s">
        <v>4523</v>
      </c>
      <c r="D1740" t="s">
        <v>6338</v>
      </c>
      <c r="E1740" t="s">
        <v>7448</v>
      </c>
      <c r="F1740" t="s">
        <v>12</v>
      </c>
      <c r="G1740" t="s">
        <v>0</v>
      </c>
      <c r="H1740" s="1">
        <f>DATE(2024,7,22)</f>
        <v>45495</v>
      </c>
    </row>
    <row r="1741" spans="1:8" x14ac:dyDescent="0.35">
      <c r="A1741" s="2" t="s">
        <v>4524</v>
      </c>
      <c r="B1741" s="2" t="s">
        <v>570</v>
      </c>
      <c r="C1741" s="2" t="s">
        <v>4525</v>
      </c>
      <c r="D1741" t="s">
        <v>5504</v>
      </c>
      <c r="E1741" t="s">
        <v>6633</v>
      </c>
      <c r="F1741" t="s">
        <v>12</v>
      </c>
      <c r="G1741" t="s">
        <v>0</v>
      </c>
      <c r="H1741" s="1">
        <f>DATE(2023,12,7)</f>
        <v>45267</v>
      </c>
    </row>
    <row r="1742" spans="1:8" x14ac:dyDescent="0.35">
      <c r="A1742" s="2" t="s">
        <v>4526</v>
      </c>
      <c r="B1742" s="2" t="s">
        <v>570</v>
      </c>
      <c r="C1742" s="2" t="s">
        <v>4527</v>
      </c>
      <c r="D1742" t="s">
        <v>5504</v>
      </c>
      <c r="E1742" t="s">
        <v>6633</v>
      </c>
      <c r="F1742" t="s">
        <v>12</v>
      </c>
      <c r="G1742" t="s">
        <v>0</v>
      </c>
      <c r="H1742" s="1">
        <f>DATE(2023,12,7)</f>
        <v>45267</v>
      </c>
    </row>
    <row r="1743" spans="1:8" x14ac:dyDescent="0.35">
      <c r="A1743" s="2" t="s">
        <v>4528</v>
      </c>
      <c r="B1743" s="2" t="s">
        <v>570</v>
      </c>
      <c r="C1743" s="2" t="s">
        <v>4529</v>
      </c>
      <c r="D1743" t="s">
        <v>5504</v>
      </c>
      <c r="E1743" t="s">
        <v>6633</v>
      </c>
      <c r="F1743" t="s">
        <v>12</v>
      </c>
      <c r="G1743" t="s">
        <v>0</v>
      </c>
      <c r="H1743" s="1">
        <f>DATE(2023,12,7)</f>
        <v>45267</v>
      </c>
    </row>
    <row r="1744" spans="1:8" x14ac:dyDescent="0.35">
      <c r="A1744" s="2" t="s">
        <v>4530</v>
      </c>
      <c r="B1744" s="2" t="s">
        <v>570</v>
      </c>
      <c r="C1744" s="2" t="s">
        <v>4531</v>
      </c>
      <c r="D1744" t="s">
        <v>5504</v>
      </c>
      <c r="E1744" t="s">
        <v>6633</v>
      </c>
      <c r="F1744" t="s">
        <v>12</v>
      </c>
      <c r="G1744" t="s">
        <v>0</v>
      </c>
      <c r="H1744" s="1">
        <f>DATE(2023,12,7)</f>
        <v>45267</v>
      </c>
    </row>
    <row r="1745" spans="1:8" x14ac:dyDescent="0.35">
      <c r="A1745" s="2" t="s">
        <v>4532</v>
      </c>
      <c r="B1745" s="2" t="s">
        <v>570</v>
      </c>
      <c r="C1745" s="2" t="s">
        <v>4533</v>
      </c>
      <c r="D1745" t="s">
        <v>5504</v>
      </c>
      <c r="E1745" t="s">
        <v>6633</v>
      </c>
      <c r="F1745" t="s">
        <v>12</v>
      </c>
      <c r="G1745" t="s">
        <v>0</v>
      </c>
      <c r="H1745" s="1">
        <f>DATE(2023,12,7)</f>
        <v>45267</v>
      </c>
    </row>
    <row r="1746" spans="1:8" x14ac:dyDescent="0.35">
      <c r="A1746" s="2" t="s">
        <v>4534</v>
      </c>
      <c r="B1746" s="2" t="s">
        <v>4535</v>
      </c>
      <c r="C1746" s="2" t="s">
        <v>4536</v>
      </c>
      <c r="D1746" t="s">
        <v>6339</v>
      </c>
      <c r="E1746" t="s">
        <v>7449</v>
      </c>
      <c r="F1746" t="s">
        <v>12</v>
      </c>
      <c r="G1746" t="s">
        <v>0</v>
      </c>
      <c r="H1746" s="1">
        <f>DATE(2023,10,5)</f>
        <v>45204</v>
      </c>
    </row>
    <row r="1747" spans="1:8" x14ac:dyDescent="0.35">
      <c r="A1747" s="2" t="s">
        <v>4537</v>
      </c>
      <c r="B1747" s="2" t="s">
        <v>4538</v>
      </c>
      <c r="C1747" s="2" t="s">
        <v>4539</v>
      </c>
      <c r="D1747" t="s">
        <v>6340</v>
      </c>
      <c r="E1747" t="s">
        <v>7450</v>
      </c>
      <c r="F1747" t="s">
        <v>12</v>
      </c>
      <c r="G1747" t="s">
        <v>0</v>
      </c>
      <c r="H1747" s="1">
        <f>DATE(2024,9,9)</f>
        <v>45544</v>
      </c>
    </row>
    <row r="1748" spans="1:8" x14ac:dyDescent="0.35">
      <c r="A1748" s="2" t="s">
        <v>4540</v>
      </c>
      <c r="B1748" s="2" t="s">
        <v>570</v>
      </c>
      <c r="C1748" s="2" t="s">
        <v>4541</v>
      </c>
      <c r="D1748" t="s">
        <v>5504</v>
      </c>
      <c r="E1748" t="s">
        <v>6633</v>
      </c>
      <c r="F1748" t="s">
        <v>12</v>
      </c>
      <c r="G1748" t="s">
        <v>0</v>
      </c>
      <c r="H1748" s="1">
        <f>DATE(2023,12,7)</f>
        <v>45267</v>
      </c>
    </row>
    <row r="1749" spans="1:8" x14ac:dyDescent="0.35">
      <c r="A1749" s="2" t="s">
        <v>4542</v>
      </c>
      <c r="B1749" s="2" t="s">
        <v>4543</v>
      </c>
      <c r="C1749" s="2" t="s">
        <v>4544</v>
      </c>
      <c r="D1749" t="s">
        <v>6341</v>
      </c>
      <c r="E1749" t="s">
        <v>7451</v>
      </c>
      <c r="F1749" t="s">
        <v>12</v>
      </c>
      <c r="G1749" t="s">
        <v>0</v>
      </c>
      <c r="H1749" s="1">
        <f>DATE(2023,10,5)</f>
        <v>45204</v>
      </c>
    </row>
    <row r="1750" spans="1:8" x14ac:dyDescent="0.35">
      <c r="A1750" s="2" t="s">
        <v>4545</v>
      </c>
      <c r="B1750" s="2" t="s">
        <v>4546</v>
      </c>
      <c r="C1750" s="2" t="s">
        <v>4547</v>
      </c>
      <c r="D1750" t="s">
        <v>6342</v>
      </c>
      <c r="E1750" t="s">
        <v>7452</v>
      </c>
      <c r="F1750" t="s">
        <v>12</v>
      </c>
      <c r="G1750" t="s">
        <v>0</v>
      </c>
      <c r="H1750" s="1">
        <f>DATE(2024,12,26)</f>
        <v>45652</v>
      </c>
    </row>
    <row r="1751" spans="1:8" x14ac:dyDescent="0.35">
      <c r="A1751" s="2" t="s">
        <v>4548</v>
      </c>
      <c r="B1751" s="2" t="s">
        <v>4549</v>
      </c>
      <c r="C1751" s="2" t="s">
        <v>2840</v>
      </c>
      <c r="D1751" t="s">
        <v>6045</v>
      </c>
      <c r="E1751" t="s">
        <v>7175</v>
      </c>
      <c r="F1751" t="s">
        <v>12</v>
      </c>
      <c r="G1751" t="s">
        <v>0</v>
      </c>
      <c r="H1751" s="1">
        <f>DATE(2023,2,22)</f>
        <v>44979</v>
      </c>
    </row>
    <row r="1752" spans="1:8" x14ac:dyDescent="0.35">
      <c r="A1752" s="2" t="s">
        <v>4550</v>
      </c>
      <c r="B1752" s="2" t="s">
        <v>4551</v>
      </c>
      <c r="C1752" s="2" t="s">
        <v>4552</v>
      </c>
      <c r="D1752" t="s">
        <v>5504</v>
      </c>
      <c r="E1752" t="s">
        <v>6633</v>
      </c>
      <c r="F1752" t="s">
        <v>12</v>
      </c>
      <c r="G1752" t="s">
        <v>0</v>
      </c>
      <c r="H1752" s="1">
        <f>DATE(2023,12,7)</f>
        <v>45267</v>
      </c>
    </row>
    <row r="1753" spans="1:8" x14ac:dyDescent="0.35">
      <c r="A1753" s="2" t="s">
        <v>4553</v>
      </c>
      <c r="B1753" s="2" t="s">
        <v>4554</v>
      </c>
      <c r="C1753" s="2" t="s">
        <v>4555</v>
      </c>
      <c r="D1753" t="s">
        <v>6343</v>
      </c>
      <c r="E1753" t="s">
        <v>7453</v>
      </c>
      <c r="F1753" t="s">
        <v>12</v>
      </c>
      <c r="G1753" t="s">
        <v>0</v>
      </c>
      <c r="H1753" s="1">
        <f>DATE(2023,2,22)</f>
        <v>44979</v>
      </c>
    </row>
    <row r="1754" spans="1:8" x14ac:dyDescent="0.35">
      <c r="A1754" s="2" t="s">
        <v>4556</v>
      </c>
      <c r="B1754" s="2" t="s">
        <v>4557</v>
      </c>
      <c r="D1754" t="s">
        <v>5387</v>
      </c>
      <c r="E1754" t="e">
        <v>#VALUE!</v>
      </c>
      <c r="F1754" t="s">
        <v>12</v>
      </c>
      <c r="G1754" t="s">
        <v>0</v>
      </c>
      <c r="H1754" s="1">
        <f>DATE(2024,9,11)</f>
        <v>45546</v>
      </c>
    </row>
    <row r="1755" spans="1:8" x14ac:dyDescent="0.35">
      <c r="A1755" s="2" t="s">
        <v>4558</v>
      </c>
      <c r="B1755" s="2" t="s">
        <v>3697</v>
      </c>
      <c r="C1755" s="2" t="s">
        <v>4559</v>
      </c>
      <c r="D1755" t="s">
        <v>6344</v>
      </c>
      <c r="E1755" t="s">
        <v>7454</v>
      </c>
      <c r="F1755" t="s">
        <v>12</v>
      </c>
      <c r="G1755" t="s">
        <v>0</v>
      </c>
      <c r="H1755" s="1">
        <f>DATE(2023,6,26)</f>
        <v>45103</v>
      </c>
    </row>
    <row r="1756" spans="1:8" x14ac:dyDescent="0.35">
      <c r="A1756" s="2" t="s">
        <v>4560</v>
      </c>
      <c r="B1756" s="2" t="s">
        <v>4561</v>
      </c>
      <c r="C1756" s="2" t="s">
        <v>4562</v>
      </c>
      <c r="D1756" t="s">
        <v>6345</v>
      </c>
      <c r="E1756" t="s">
        <v>7455</v>
      </c>
      <c r="F1756" t="s">
        <v>12</v>
      </c>
      <c r="G1756" t="s">
        <v>0</v>
      </c>
      <c r="H1756" s="1">
        <f>DATE(2025,1,9)</f>
        <v>45666</v>
      </c>
    </row>
    <row r="1757" spans="1:8" x14ac:dyDescent="0.35">
      <c r="A1757" s="2" t="s">
        <v>4563</v>
      </c>
      <c r="B1757" s="2" t="s">
        <v>4564</v>
      </c>
      <c r="C1757" s="2" t="s">
        <v>4565</v>
      </c>
      <c r="D1757" t="s">
        <v>6346</v>
      </c>
      <c r="E1757" t="s">
        <v>7456</v>
      </c>
      <c r="F1757" t="s">
        <v>12</v>
      </c>
      <c r="G1757" t="s">
        <v>0</v>
      </c>
      <c r="H1757" s="1">
        <f>DATE(2023,11,27)</f>
        <v>45257</v>
      </c>
    </row>
    <row r="1758" spans="1:8" x14ac:dyDescent="0.35">
      <c r="A1758" s="2" t="s">
        <v>4566</v>
      </c>
      <c r="B1758" s="2" t="s">
        <v>4567</v>
      </c>
      <c r="C1758" s="2" t="s">
        <v>4568</v>
      </c>
      <c r="D1758" t="s">
        <v>6347</v>
      </c>
      <c r="E1758" t="s">
        <v>7457</v>
      </c>
      <c r="F1758" t="s">
        <v>12</v>
      </c>
      <c r="G1758" t="s">
        <v>0</v>
      </c>
      <c r="H1758" s="1">
        <f>DATE(2024,12,12)</f>
        <v>45638</v>
      </c>
    </row>
    <row r="1759" spans="1:8" x14ac:dyDescent="0.35">
      <c r="A1759" s="2" t="s">
        <v>4569</v>
      </c>
      <c r="B1759" s="2" t="s">
        <v>4570</v>
      </c>
      <c r="C1759" s="2" t="s">
        <v>4571</v>
      </c>
      <c r="D1759" t="s">
        <v>6348</v>
      </c>
      <c r="E1759" t="s">
        <v>7458</v>
      </c>
      <c r="F1759" t="s">
        <v>12</v>
      </c>
      <c r="G1759" t="s">
        <v>0</v>
      </c>
      <c r="H1759" s="1">
        <f>DATE(2023,6,26)</f>
        <v>45103</v>
      </c>
    </row>
    <row r="1760" spans="1:8" x14ac:dyDescent="0.35">
      <c r="A1760" s="2" t="s">
        <v>4572</v>
      </c>
      <c r="B1760" s="2" t="s">
        <v>4573</v>
      </c>
      <c r="C1760" s="2" t="s">
        <v>4574</v>
      </c>
      <c r="D1760" t="s">
        <v>6228</v>
      </c>
      <c r="E1760" t="s">
        <v>7356</v>
      </c>
      <c r="F1760" t="s">
        <v>12</v>
      </c>
      <c r="G1760" t="s">
        <v>0</v>
      </c>
      <c r="H1760" s="1">
        <f>DATE(2025,4,14)</f>
        <v>45761</v>
      </c>
    </row>
    <row r="1761" spans="1:8" x14ac:dyDescent="0.35">
      <c r="A1761" s="2" t="s">
        <v>4575</v>
      </c>
      <c r="B1761" s="2" t="s">
        <v>4576</v>
      </c>
      <c r="C1761" s="2" t="s">
        <v>4577</v>
      </c>
      <c r="D1761" t="s">
        <v>6349</v>
      </c>
      <c r="E1761" t="s">
        <v>7459</v>
      </c>
      <c r="F1761" t="s">
        <v>12</v>
      </c>
      <c r="G1761" t="s">
        <v>0</v>
      </c>
      <c r="H1761" s="1">
        <f>DATE(2025,2,18)</f>
        <v>45706</v>
      </c>
    </row>
    <row r="1762" spans="1:8" x14ac:dyDescent="0.35">
      <c r="A1762" s="2" t="s">
        <v>4578</v>
      </c>
      <c r="B1762" s="2" t="s">
        <v>570</v>
      </c>
      <c r="C1762" s="2" t="s">
        <v>4579</v>
      </c>
      <c r="D1762" t="s">
        <v>5504</v>
      </c>
      <c r="E1762" t="s">
        <v>6633</v>
      </c>
      <c r="F1762" t="s">
        <v>12</v>
      </c>
      <c r="G1762" t="s">
        <v>0</v>
      </c>
      <c r="H1762" s="1">
        <f>DATE(2024,12,23)</f>
        <v>45649</v>
      </c>
    </row>
    <row r="1763" spans="1:8" x14ac:dyDescent="0.35">
      <c r="A1763" s="2" t="s">
        <v>4580</v>
      </c>
      <c r="B1763" s="2" t="s">
        <v>4581</v>
      </c>
      <c r="C1763" s="2" t="s">
        <v>4582</v>
      </c>
      <c r="D1763" t="s">
        <v>6350</v>
      </c>
      <c r="E1763" t="s">
        <v>7460</v>
      </c>
      <c r="F1763" t="s">
        <v>12</v>
      </c>
      <c r="G1763" t="s">
        <v>0</v>
      </c>
      <c r="H1763" s="1">
        <f>DATE(2023,2,22)</f>
        <v>44979</v>
      </c>
    </row>
    <row r="1764" spans="1:8" x14ac:dyDescent="0.35">
      <c r="A1764" s="2" t="s">
        <v>4583</v>
      </c>
      <c r="B1764" s="2" t="s">
        <v>4584</v>
      </c>
      <c r="C1764" s="2" t="s">
        <v>4585</v>
      </c>
      <c r="D1764" t="s">
        <v>6351</v>
      </c>
      <c r="E1764" t="s">
        <v>7461</v>
      </c>
      <c r="F1764" t="s">
        <v>12</v>
      </c>
      <c r="G1764" t="s">
        <v>0</v>
      </c>
      <c r="H1764" s="1">
        <f>DATE(2024,11,4)</f>
        <v>45600</v>
      </c>
    </row>
    <row r="1765" spans="1:8" x14ac:dyDescent="0.35">
      <c r="A1765" s="2" t="s">
        <v>4586</v>
      </c>
      <c r="B1765" s="2" t="s">
        <v>4587</v>
      </c>
      <c r="C1765" s="2" t="s">
        <v>4588</v>
      </c>
      <c r="D1765" t="s">
        <v>6352</v>
      </c>
      <c r="E1765" t="s">
        <v>7462</v>
      </c>
      <c r="F1765" t="s">
        <v>12</v>
      </c>
      <c r="G1765" t="s">
        <v>0</v>
      </c>
      <c r="H1765" s="1">
        <f>DATE(2025,1,7)</f>
        <v>45664</v>
      </c>
    </row>
    <row r="1766" spans="1:8" x14ac:dyDescent="0.35">
      <c r="A1766" s="2" t="s">
        <v>4589</v>
      </c>
      <c r="B1766" s="2" t="s">
        <v>4590</v>
      </c>
      <c r="C1766" s="2" t="s">
        <v>4591</v>
      </c>
      <c r="D1766" t="s">
        <v>6353</v>
      </c>
      <c r="E1766" t="s">
        <v>7463</v>
      </c>
      <c r="F1766" t="s">
        <v>12</v>
      </c>
      <c r="G1766" t="s">
        <v>0</v>
      </c>
      <c r="H1766" s="1">
        <f>DATE(2024,11,25)</f>
        <v>45621</v>
      </c>
    </row>
    <row r="1767" spans="1:8" x14ac:dyDescent="0.35">
      <c r="A1767" s="2" t="s">
        <v>4592</v>
      </c>
      <c r="B1767" s="2" t="s">
        <v>4593</v>
      </c>
      <c r="C1767" s="2" t="s">
        <v>4594</v>
      </c>
      <c r="D1767" t="s">
        <v>6354</v>
      </c>
      <c r="E1767" t="s">
        <v>7464</v>
      </c>
      <c r="F1767" t="s">
        <v>12</v>
      </c>
      <c r="G1767" t="s">
        <v>0</v>
      </c>
      <c r="H1767" s="1">
        <f>DATE(2023,2,22)</f>
        <v>44979</v>
      </c>
    </row>
    <row r="1768" spans="1:8" x14ac:dyDescent="0.35">
      <c r="A1768" s="2" t="s">
        <v>4595</v>
      </c>
      <c r="B1768" s="2" t="s">
        <v>570</v>
      </c>
      <c r="C1768" s="2" t="s">
        <v>4596</v>
      </c>
      <c r="D1768" t="s">
        <v>5504</v>
      </c>
      <c r="E1768" t="s">
        <v>6633</v>
      </c>
      <c r="F1768" t="s">
        <v>12</v>
      </c>
      <c r="G1768" t="s">
        <v>0</v>
      </c>
      <c r="H1768" s="1">
        <f>DATE(2024,12,23)</f>
        <v>45649</v>
      </c>
    </row>
    <row r="1769" spans="1:8" x14ac:dyDescent="0.35">
      <c r="A1769" s="2" t="s">
        <v>4597</v>
      </c>
      <c r="B1769" s="2" t="s">
        <v>4598</v>
      </c>
      <c r="C1769" s="2" t="s">
        <v>4599</v>
      </c>
      <c r="D1769" t="s">
        <v>6355</v>
      </c>
      <c r="E1769" t="s">
        <v>7465</v>
      </c>
      <c r="F1769" t="s">
        <v>12</v>
      </c>
      <c r="G1769" t="s">
        <v>0</v>
      </c>
      <c r="H1769" s="1">
        <f>DATE(2025,6,25)</f>
        <v>45833</v>
      </c>
    </row>
    <row r="1770" spans="1:8" x14ac:dyDescent="0.35">
      <c r="A1770" s="2" t="s">
        <v>4600</v>
      </c>
      <c r="B1770" s="2" t="s">
        <v>4601</v>
      </c>
      <c r="C1770" s="2" t="s">
        <v>1669</v>
      </c>
      <c r="D1770" t="s">
        <v>5756</v>
      </c>
      <c r="E1770" t="s">
        <v>6886</v>
      </c>
      <c r="F1770" t="s">
        <v>12</v>
      </c>
      <c r="G1770" t="s">
        <v>0</v>
      </c>
      <c r="H1770" s="1">
        <f>DATE(2023,2,22)</f>
        <v>44979</v>
      </c>
    </row>
    <row r="1771" spans="1:8" x14ac:dyDescent="0.35">
      <c r="A1771" s="2" t="s">
        <v>4602</v>
      </c>
      <c r="B1771" s="2" t="s">
        <v>4603</v>
      </c>
      <c r="C1771" s="2" t="s">
        <v>4604</v>
      </c>
      <c r="D1771" t="s">
        <v>6356</v>
      </c>
      <c r="E1771" t="s">
        <v>7466</v>
      </c>
      <c r="F1771" t="s">
        <v>12</v>
      </c>
      <c r="G1771" t="s">
        <v>0</v>
      </c>
      <c r="H1771" s="1">
        <f>DATE(2025,2,24)</f>
        <v>45712</v>
      </c>
    </row>
    <row r="1772" spans="1:8" x14ac:dyDescent="0.35">
      <c r="A1772" s="2" t="s">
        <v>4605</v>
      </c>
      <c r="B1772" s="2" t="s">
        <v>4606</v>
      </c>
      <c r="C1772" s="2" t="s">
        <v>4607</v>
      </c>
      <c r="D1772" t="s">
        <v>6357</v>
      </c>
      <c r="E1772" t="s">
        <v>7467</v>
      </c>
      <c r="F1772" t="s">
        <v>12</v>
      </c>
      <c r="G1772" t="s">
        <v>0</v>
      </c>
      <c r="H1772" s="1">
        <f>DATE(2025,2,18)</f>
        <v>45706</v>
      </c>
    </row>
    <row r="1773" spans="1:8" x14ac:dyDescent="0.35">
      <c r="A1773" s="2" t="s">
        <v>4608</v>
      </c>
      <c r="B1773" s="2" t="s">
        <v>4609</v>
      </c>
      <c r="C1773" s="2" t="s">
        <v>80</v>
      </c>
      <c r="D1773" t="s">
        <v>5399</v>
      </c>
      <c r="E1773" t="s">
        <v>6529</v>
      </c>
      <c r="F1773" t="s">
        <v>12</v>
      </c>
      <c r="G1773" t="s">
        <v>0</v>
      </c>
      <c r="H1773" s="1">
        <f>DATE(2023,6,21)</f>
        <v>45098</v>
      </c>
    </row>
    <row r="1774" spans="1:8" x14ac:dyDescent="0.35">
      <c r="A1774" s="2" t="s">
        <v>4610</v>
      </c>
      <c r="B1774" s="2" t="s">
        <v>967</v>
      </c>
      <c r="C1774" s="2" t="s">
        <v>4611</v>
      </c>
      <c r="D1774" t="s">
        <v>5423</v>
      </c>
      <c r="E1774" t="s">
        <v>6553</v>
      </c>
      <c r="F1774" t="s">
        <v>12</v>
      </c>
      <c r="G1774" t="s">
        <v>0</v>
      </c>
      <c r="H1774" s="1">
        <f>DATE(2023,2,22)</f>
        <v>44979</v>
      </c>
    </row>
    <row r="1775" spans="1:8" x14ac:dyDescent="0.35">
      <c r="A1775" s="2" t="s">
        <v>4612</v>
      </c>
      <c r="B1775" s="2" t="s">
        <v>4613</v>
      </c>
      <c r="C1775" s="2" t="s">
        <v>4614</v>
      </c>
      <c r="D1775" t="s">
        <v>6358</v>
      </c>
      <c r="E1775" t="s">
        <v>7468</v>
      </c>
      <c r="F1775" t="s">
        <v>12</v>
      </c>
      <c r="G1775" t="s">
        <v>0</v>
      </c>
      <c r="H1775" s="1">
        <f>DATE(2024,8,21)</f>
        <v>45525</v>
      </c>
    </row>
    <row r="1776" spans="1:8" x14ac:dyDescent="0.35">
      <c r="A1776" s="2" t="s">
        <v>4615</v>
      </c>
      <c r="B1776" s="2" t="s">
        <v>4616</v>
      </c>
      <c r="C1776" s="2" t="s">
        <v>4617</v>
      </c>
      <c r="D1776" t="s">
        <v>6359</v>
      </c>
      <c r="E1776" t="s">
        <v>7469</v>
      </c>
      <c r="F1776" t="s">
        <v>12</v>
      </c>
      <c r="G1776" t="s">
        <v>0</v>
      </c>
      <c r="H1776" s="1">
        <f>DATE(2023,2,22)</f>
        <v>44979</v>
      </c>
    </row>
    <row r="1777" spans="1:8" x14ac:dyDescent="0.35">
      <c r="A1777" s="2" t="s">
        <v>4618</v>
      </c>
      <c r="B1777" s="2" t="s">
        <v>4619</v>
      </c>
      <c r="C1777" s="2" t="s">
        <v>4620</v>
      </c>
      <c r="D1777" t="s">
        <v>6360</v>
      </c>
      <c r="E1777" t="s">
        <v>7470</v>
      </c>
      <c r="F1777" t="s">
        <v>12</v>
      </c>
      <c r="G1777" t="s">
        <v>0</v>
      </c>
      <c r="H1777" s="1">
        <f>DATE(2024,2,7)</f>
        <v>45329</v>
      </c>
    </row>
    <row r="1778" spans="1:8" x14ac:dyDescent="0.35">
      <c r="A1778" s="2" t="s">
        <v>4621</v>
      </c>
      <c r="B1778" s="2" t="s">
        <v>4622</v>
      </c>
      <c r="C1778" s="2" t="s">
        <v>4623</v>
      </c>
      <c r="D1778" t="s">
        <v>6361</v>
      </c>
      <c r="E1778" t="s">
        <v>7471</v>
      </c>
      <c r="F1778" t="s">
        <v>12</v>
      </c>
      <c r="G1778" t="s">
        <v>0</v>
      </c>
      <c r="H1778" s="1">
        <f>DATE(2024,2,2)</f>
        <v>45324</v>
      </c>
    </row>
    <row r="1779" spans="1:8" x14ac:dyDescent="0.35">
      <c r="A1779" s="2" t="s">
        <v>4624</v>
      </c>
      <c r="B1779" s="2" t="s">
        <v>4625</v>
      </c>
      <c r="C1779" s="2" t="s">
        <v>4626</v>
      </c>
      <c r="D1779" t="s">
        <v>6362</v>
      </c>
      <c r="E1779" t="e">
        <v>#VALUE!</v>
      </c>
      <c r="F1779" t="s">
        <v>12</v>
      </c>
      <c r="G1779" t="s">
        <v>0</v>
      </c>
      <c r="H1779" s="1">
        <f>DATE(2024,11,4)</f>
        <v>45600</v>
      </c>
    </row>
    <row r="1780" spans="1:8" x14ac:dyDescent="0.35">
      <c r="A1780" s="2" t="s">
        <v>4627</v>
      </c>
      <c r="B1780" s="2" t="s">
        <v>4628</v>
      </c>
      <c r="C1780" s="2" t="s">
        <v>4520</v>
      </c>
      <c r="D1780" t="s">
        <v>6337</v>
      </c>
      <c r="E1780" t="s">
        <v>7447</v>
      </c>
      <c r="F1780" t="s">
        <v>12</v>
      </c>
      <c r="G1780" t="s">
        <v>0</v>
      </c>
      <c r="H1780" s="1">
        <f>DATE(2024,11,5)</f>
        <v>45601</v>
      </c>
    </row>
    <row r="1781" spans="1:8" x14ac:dyDescent="0.35">
      <c r="A1781" s="2" t="s">
        <v>4629</v>
      </c>
      <c r="B1781" s="2" t="s">
        <v>4630</v>
      </c>
      <c r="C1781" s="2" t="s">
        <v>4631</v>
      </c>
      <c r="D1781" t="s">
        <v>6363</v>
      </c>
      <c r="E1781" t="s">
        <v>7472</v>
      </c>
      <c r="F1781" t="s">
        <v>12</v>
      </c>
      <c r="G1781" t="s">
        <v>0</v>
      </c>
      <c r="H1781" s="1">
        <f>DATE(2023,2,22)</f>
        <v>44979</v>
      </c>
    </row>
    <row r="1782" spans="1:8" x14ac:dyDescent="0.35">
      <c r="A1782" s="2" t="s">
        <v>4632</v>
      </c>
      <c r="B1782" s="2" t="s">
        <v>4633</v>
      </c>
      <c r="C1782" s="2" t="s">
        <v>4634</v>
      </c>
      <c r="D1782" t="s">
        <v>6364</v>
      </c>
      <c r="E1782" t="s">
        <v>7473</v>
      </c>
      <c r="F1782" t="s">
        <v>12</v>
      </c>
      <c r="G1782" t="s">
        <v>0</v>
      </c>
      <c r="H1782" s="1">
        <f>DATE(2023,10,11)</f>
        <v>45210</v>
      </c>
    </row>
    <row r="1783" spans="1:8" x14ac:dyDescent="0.35">
      <c r="A1783" s="2" t="s">
        <v>4635</v>
      </c>
      <c r="B1783" s="2" t="s">
        <v>4636</v>
      </c>
      <c r="C1783" s="2" t="s">
        <v>4637</v>
      </c>
      <c r="D1783" t="s">
        <v>6365</v>
      </c>
      <c r="E1783" t="s">
        <v>7474</v>
      </c>
      <c r="F1783" t="s">
        <v>12</v>
      </c>
      <c r="G1783" t="s">
        <v>0</v>
      </c>
      <c r="H1783" s="1">
        <f>DATE(2024,8,5)</f>
        <v>45509</v>
      </c>
    </row>
    <row r="1784" spans="1:8" x14ac:dyDescent="0.35">
      <c r="A1784" s="2" t="s">
        <v>4638</v>
      </c>
      <c r="B1784" s="2" t="s">
        <v>570</v>
      </c>
      <c r="C1784" s="2" t="s">
        <v>4639</v>
      </c>
      <c r="D1784" t="s">
        <v>5504</v>
      </c>
      <c r="E1784" t="s">
        <v>6633</v>
      </c>
      <c r="F1784" t="s">
        <v>12</v>
      </c>
      <c r="G1784" t="s">
        <v>0</v>
      </c>
      <c r="H1784" s="1">
        <f>DATE(2023,12,7)</f>
        <v>45267</v>
      </c>
    </row>
    <row r="1785" spans="1:8" x14ac:dyDescent="0.35">
      <c r="A1785" s="2" t="s">
        <v>4640</v>
      </c>
      <c r="B1785" s="2" t="s">
        <v>4641</v>
      </c>
      <c r="C1785" s="2" t="s">
        <v>4642</v>
      </c>
      <c r="D1785" t="s">
        <v>6366</v>
      </c>
      <c r="E1785" t="s">
        <v>7475</v>
      </c>
      <c r="F1785" t="s">
        <v>12</v>
      </c>
      <c r="G1785" t="s">
        <v>0</v>
      </c>
      <c r="H1785" s="1">
        <f>DATE(2024,11,8)</f>
        <v>45604</v>
      </c>
    </row>
    <row r="1786" spans="1:8" x14ac:dyDescent="0.35">
      <c r="A1786" s="2" t="s">
        <v>4643</v>
      </c>
      <c r="B1786" s="2" t="s">
        <v>4644</v>
      </c>
      <c r="C1786" s="2" t="s">
        <v>4645</v>
      </c>
      <c r="D1786" t="s">
        <v>6367</v>
      </c>
      <c r="E1786" t="s">
        <v>7476</v>
      </c>
      <c r="F1786" t="s">
        <v>12</v>
      </c>
      <c r="G1786" t="s">
        <v>0</v>
      </c>
      <c r="H1786" s="1">
        <f>DATE(2024,2,26)</f>
        <v>45348</v>
      </c>
    </row>
    <row r="1787" spans="1:8" x14ac:dyDescent="0.35">
      <c r="A1787" s="2" t="s">
        <v>4646</v>
      </c>
      <c r="B1787" s="2" t="s">
        <v>4647</v>
      </c>
      <c r="C1787" s="2" t="s">
        <v>4648</v>
      </c>
      <c r="D1787" t="s">
        <v>6368</v>
      </c>
      <c r="E1787" t="s">
        <v>7477</v>
      </c>
      <c r="F1787" t="s">
        <v>12</v>
      </c>
      <c r="G1787" t="s">
        <v>0</v>
      </c>
      <c r="H1787" s="1">
        <f>DATE(2024,11,12)</f>
        <v>45608</v>
      </c>
    </row>
    <row r="1788" spans="1:8" x14ac:dyDescent="0.35">
      <c r="A1788" s="2" t="s">
        <v>4649</v>
      </c>
      <c r="B1788" s="2" t="s">
        <v>4650</v>
      </c>
      <c r="C1788" s="2" t="s">
        <v>4651</v>
      </c>
      <c r="D1788" t="s">
        <v>6369</v>
      </c>
      <c r="E1788" t="s">
        <v>7478</v>
      </c>
      <c r="F1788" t="s">
        <v>12</v>
      </c>
      <c r="G1788" t="s">
        <v>0</v>
      </c>
      <c r="H1788" s="1">
        <f>DATE(2024,8,19)</f>
        <v>45523</v>
      </c>
    </row>
    <row r="1789" spans="1:8" x14ac:dyDescent="0.35">
      <c r="A1789" s="2" t="s">
        <v>4652</v>
      </c>
      <c r="B1789" s="2" t="s">
        <v>4653</v>
      </c>
      <c r="C1789" s="2" t="s">
        <v>4654</v>
      </c>
      <c r="D1789" t="s">
        <v>6370</v>
      </c>
      <c r="E1789" t="s">
        <v>7479</v>
      </c>
      <c r="F1789" t="s">
        <v>12</v>
      </c>
      <c r="G1789" t="s">
        <v>0</v>
      </c>
      <c r="H1789" s="1">
        <f>DATE(2024,10,18)</f>
        <v>45583</v>
      </c>
    </row>
    <row r="1790" spans="1:8" x14ac:dyDescent="0.35">
      <c r="A1790" s="2" t="s">
        <v>4655</v>
      </c>
      <c r="B1790" s="2" t="s">
        <v>4656</v>
      </c>
      <c r="C1790" s="2" t="s">
        <v>4657</v>
      </c>
      <c r="D1790" t="s">
        <v>6371</v>
      </c>
      <c r="E1790" t="s">
        <v>7480</v>
      </c>
      <c r="F1790" t="s">
        <v>12</v>
      </c>
      <c r="G1790" t="s">
        <v>0</v>
      </c>
      <c r="H1790" s="1">
        <f>DATE(2024,12,13)</f>
        <v>45639</v>
      </c>
    </row>
    <row r="1791" spans="1:8" x14ac:dyDescent="0.35">
      <c r="A1791" s="2" t="s">
        <v>4658</v>
      </c>
      <c r="B1791" s="2" t="s">
        <v>4659</v>
      </c>
      <c r="C1791" s="2" t="s">
        <v>4660</v>
      </c>
      <c r="D1791" t="s">
        <v>6372</v>
      </c>
      <c r="E1791" t="s">
        <v>7481</v>
      </c>
      <c r="F1791" t="s">
        <v>12</v>
      </c>
      <c r="G1791" t="s">
        <v>0</v>
      </c>
      <c r="H1791" s="1">
        <f>DATE(2024,12,23)</f>
        <v>45649</v>
      </c>
    </row>
    <row r="1792" spans="1:8" x14ac:dyDescent="0.35">
      <c r="A1792" s="2" t="s">
        <v>4661</v>
      </c>
      <c r="B1792" s="2" t="s">
        <v>4662</v>
      </c>
      <c r="C1792" s="2" t="s">
        <v>3413</v>
      </c>
      <c r="D1792" t="s">
        <v>6164</v>
      </c>
      <c r="E1792" t="s">
        <v>7294</v>
      </c>
      <c r="F1792" t="s">
        <v>12</v>
      </c>
      <c r="G1792" t="s">
        <v>0</v>
      </c>
      <c r="H1792" s="1">
        <f>DATE(2023,4,3)</f>
        <v>45019</v>
      </c>
    </row>
    <row r="1793" spans="1:8" x14ac:dyDescent="0.35">
      <c r="A1793" s="2" t="s">
        <v>4663</v>
      </c>
      <c r="B1793" s="2" t="s">
        <v>4664</v>
      </c>
      <c r="C1793" s="2" t="s">
        <v>698</v>
      </c>
      <c r="D1793" t="s">
        <v>5527</v>
      </c>
      <c r="E1793" t="s">
        <v>6656</v>
      </c>
      <c r="F1793" t="s">
        <v>12</v>
      </c>
      <c r="G1793" t="s">
        <v>0</v>
      </c>
      <c r="H1793" s="1">
        <f>DATE(2023,2,22)</f>
        <v>44979</v>
      </c>
    </row>
    <row r="1794" spans="1:8" x14ac:dyDescent="0.35">
      <c r="A1794" s="2" t="s">
        <v>4665</v>
      </c>
      <c r="B1794" s="2" t="s">
        <v>4666</v>
      </c>
      <c r="C1794" s="2" t="s">
        <v>4667</v>
      </c>
      <c r="D1794" t="s">
        <v>6373</v>
      </c>
      <c r="E1794" t="s">
        <v>7482</v>
      </c>
      <c r="F1794" t="s">
        <v>12</v>
      </c>
      <c r="G1794" t="s">
        <v>0</v>
      </c>
      <c r="H1794" s="1">
        <f>DATE(2025,2,12)</f>
        <v>45700</v>
      </c>
    </row>
    <row r="1795" spans="1:8" x14ac:dyDescent="0.35">
      <c r="A1795" s="2" t="s">
        <v>4668</v>
      </c>
      <c r="B1795" s="2" t="s">
        <v>4669</v>
      </c>
      <c r="C1795" s="2" t="s">
        <v>4670</v>
      </c>
      <c r="D1795" t="s">
        <v>6374</v>
      </c>
      <c r="E1795" t="s">
        <v>7483</v>
      </c>
      <c r="F1795" t="s">
        <v>12</v>
      </c>
      <c r="G1795" t="s">
        <v>0</v>
      </c>
      <c r="H1795" s="1">
        <f>DATE(2025,3,18)</f>
        <v>45734</v>
      </c>
    </row>
    <row r="1796" spans="1:8" x14ac:dyDescent="0.35">
      <c r="A1796" s="2" t="s">
        <v>4671</v>
      </c>
      <c r="B1796" s="2" t="s">
        <v>4672</v>
      </c>
      <c r="C1796" s="2" t="s">
        <v>4673</v>
      </c>
      <c r="D1796" t="s">
        <v>6375</v>
      </c>
      <c r="E1796" t="s">
        <v>7484</v>
      </c>
      <c r="F1796" t="s">
        <v>12</v>
      </c>
      <c r="G1796" t="s">
        <v>0</v>
      </c>
      <c r="H1796" s="1">
        <f>DATE(2025,3,21)</f>
        <v>45737</v>
      </c>
    </row>
    <row r="1797" spans="1:8" x14ac:dyDescent="0.35">
      <c r="A1797" s="2" t="s">
        <v>4674</v>
      </c>
      <c r="B1797" s="2" t="s">
        <v>4675</v>
      </c>
      <c r="C1797" s="2" t="s">
        <v>4676</v>
      </c>
      <c r="D1797" t="s">
        <v>6347</v>
      </c>
      <c r="E1797" t="s">
        <v>7457</v>
      </c>
      <c r="F1797" t="s">
        <v>12</v>
      </c>
      <c r="G1797" t="s">
        <v>0</v>
      </c>
      <c r="H1797" s="1">
        <f>DATE(2025,2,6)</f>
        <v>45694</v>
      </c>
    </row>
    <row r="1798" spans="1:8" x14ac:dyDescent="0.35">
      <c r="A1798" s="2" t="s">
        <v>4677</v>
      </c>
      <c r="B1798" s="2" t="s">
        <v>4678</v>
      </c>
      <c r="C1798" s="2" t="s">
        <v>4679</v>
      </c>
      <c r="D1798" t="s">
        <v>6376</v>
      </c>
      <c r="E1798" t="s">
        <v>7485</v>
      </c>
      <c r="F1798" t="s">
        <v>12</v>
      </c>
      <c r="G1798" t="s">
        <v>0</v>
      </c>
      <c r="H1798" s="1">
        <f>DATE(2023,11,9)</f>
        <v>45239</v>
      </c>
    </row>
    <row r="1799" spans="1:8" x14ac:dyDescent="0.35">
      <c r="A1799" s="2" t="s">
        <v>4680</v>
      </c>
      <c r="B1799" s="2" t="s">
        <v>4681</v>
      </c>
      <c r="C1799" s="2" t="s">
        <v>4682</v>
      </c>
      <c r="D1799" t="s">
        <v>6377</v>
      </c>
      <c r="E1799" t="s">
        <v>7486</v>
      </c>
      <c r="F1799" t="s">
        <v>12</v>
      </c>
      <c r="G1799" t="s">
        <v>0</v>
      </c>
      <c r="H1799" s="1">
        <f>DATE(2025,3,11)</f>
        <v>45727</v>
      </c>
    </row>
    <row r="1800" spans="1:8" x14ac:dyDescent="0.35">
      <c r="A1800" s="2" t="s">
        <v>4683</v>
      </c>
      <c r="B1800" s="2" t="s">
        <v>570</v>
      </c>
      <c r="C1800" s="2" t="s">
        <v>4684</v>
      </c>
      <c r="D1800" t="s">
        <v>5504</v>
      </c>
      <c r="E1800" t="s">
        <v>6633</v>
      </c>
      <c r="F1800" t="s">
        <v>12</v>
      </c>
      <c r="G1800" t="s">
        <v>0</v>
      </c>
      <c r="H1800" s="1">
        <f>DATE(2024,12,23)</f>
        <v>45649</v>
      </c>
    </row>
    <row r="1801" spans="1:8" x14ac:dyDescent="0.35">
      <c r="A1801" s="2" t="s">
        <v>4685</v>
      </c>
      <c r="B1801" s="2" t="s">
        <v>4686</v>
      </c>
      <c r="C1801" s="2" t="s">
        <v>4687</v>
      </c>
      <c r="D1801" t="s">
        <v>6378</v>
      </c>
      <c r="E1801" t="s">
        <v>7487</v>
      </c>
      <c r="F1801" t="s">
        <v>12</v>
      </c>
      <c r="G1801" t="s">
        <v>0</v>
      </c>
      <c r="H1801" s="1">
        <f>DATE(2025,1,16)</f>
        <v>45673</v>
      </c>
    </row>
    <row r="1802" spans="1:8" x14ac:dyDescent="0.35">
      <c r="A1802" s="2" t="s">
        <v>4688</v>
      </c>
      <c r="B1802" s="2" t="s">
        <v>4689</v>
      </c>
      <c r="C1802" s="2" t="s">
        <v>4690</v>
      </c>
      <c r="D1802" t="s">
        <v>6379</v>
      </c>
      <c r="E1802" t="s">
        <v>7488</v>
      </c>
      <c r="F1802" t="s">
        <v>12</v>
      </c>
      <c r="G1802" t="s">
        <v>0</v>
      </c>
      <c r="H1802" s="1">
        <f>DATE(2024,2,16)</f>
        <v>45338</v>
      </c>
    </row>
    <row r="1803" spans="1:8" x14ac:dyDescent="0.35">
      <c r="A1803" s="2" t="s">
        <v>4691</v>
      </c>
      <c r="B1803" s="2" t="s">
        <v>4692</v>
      </c>
      <c r="C1803" s="2" t="s">
        <v>4693</v>
      </c>
      <c r="D1803" t="s">
        <v>6380</v>
      </c>
      <c r="E1803" t="s">
        <v>7489</v>
      </c>
      <c r="F1803" t="s">
        <v>12</v>
      </c>
      <c r="G1803" t="s">
        <v>0</v>
      </c>
      <c r="H1803" s="1">
        <f>DATE(2025,4,3)</f>
        <v>45750</v>
      </c>
    </row>
    <row r="1804" spans="1:8" x14ac:dyDescent="0.35">
      <c r="A1804" s="2" t="s">
        <v>4694</v>
      </c>
      <c r="B1804" s="2" t="s">
        <v>4695</v>
      </c>
      <c r="C1804" s="2" t="s">
        <v>4696</v>
      </c>
      <c r="D1804" t="s">
        <v>5837</v>
      </c>
      <c r="E1804" t="s">
        <v>6967</v>
      </c>
      <c r="F1804" t="s">
        <v>12</v>
      </c>
      <c r="G1804" t="s">
        <v>0</v>
      </c>
      <c r="H1804" s="1">
        <f>DATE(2023,10,31)</f>
        <v>45230</v>
      </c>
    </row>
    <row r="1805" spans="1:8" x14ac:dyDescent="0.35">
      <c r="A1805" s="2" t="s">
        <v>4697</v>
      </c>
      <c r="B1805" s="2" t="s">
        <v>4698</v>
      </c>
      <c r="C1805" s="2" t="s">
        <v>4699</v>
      </c>
      <c r="D1805" t="s">
        <v>6381</v>
      </c>
      <c r="E1805" t="s">
        <v>7490</v>
      </c>
      <c r="F1805" t="s">
        <v>12</v>
      </c>
      <c r="G1805" t="s">
        <v>0</v>
      </c>
      <c r="H1805" s="1">
        <f>DATE(2025,6,3)</f>
        <v>45811</v>
      </c>
    </row>
    <row r="1806" spans="1:8" x14ac:dyDescent="0.35">
      <c r="A1806" s="2" t="s">
        <v>4700</v>
      </c>
      <c r="B1806" s="2" t="s">
        <v>4701</v>
      </c>
      <c r="C1806" s="2" t="s">
        <v>4702</v>
      </c>
      <c r="D1806" t="s">
        <v>6382</v>
      </c>
      <c r="E1806" t="s">
        <v>7491</v>
      </c>
      <c r="F1806" t="s">
        <v>12</v>
      </c>
      <c r="G1806" t="s">
        <v>0</v>
      </c>
      <c r="H1806" s="1">
        <f>DATE(2023,6,5)</f>
        <v>45082</v>
      </c>
    </row>
    <row r="1807" spans="1:8" x14ac:dyDescent="0.35">
      <c r="A1807" s="2" t="s">
        <v>4703</v>
      </c>
      <c r="B1807" s="2" t="s">
        <v>4704</v>
      </c>
      <c r="C1807" s="2" t="s">
        <v>4705</v>
      </c>
      <c r="D1807" t="s">
        <v>5419</v>
      </c>
      <c r="E1807" t="s">
        <v>6549</v>
      </c>
      <c r="F1807" t="s">
        <v>12</v>
      </c>
      <c r="G1807" t="s">
        <v>0</v>
      </c>
      <c r="H1807" s="1">
        <f>DATE(2025,1,28)</f>
        <v>45685</v>
      </c>
    </row>
    <row r="1808" spans="1:8" x14ac:dyDescent="0.35">
      <c r="A1808" s="2" t="s">
        <v>4706</v>
      </c>
      <c r="B1808" s="2" t="s">
        <v>4707</v>
      </c>
      <c r="C1808" s="2" t="s">
        <v>4708</v>
      </c>
      <c r="D1808" t="s">
        <v>6244</v>
      </c>
      <c r="E1808" t="s">
        <v>7371</v>
      </c>
      <c r="F1808" t="s">
        <v>12</v>
      </c>
      <c r="G1808" t="s">
        <v>0</v>
      </c>
      <c r="H1808" s="1">
        <f>DATE(2025,3,3)</f>
        <v>45719</v>
      </c>
    </row>
    <row r="1809" spans="1:8" x14ac:dyDescent="0.35">
      <c r="A1809" s="2" t="s">
        <v>4709</v>
      </c>
      <c r="B1809" s="2" t="s">
        <v>4710</v>
      </c>
      <c r="C1809" s="2" t="s">
        <v>4711</v>
      </c>
      <c r="D1809" t="s">
        <v>6383</v>
      </c>
      <c r="E1809" t="e">
        <v>#VALUE!</v>
      </c>
      <c r="F1809" t="s">
        <v>12</v>
      </c>
      <c r="G1809" t="s">
        <v>0</v>
      </c>
      <c r="H1809" s="1">
        <f>DATE(2025,6,18)</f>
        <v>45826</v>
      </c>
    </row>
    <row r="1810" spans="1:8" x14ac:dyDescent="0.35">
      <c r="A1810" s="2" t="s">
        <v>4712</v>
      </c>
      <c r="B1810" s="2" t="s">
        <v>4713</v>
      </c>
      <c r="C1810" s="2" t="s">
        <v>4714</v>
      </c>
      <c r="D1810" t="s">
        <v>6384</v>
      </c>
      <c r="E1810" t="e">
        <v>#VALUE!</v>
      </c>
      <c r="F1810" t="s">
        <v>12</v>
      </c>
      <c r="G1810" t="s">
        <v>0</v>
      </c>
      <c r="H1810" s="1">
        <f>DATE(2025,6,18)</f>
        <v>45826</v>
      </c>
    </row>
    <row r="1811" spans="1:8" x14ac:dyDescent="0.35">
      <c r="A1811" s="2" t="s">
        <v>4715</v>
      </c>
      <c r="B1811" s="2" t="s">
        <v>4716</v>
      </c>
      <c r="C1811" s="2" t="s">
        <v>4717</v>
      </c>
      <c r="D1811" t="s">
        <v>6385</v>
      </c>
      <c r="E1811" t="s">
        <v>7492</v>
      </c>
      <c r="F1811" t="s">
        <v>12</v>
      </c>
      <c r="G1811" t="s">
        <v>0</v>
      </c>
      <c r="H1811" s="1">
        <f>DATE(2024,7,22)</f>
        <v>45495</v>
      </c>
    </row>
    <row r="1812" spans="1:8" x14ac:dyDescent="0.35">
      <c r="A1812" s="2" t="s">
        <v>4718</v>
      </c>
      <c r="B1812" s="2" t="s">
        <v>4719</v>
      </c>
      <c r="C1812" s="2" t="s">
        <v>4720</v>
      </c>
      <c r="D1812" t="s">
        <v>6244</v>
      </c>
      <c r="E1812" t="s">
        <v>7371</v>
      </c>
      <c r="F1812" t="s">
        <v>12</v>
      </c>
      <c r="G1812" t="s">
        <v>0</v>
      </c>
      <c r="H1812" s="1">
        <f>DATE(2025,3,3)</f>
        <v>45719</v>
      </c>
    </row>
    <row r="1813" spans="1:8" x14ac:dyDescent="0.35">
      <c r="A1813" s="2" t="s">
        <v>4721</v>
      </c>
      <c r="B1813" s="2" t="s">
        <v>4722</v>
      </c>
      <c r="C1813" s="2" t="s">
        <v>4723</v>
      </c>
      <c r="D1813" t="s">
        <v>6385</v>
      </c>
      <c r="E1813" t="s">
        <v>7492</v>
      </c>
      <c r="F1813" t="s">
        <v>12</v>
      </c>
      <c r="G1813" t="s">
        <v>0</v>
      </c>
      <c r="H1813" s="1">
        <f>DATE(2024,7,23)</f>
        <v>45496</v>
      </c>
    </row>
    <row r="1814" spans="1:8" x14ac:dyDescent="0.35">
      <c r="A1814" s="2" t="s">
        <v>4724</v>
      </c>
      <c r="B1814" s="2" t="s">
        <v>4725</v>
      </c>
      <c r="C1814" s="2" t="s">
        <v>4726</v>
      </c>
      <c r="D1814" t="s">
        <v>6385</v>
      </c>
      <c r="E1814" t="s">
        <v>7492</v>
      </c>
      <c r="F1814" t="s">
        <v>12</v>
      </c>
      <c r="G1814" t="s">
        <v>0</v>
      </c>
      <c r="H1814" s="1">
        <f>DATE(2025,3,3)</f>
        <v>45719</v>
      </c>
    </row>
    <row r="1815" spans="1:8" x14ac:dyDescent="0.35">
      <c r="A1815" s="2" t="s">
        <v>4727</v>
      </c>
      <c r="B1815" s="2" t="s">
        <v>4728</v>
      </c>
      <c r="C1815" s="2" t="s">
        <v>4729</v>
      </c>
      <c r="D1815" t="s">
        <v>6244</v>
      </c>
      <c r="E1815" t="s">
        <v>7371</v>
      </c>
      <c r="F1815" t="s">
        <v>12</v>
      </c>
      <c r="G1815" t="s">
        <v>0</v>
      </c>
      <c r="H1815" s="1">
        <f>DATE(2024,6,24)</f>
        <v>45467</v>
      </c>
    </row>
    <row r="1816" spans="1:8" x14ac:dyDescent="0.35">
      <c r="A1816" s="2" t="s">
        <v>4730</v>
      </c>
      <c r="B1816" s="2" t="s">
        <v>4731</v>
      </c>
      <c r="C1816" s="2" t="s">
        <v>4732</v>
      </c>
      <c r="D1816" t="s">
        <v>6244</v>
      </c>
      <c r="E1816" t="s">
        <v>7371</v>
      </c>
      <c r="F1816" t="s">
        <v>12</v>
      </c>
      <c r="G1816" t="s">
        <v>0</v>
      </c>
      <c r="H1816" s="1">
        <f>DATE(2024,6,24)</f>
        <v>45467</v>
      </c>
    </row>
    <row r="1817" spans="1:8" x14ac:dyDescent="0.35">
      <c r="A1817" s="2" t="s">
        <v>4733</v>
      </c>
      <c r="B1817" s="2" t="s">
        <v>4734</v>
      </c>
      <c r="C1817" s="2" t="s">
        <v>4735</v>
      </c>
      <c r="D1817" t="s">
        <v>6386</v>
      </c>
      <c r="E1817" t="s">
        <v>7493</v>
      </c>
      <c r="F1817" t="s">
        <v>12</v>
      </c>
      <c r="G1817" t="s">
        <v>0</v>
      </c>
      <c r="H1817" s="1">
        <f>DATE(2025,3,3)</f>
        <v>45719</v>
      </c>
    </row>
    <row r="1818" spans="1:8" x14ac:dyDescent="0.35">
      <c r="A1818" s="2" t="s">
        <v>4736</v>
      </c>
      <c r="B1818" s="2" t="s">
        <v>4728</v>
      </c>
      <c r="C1818" s="2" t="s">
        <v>4737</v>
      </c>
      <c r="D1818" t="s">
        <v>6244</v>
      </c>
      <c r="E1818" t="s">
        <v>7371</v>
      </c>
      <c r="F1818" t="s">
        <v>12</v>
      </c>
      <c r="G1818" t="s">
        <v>0</v>
      </c>
      <c r="H1818" s="1">
        <f>DATE(2024,3,27)</f>
        <v>45378</v>
      </c>
    </row>
    <row r="1819" spans="1:8" x14ac:dyDescent="0.35">
      <c r="A1819" s="2" t="s">
        <v>4738</v>
      </c>
      <c r="B1819" s="2" t="s">
        <v>4739</v>
      </c>
      <c r="C1819" s="2" t="s">
        <v>4739</v>
      </c>
      <c r="D1819" t="s">
        <v>5504</v>
      </c>
      <c r="E1819" t="s">
        <v>6633</v>
      </c>
      <c r="F1819" t="s">
        <v>12</v>
      </c>
      <c r="G1819" t="s">
        <v>0</v>
      </c>
      <c r="H1819" s="1">
        <f>DATE(2023,12,7)</f>
        <v>45267</v>
      </c>
    </row>
    <row r="1820" spans="1:8" x14ac:dyDescent="0.35">
      <c r="A1820" s="2" t="s">
        <v>4740</v>
      </c>
      <c r="B1820" s="2" t="s">
        <v>4741</v>
      </c>
      <c r="C1820" s="2" t="s">
        <v>4742</v>
      </c>
      <c r="D1820" t="s">
        <v>6387</v>
      </c>
      <c r="E1820" t="s">
        <v>7494</v>
      </c>
      <c r="F1820" t="s">
        <v>12</v>
      </c>
      <c r="G1820" t="s">
        <v>0</v>
      </c>
      <c r="H1820" s="1">
        <f>DATE(2024,4,16)</f>
        <v>45398</v>
      </c>
    </row>
    <row r="1821" spans="1:8" x14ac:dyDescent="0.35">
      <c r="A1821" s="2" t="s">
        <v>4743</v>
      </c>
      <c r="B1821" s="2" t="s">
        <v>4744</v>
      </c>
      <c r="D1821" t="s">
        <v>5387</v>
      </c>
      <c r="E1821" t="e">
        <v>#VALUE!</v>
      </c>
      <c r="F1821" t="s">
        <v>12</v>
      </c>
      <c r="G1821" t="s">
        <v>0</v>
      </c>
      <c r="H1821" s="1">
        <f>DATE(2024,2,13)</f>
        <v>45335</v>
      </c>
    </row>
    <row r="1822" spans="1:8" x14ac:dyDescent="0.35">
      <c r="A1822" s="2" t="s">
        <v>4745</v>
      </c>
      <c r="B1822" s="2" t="s">
        <v>4746</v>
      </c>
      <c r="C1822" s="2" t="s">
        <v>4747</v>
      </c>
      <c r="D1822" t="s">
        <v>4747</v>
      </c>
      <c r="E1822" t="s">
        <v>7495</v>
      </c>
      <c r="F1822" t="s">
        <v>12</v>
      </c>
      <c r="G1822" t="s">
        <v>0</v>
      </c>
      <c r="H1822" s="1">
        <f>DATE(2023,7,18)</f>
        <v>45125</v>
      </c>
    </row>
    <row r="1823" spans="1:8" x14ac:dyDescent="0.35">
      <c r="A1823" s="2" t="s">
        <v>4748</v>
      </c>
      <c r="B1823" s="2" t="s">
        <v>3460</v>
      </c>
      <c r="C1823" s="2" t="s">
        <v>4749</v>
      </c>
      <c r="D1823" t="s">
        <v>6388</v>
      </c>
      <c r="E1823" t="s">
        <v>7496</v>
      </c>
      <c r="F1823" t="s">
        <v>12</v>
      </c>
      <c r="G1823" t="s">
        <v>0</v>
      </c>
      <c r="H1823" s="1">
        <f>DATE(2024,5,16)</f>
        <v>45428</v>
      </c>
    </row>
    <row r="1824" spans="1:8" x14ac:dyDescent="0.35">
      <c r="A1824" s="2" t="s">
        <v>4750</v>
      </c>
      <c r="B1824" s="2" t="s">
        <v>4751</v>
      </c>
      <c r="C1824" s="2" t="s">
        <v>4752</v>
      </c>
      <c r="D1824" t="s">
        <v>6389</v>
      </c>
      <c r="E1824" t="s">
        <v>7497</v>
      </c>
      <c r="F1824" t="s">
        <v>12</v>
      </c>
      <c r="G1824" t="s">
        <v>0</v>
      </c>
      <c r="H1824" s="1">
        <f>DATE(2024,3,4)</f>
        <v>45355</v>
      </c>
    </row>
    <row r="1825" spans="1:8" x14ac:dyDescent="0.35">
      <c r="A1825" s="2" t="s">
        <v>4753</v>
      </c>
      <c r="B1825" s="2" t="s">
        <v>4754</v>
      </c>
      <c r="C1825" s="2" t="s">
        <v>4755</v>
      </c>
      <c r="D1825" t="s">
        <v>6390</v>
      </c>
      <c r="E1825" t="s">
        <v>7498</v>
      </c>
      <c r="F1825" t="s">
        <v>12</v>
      </c>
      <c r="G1825" t="s">
        <v>0</v>
      </c>
      <c r="H1825" s="1">
        <f>DATE(2023,3,20)</f>
        <v>45005</v>
      </c>
    </row>
    <row r="1826" spans="1:8" x14ac:dyDescent="0.35">
      <c r="A1826" s="2" t="s">
        <v>4756</v>
      </c>
      <c r="B1826" s="2" t="s">
        <v>4757</v>
      </c>
      <c r="C1826" s="2" t="s">
        <v>4758</v>
      </c>
      <c r="D1826" t="s">
        <v>6391</v>
      </c>
      <c r="E1826" t="s">
        <v>7499</v>
      </c>
      <c r="F1826" t="s">
        <v>12</v>
      </c>
      <c r="G1826" t="s">
        <v>0</v>
      </c>
      <c r="H1826" s="1">
        <f>DATE(2024,2,14)</f>
        <v>45336</v>
      </c>
    </row>
    <row r="1827" spans="1:8" x14ac:dyDescent="0.35">
      <c r="A1827" s="2" t="s">
        <v>4759</v>
      </c>
      <c r="B1827" s="2" t="s">
        <v>4760</v>
      </c>
      <c r="C1827" s="2" t="s">
        <v>4761</v>
      </c>
      <c r="D1827" t="s">
        <v>6392</v>
      </c>
      <c r="E1827" t="s">
        <v>7500</v>
      </c>
      <c r="F1827" t="s">
        <v>12</v>
      </c>
      <c r="G1827" t="s">
        <v>0</v>
      </c>
      <c r="H1827" s="1">
        <f>DATE(2023,2,22)</f>
        <v>44979</v>
      </c>
    </row>
    <row r="1828" spans="1:8" x14ac:dyDescent="0.35">
      <c r="A1828" s="2" t="s">
        <v>4762</v>
      </c>
      <c r="B1828" s="2" t="s">
        <v>4763</v>
      </c>
      <c r="C1828" s="2" t="s">
        <v>4764</v>
      </c>
      <c r="D1828" t="s">
        <v>6393</v>
      </c>
      <c r="E1828" t="s">
        <v>7501</v>
      </c>
      <c r="F1828" t="s">
        <v>12</v>
      </c>
      <c r="G1828" t="s">
        <v>0</v>
      </c>
      <c r="H1828" s="1">
        <f>DATE(2023,6,5)</f>
        <v>45082</v>
      </c>
    </row>
    <row r="1829" spans="1:8" x14ac:dyDescent="0.35">
      <c r="A1829" s="2" t="s">
        <v>4765</v>
      </c>
      <c r="B1829" s="2" t="s">
        <v>4766</v>
      </c>
      <c r="C1829" s="2" t="s">
        <v>4767</v>
      </c>
      <c r="D1829" t="s">
        <v>6394</v>
      </c>
      <c r="E1829" t="s">
        <v>7502</v>
      </c>
      <c r="F1829" t="s">
        <v>12</v>
      </c>
      <c r="G1829" t="s">
        <v>0</v>
      </c>
      <c r="H1829" s="1">
        <f>DATE(2024,9,10)</f>
        <v>45545</v>
      </c>
    </row>
    <row r="1830" spans="1:8" x14ac:dyDescent="0.35">
      <c r="A1830" s="2" t="s">
        <v>4768</v>
      </c>
      <c r="B1830" s="2" t="s">
        <v>4769</v>
      </c>
      <c r="C1830" s="2" t="s">
        <v>4770</v>
      </c>
      <c r="D1830" t="s">
        <v>6395</v>
      </c>
      <c r="E1830" t="s">
        <v>7503</v>
      </c>
      <c r="F1830" t="s">
        <v>12</v>
      </c>
      <c r="G1830" t="s">
        <v>0</v>
      </c>
      <c r="H1830" s="1">
        <f>DATE(2024,5,28)</f>
        <v>45440</v>
      </c>
    </row>
    <row r="1831" spans="1:8" x14ac:dyDescent="0.35">
      <c r="A1831" s="2" t="s">
        <v>4771</v>
      </c>
      <c r="B1831" s="2" t="s">
        <v>4772</v>
      </c>
      <c r="C1831" s="2" t="s">
        <v>4773</v>
      </c>
      <c r="D1831" t="s">
        <v>6396</v>
      </c>
      <c r="E1831" t="s">
        <v>7504</v>
      </c>
      <c r="F1831" t="s">
        <v>12</v>
      </c>
      <c r="G1831" t="s">
        <v>0</v>
      </c>
      <c r="H1831" s="1">
        <f>DATE(2024,10,9)</f>
        <v>45574</v>
      </c>
    </row>
    <row r="1832" spans="1:8" x14ac:dyDescent="0.35">
      <c r="A1832" s="2" t="s">
        <v>4774</v>
      </c>
      <c r="B1832" s="2" t="s">
        <v>4775</v>
      </c>
      <c r="C1832" s="2" t="s">
        <v>4776</v>
      </c>
      <c r="D1832" t="s">
        <v>6397</v>
      </c>
      <c r="E1832" t="s">
        <v>7505</v>
      </c>
      <c r="F1832" t="s">
        <v>12</v>
      </c>
      <c r="G1832" t="s">
        <v>0</v>
      </c>
      <c r="H1832" s="1">
        <f>DATE(2024,3,26)</f>
        <v>45377</v>
      </c>
    </row>
    <row r="1833" spans="1:8" x14ac:dyDescent="0.35">
      <c r="A1833" s="2" t="s">
        <v>4777</v>
      </c>
      <c r="B1833" s="2" t="s">
        <v>4778</v>
      </c>
      <c r="C1833" s="2" t="s">
        <v>4779</v>
      </c>
      <c r="D1833" t="s">
        <v>6398</v>
      </c>
      <c r="E1833" t="s">
        <v>7506</v>
      </c>
      <c r="F1833" t="s">
        <v>12</v>
      </c>
      <c r="G1833" t="s">
        <v>0</v>
      </c>
      <c r="H1833" s="1">
        <f>DATE(2024,4,9)</f>
        <v>45391</v>
      </c>
    </row>
    <row r="1834" spans="1:8" x14ac:dyDescent="0.35">
      <c r="A1834" s="2" t="s">
        <v>4780</v>
      </c>
      <c r="B1834" s="2" t="s">
        <v>4781</v>
      </c>
      <c r="C1834" s="2" t="s">
        <v>4782</v>
      </c>
      <c r="D1834" t="s">
        <v>6399</v>
      </c>
      <c r="E1834" t="s">
        <v>7507</v>
      </c>
      <c r="F1834" t="s">
        <v>12</v>
      </c>
      <c r="G1834" t="s">
        <v>0</v>
      </c>
      <c r="H1834" s="1">
        <f>DATE(2024,2,22)</f>
        <v>45344</v>
      </c>
    </row>
    <row r="1835" spans="1:8" x14ac:dyDescent="0.35">
      <c r="A1835" s="2" t="s">
        <v>4783</v>
      </c>
      <c r="B1835" s="2" t="s">
        <v>4784</v>
      </c>
      <c r="C1835" s="2" t="s">
        <v>4785</v>
      </c>
      <c r="D1835" t="s">
        <v>5989</v>
      </c>
      <c r="E1835" t="s">
        <v>7119</v>
      </c>
      <c r="F1835" t="s">
        <v>12</v>
      </c>
      <c r="G1835" t="s">
        <v>0</v>
      </c>
      <c r="H1835" s="1">
        <f>DATE(2024,10,17)</f>
        <v>45582</v>
      </c>
    </row>
    <row r="1836" spans="1:8" x14ac:dyDescent="0.35">
      <c r="A1836" s="2" t="s">
        <v>4786</v>
      </c>
      <c r="B1836" s="2" t="s">
        <v>570</v>
      </c>
      <c r="C1836" s="2" t="s">
        <v>4787</v>
      </c>
      <c r="D1836" t="s">
        <v>5504</v>
      </c>
      <c r="E1836" t="s">
        <v>6633</v>
      </c>
      <c r="F1836" t="s">
        <v>12</v>
      </c>
      <c r="G1836" t="s">
        <v>0</v>
      </c>
      <c r="H1836" s="1">
        <f>DATE(2024,9,17)</f>
        <v>45552</v>
      </c>
    </row>
    <row r="1837" spans="1:8" x14ac:dyDescent="0.35">
      <c r="A1837" s="2" t="s">
        <v>4788</v>
      </c>
      <c r="B1837" s="2" t="s">
        <v>4789</v>
      </c>
      <c r="C1837" s="2" t="s">
        <v>4790</v>
      </c>
      <c r="D1837" t="s">
        <v>6352</v>
      </c>
      <c r="E1837" t="s">
        <v>7462</v>
      </c>
      <c r="F1837" t="s">
        <v>12</v>
      </c>
      <c r="G1837" t="s">
        <v>0</v>
      </c>
      <c r="H1837" s="1">
        <f>DATE(2024,6,13)</f>
        <v>45456</v>
      </c>
    </row>
    <row r="1838" spans="1:8" x14ac:dyDescent="0.35">
      <c r="A1838" s="2" t="s">
        <v>4791</v>
      </c>
      <c r="B1838" s="2" t="s">
        <v>4792</v>
      </c>
      <c r="C1838" s="2" t="s">
        <v>4793</v>
      </c>
      <c r="D1838" t="s">
        <v>6400</v>
      </c>
      <c r="E1838" t="s">
        <v>7508</v>
      </c>
      <c r="F1838" t="s">
        <v>12</v>
      </c>
      <c r="G1838" t="s">
        <v>0</v>
      </c>
      <c r="H1838" s="1">
        <f>DATE(2024,12,11)</f>
        <v>45637</v>
      </c>
    </row>
    <row r="1839" spans="1:8" x14ac:dyDescent="0.35">
      <c r="A1839" s="2" t="s">
        <v>4794</v>
      </c>
      <c r="B1839" s="2" t="s">
        <v>4557</v>
      </c>
      <c r="C1839" s="2" t="s">
        <v>4795</v>
      </c>
      <c r="D1839" t="s">
        <v>6385</v>
      </c>
      <c r="E1839" t="s">
        <v>7492</v>
      </c>
      <c r="F1839" t="s">
        <v>12</v>
      </c>
      <c r="G1839" t="s">
        <v>0</v>
      </c>
      <c r="H1839" s="1">
        <f>DATE(2024,1,26)</f>
        <v>45317</v>
      </c>
    </row>
    <row r="1840" spans="1:8" x14ac:dyDescent="0.35">
      <c r="A1840" s="2" t="s">
        <v>4796</v>
      </c>
      <c r="B1840" s="2" t="s">
        <v>4754</v>
      </c>
      <c r="C1840" s="2" t="s">
        <v>4755</v>
      </c>
      <c r="D1840" t="s">
        <v>6390</v>
      </c>
      <c r="E1840" t="s">
        <v>7498</v>
      </c>
      <c r="F1840" t="s">
        <v>12</v>
      </c>
      <c r="G1840" t="s">
        <v>0</v>
      </c>
      <c r="H1840" s="1">
        <f>DATE(2023,3,20)</f>
        <v>45005</v>
      </c>
    </row>
    <row r="1841" spans="1:8" x14ac:dyDescent="0.35">
      <c r="A1841" s="2" t="s">
        <v>4797</v>
      </c>
      <c r="B1841" s="2" t="s">
        <v>4798</v>
      </c>
      <c r="C1841" s="2" t="s">
        <v>4799</v>
      </c>
      <c r="D1841" t="s">
        <v>6401</v>
      </c>
      <c r="E1841" t="s">
        <v>7509</v>
      </c>
      <c r="F1841" t="s">
        <v>12</v>
      </c>
      <c r="G1841" t="s">
        <v>0</v>
      </c>
      <c r="H1841" s="1">
        <f>DATE(2023,2,22)</f>
        <v>44979</v>
      </c>
    </row>
    <row r="1842" spans="1:8" x14ac:dyDescent="0.35">
      <c r="A1842" s="2" t="s">
        <v>4800</v>
      </c>
      <c r="B1842" s="2" t="s">
        <v>4801</v>
      </c>
      <c r="C1842" s="2" t="s">
        <v>4802</v>
      </c>
      <c r="D1842" t="s">
        <v>6402</v>
      </c>
      <c r="E1842" t="e">
        <v>#VALUE!</v>
      </c>
      <c r="F1842" t="s">
        <v>12</v>
      </c>
      <c r="G1842" t="s">
        <v>0</v>
      </c>
      <c r="H1842" s="1">
        <f>DATE(2025,3,18)</f>
        <v>45734</v>
      </c>
    </row>
    <row r="1843" spans="1:8" x14ac:dyDescent="0.35">
      <c r="A1843" s="2" t="s">
        <v>4803</v>
      </c>
      <c r="B1843" s="2" t="s">
        <v>4804</v>
      </c>
      <c r="C1843" s="2" t="s">
        <v>4805</v>
      </c>
      <c r="D1843" t="s">
        <v>6403</v>
      </c>
      <c r="E1843" t="s">
        <v>7510</v>
      </c>
      <c r="F1843" t="s">
        <v>12</v>
      </c>
      <c r="G1843" t="s">
        <v>0</v>
      </c>
      <c r="H1843" s="1">
        <f>DATE(2025,4,15)</f>
        <v>45762</v>
      </c>
    </row>
    <row r="1844" spans="1:8" x14ac:dyDescent="0.35">
      <c r="A1844" s="2" t="s">
        <v>4806</v>
      </c>
      <c r="B1844" s="2" t="s">
        <v>4587</v>
      </c>
      <c r="C1844" s="2" t="s">
        <v>4807</v>
      </c>
      <c r="D1844" t="s">
        <v>6352</v>
      </c>
      <c r="E1844" t="s">
        <v>7462</v>
      </c>
      <c r="F1844" t="s">
        <v>12</v>
      </c>
      <c r="G1844" t="s">
        <v>0</v>
      </c>
      <c r="H1844" s="1">
        <f>DATE(2024,11,12)</f>
        <v>45608</v>
      </c>
    </row>
    <row r="1845" spans="1:8" x14ac:dyDescent="0.35">
      <c r="A1845" s="2" t="s">
        <v>4808</v>
      </c>
      <c r="B1845" s="2" t="s">
        <v>4809</v>
      </c>
      <c r="C1845" s="2" t="s">
        <v>4810</v>
      </c>
      <c r="D1845" t="s">
        <v>6404</v>
      </c>
      <c r="E1845" t="s">
        <v>7511</v>
      </c>
      <c r="F1845" t="s">
        <v>12</v>
      </c>
      <c r="G1845" t="s">
        <v>0</v>
      </c>
      <c r="H1845" s="1">
        <f>DATE(2025,1,18)</f>
        <v>45675</v>
      </c>
    </row>
    <row r="1846" spans="1:8" x14ac:dyDescent="0.35">
      <c r="A1846" s="2" t="s">
        <v>4811</v>
      </c>
      <c r="B1846" s="2" t="s">
        <v>570</v>
      </c>
      <c r="C1846" s="2" t="s">
        <v>4812</v>
      </c>
      <c r="D1846" t="s">
        <v>5504</v>
      </c>
      <c r="E1846" t="s">
        <v>6633</v>
      </c>
      <c r="F1846" t="s">
        <v>12</v>
      </c>
      <c r="G1846" t="s">
        <v>0</v>
      </c>
      <c r="H1846" s="1">
        <f>DATE(2025,5,12)</f>
        <v>45789</v>
      </c>
    </row>
    <row r="1847" spans="1:8" x14ac:dyDescent="0.35">
      <c r="A1847" s="2" t="s">
        <v>4813</v>
      </c>
      <c r="B1847" s="2" t="s">
        <v>4814</v>
      </c>
      <c r="C1847" s="2" t="s">
        <v>4815</v>
      </c>
      <c r="D1847" t="s">
        <v>6405</v>
      </c>
      <c r="E1847" t="e">
        <v>#VALUE!</v>
      </c>
      <c r="F1847" t="s">
        <v>12</v>
      </c>
      <c r="G1847" t="s">
        <v>0</v>
      </c>
      <c r="H1847" s="1">
        <f>DATE(2025,6,18)</f>
        <v>45826</v>
      </c>
    </row>
    <row r="1848" spans="1:8" x14ac:dyDescent="0.35">
      <c r="A1848" s="2" t="s">
        <v>4816</v>
      </c>
      <c r="B1848" s="2" t="s">
        <v>4817</v>
      </c>
      <c r="C1848" s="2" t="s">
        <v>4818</v>
      </c>
      <c r="D1848" t="s">
        <v>6406</v>
      </c>
      <c r="E1848" t="s">
        <v>7512</v>
      </c>
      <c r="F1848" t="s">
        <v>12</v>
      </c>
      <c r="G1848" t="s">
        <v>0</v>
      </c>
      <c r="H1848" s="1">
        <f>DATE(2024,6,12)</f>
        <v>45455</v>
      </c>
    </row>
    <row r="1849" spans="1:8" x14ac:dyDescent="0.35">
      <c r="A1849" s="2" t="s">
        <v>4819</v>
      </c>
      <c r="B1849" s="2" t="s">
        <v>570</v>
      </c>
      <c r="C1849" s="2" t="s">
        <v>4820</v>
      </c>
      <c r="D1849" t="s">
        <v>5504</v>
      </c>
      <c r="E1849" t="s">
        <v>6633</v>
      </c>
      <c r="F1849" t="s">
        <v>12</v>
      </c>
      <c r="G1849" t="s">
        <v>0</v>
      </c>
      <c r="H1849" s="1">
        <f>DATE(2024,12,23)</f>
        <v>45649</v>
      </c>
    </row>
    <row r="1850" spans="1:8" x14ac:dyDescent="0.35">
      <c r="A1850" s="2" t="s">
        <v>4821</v>
      </c>
      <c r="B1850" s="2" t="s">
        <v>3061</v>
      </c>
      <c r="C1850" s="2" t="s">
        <v>2319</v>
      </c>
      <c r="D1850" t="s">
        <v>5927</v>
      </c>
      <c r="E1850" t="s">
        <v>7057</v>
      </c>
      <c r="F1850" t="s">
        <v>12</v>
      </c>
      <c r="G1850" t="s">
        <v>0</v>
      </c>
      <c r="H1850" s="1">
        <f>DATE(2023,2,22)</f>
        <v>44979</v>
      </c>
    </row>
    <row r="1851" spans="1:8" x14ac:dyDescent="0.35">
      <c r="A1851" s="2" t="s">
        <v>4822</v>
      </c>
      <c r="B1851" s="2" t="s">
        <v>4823</v>
      </c>
      <c r="C1851" s="2" t="s">
        <v>4824</v>
      </c>
      <c r="D1851" t="s">
        <v>6407</v>
      </c>
      <c r="E1851" t="s">
        <v>7513</v>
      </c>
      <c r="F1851" t="s">
        <v>12</v>
      </c>
      <c r="G1851" t="s">
        <v>0</v>
      </c>
      <c r="H1851" s="1">
        <f>DATE(2024,4,5)</f>
        <v>45387</v>
      </c>
    </row>
    <row r="1852" spans="1:8" x14ac:dyDescent="0.35">
      <c r="A1852" s="2" t="s">
        <v>4825</v>
      </c>
      <c r="B1852" s="2" t="s">
        <v>4826</v>
      </c>
      <c r="C1852" s="2" t="s">
        <v>4827</v>
      </c>
      <c r="D1852" t="s">
        <v>6408</v>
      </c>
      <c r="E1852" t="s">
        <v>7514</v>
      </c>
      <c r="F1852" t="s">
        <v>12</v>
      </c>
      <c r="G1852" t="s">
        <v>0</v>
      </c>
      <c r="H1852" s="1">
        <f>DATE(2023,9,25)</f>
        <v>45194</v>
      </c>
    </row>
    <row r="1853" spans="1:8" x14ac:dyDescent="0.35">
      <c r="A1853" s="2" t="s">
        <v>4828</v>
      </c>
      <c r="B1853" s="2" t="s">
        <v>4728</v>
      </c>
      <c r="C1853" s="2" t="s">
        <v>4829</v>
      </c>
      <c r="D1853" t="s">
        <v>6244</v>
      </c>
      <c r="E1853" t="s">
        <v>7371</v>
      </c>
      <c r="F1853" t="s">
        <v>12</v>
      </c>
      <c r="G1853" t="s">
        <v>0</v>
      </c>
      <c r="H1853" s="1">
        <f>DATE(2025,3,3)</f>
        <v>45719</v>
      </c>
    </row>
    <row r="1854" spans="1:8" x14ac:dyDescent="0.35">
      <c r="A1854" s="2" t="s">
        <v>4830</v>
      </c>
      <c r="B1854" s="2" t="s">
        <v>4831</v>
      </c>
      <c r="C1854" s="2" t="s">
        <v>4832</v>
      </c>
      <c r="D1854" t="s">
        <v>6386</v>
      </c>
      <c r="E1854" t="s">
        <v>7493</v>
      </c>
      <c r="F1854" t="s">
        <v>12</v>
      </c>
      <c r="G1854" t="s">
        <v>0</v>
      </c>
      <c r="H1854" s="1">
        <f>DATE(2025,3,3)</f>
        <v>45719</v>
      </c>
    </row>
    <row r="1855" spans="1:8" x14ac:dyDescent="0.35">
      <c r="A1855" s="2" t="s">
        <v>4833</v>
      </c>
      <c r="B1855" s="2" t="s">
        <v>4834</v>
      </c>
      <c r="C1855" s="2" t="s">
        <v>4835</v>
      </c>
      <c r="D1855" t="s">
        <v>6409</v>
      </c>
      <c r="E1855" t="s">
        <v>7515</v>
      </c>
      <c r="F1855" t="s">
        <v>12</v>
      </c>
      <c r="G1855" t="s">
        <v>0</v>
      </c>
      <c r="H1855" s="1">
        <f>DATE(2025,7,16)</f>
        <v>45854</v>
      </c>
    </row>
    <row r="1856" spans="1:8" x14ac:dyDescent="0.35">
      <c r="A1856" s="2" t="s">
        <v>4836</v>
      </c>
      <c r="B1856" s="2" t="s">
        <v>4837</v>
      </c>
      <c r="C1856" s="2" t="s">
        <v>4838</v>
      </c>
      <c r="D1856" t="s">
        <v>6382</v>
      </c>
      <c r="E1856" t="s">
        <v>7491</v>
      </c>
      <c r="F1856" t="s">
        <v>12</v>
      </c>
      <c r="G1856" t="s">
        <v>0</v>
      </c>
      <c r="H1856" s="1">
        <f>DATE(2025,2,14)</f>
        <v>45702</v>
      </c>
    </row>
    <row r="1857" spans="1:8" x14ac:dyDescent="0.35">
      <c r="A1857" s="2" t="s">
        <v>4839</v>
      </c>
      <c r="B1857" s="2" t="s">
        <v>4840</v>
      </c>
      <c r="C1857" s="2" t="s">
        <v>4841</v>
      </c>
      <c r="D1857" t="s">
        <v>6410</v>
      </c>
      <c r="E1857" t="s">
        <v>7516</v>
      </c>
      <c r="F1857" t="s">
        <v>12</v>
      </c>
      <c r="G1857" t="s">
        <v>0</v>
      </c>
      <c r="H1857" s="1">
        <f>DATE(2024,4,4)</f>
        <v>45386</v>
      </c>
    </row>
    <row r="1858" spans="1:8" x14ac:dyDescent="0.35">
      <c r="A1858" s="2" t="s">
        <v>4842</v>
      </c>
      <c r="B1858" s="2" t="s">
        <v>4843</v>
      </c>
      <c r="C1858" s="2" t="s">
        <v>4844</v>
      </c>
      <c r="D1858" t="s">
        <v>6411</v>
      </c>
      <c r="E1858" t="s">
        <v>7517</v>
      </c>
      <c r="F1858" t="s">
        <v>12</v>
      </c>
      <c r="G1858" t="s">
        <v>0</v>
      </c>
      <c r="H1858" s="1">
        <f>DATE(2023,6,26)</f>
        <v>45103</v>
      </c>
    </row>
    <row r="1859" spans="1:8" x14ac:dyDescent="0.35">
      <c r="A1859" s="2" t="s">
        <v>4845</v>
      </c>
      <c r="B1859" s="2" t="s">
        <v>4846</v>
      </c>
      <c r="C1859" s="2" t="s">
        <v>4847</v>
      </c>
      <c r="D1859" t="s">
        <v>6379</v>
      </c>
      <c r="E1859" t="s">
        <v>7488</v>
      </c>
      <c r="F1859" t="s">
        <v>12</v>
      </c>
      <c r="G1859" t="s">
        <v>0</v>
      </c>
      <c r="H1859" s="1">
        <f>DATE(2024,2,16)</f>
        <v>45338</v>
      </c>
    </row>
    <row r="1860" spans="1:8" x14ac:dyDescent="0.35">
      <c r="A1860" s="2" t="s">
        <v>4848</v>
      </c>
      <c r="B1860" s="2" t="s">
        <v>4849</v>
      </c>
      <c r="C1860" s="2" t="s">
        <v>4850</v>
      </c>
      <c r="D1860" t="s">
        <v>6412</v>
      </c>
      <c r="E1860" t="s">
        <v>7518</v>
      </c>
      <c r="F1860" t="s">
        <v>12</v>
      </c>
      <c r="G1860" t="s">
        <v>0</v>
      </c>
      <c r="H1860" s="1">
        <f>DATE(2023,2,22)</f>
        <v>44979</v>
      </c>
    </row>
    <row r="1861" spans="1:8" x14ac:dyDescent="0.35">
      <c r="A1861" s="2" t="s">
        <v>4851</v>
      </c>
      <c r="B1861" s="2" t="s">
        <v>4852</v>
      </c>
      <c r="C1861" s="2" t="s">
        <v>4853</v>
      </c>
      <c r="D1861" t="s">
        <v>6413</v>
      </c>
      <c r="E1861" t="s">
        <v>7519</v>
      </c>
      <c r="F1861" t="s">
        <v>12</v>
      </c>
      <c r="G1861" t="s">
        <v>0</v>
      </c>
      <c r="H1861" s="1">
        <f>DATE(2024,3,22)</f>
        <v>45373</v>
      </c>
    </row>
    <row r="1862" spans="1:8" x14ac:dyDescent="0.35">
      <c r="A1862" s="2" t="s">
        <v>4854</v>
      </c>
      <c r="B1862" s="2" t="s">
        <v>1198</v>
      </c>
      <c r="C1862" s="2" t="s">
        <v>4855</v>
      </c>
      <c r="D1862" t="s">
        <v>6414</v>
      </c>
      <c r="E1862" t="s">
        <v>7520</v>
      </c>
      <c r="F1862" t="s">
        <v>12</v>
      </c>
      <c r="G1862" t="s">
        <v>0</v>
      </c>
      <c r="H1862" s="1">
        <f>DATE(2023,2,22)</f>
        <v>44979</v>
      </c>
    </row>
    <row r="1863" spans="1:8" x14ac:dyDescent="0.35">
      <c r="A1863" s="2" t="s">
        <v>4856</v>
      </c>
      <c r="B1863" s="2" t="s">
        <v>4857</v>
      </c>
      <c r="C1863" s="2" t="s">
        <v>4858</v>
      </c>
      <c r="D1863" t="s">
        <v>6352</v>
      </c>
      <c r="E1863" t="s">
        <v>7462</v>
      </c>
      <c r="F1863" t="s">
        <v>12</v>
      </c>
      <c r="G1863" t="s">
        <v>0</v>
      </c>
      <c r="H1863" s="1">
        <f>DATE(2023,7,7)</f>
        <v>45114</v>
      </c>
    </row>
    <row r="1864" spans="1:8" x14ac:dyDescent="0.35">
      <c r="A1864" s="2" t="s">
        <v>4859</v>
      </c>
      <c r="B1864" s="2" t="s">
        <v>4860</v>
      </c>
      <c r="C1864" s="2" t="s">
        <v>4861</v>
      </c>
      <c r="D1864" t="s">
        <v>5999</v>
      </c>
      <c r="E1864" t="s">
        <v>7129</v>
      </c>
      <c r="F1864" t="s">
        <v>12</v>
      </c>
      <c r="G1864" t="s">
        <v>0</v>
      </c>
      <c r="H1864" s="1">
        <f>DATE(2023,2,22)</f>
        <v>44979</v>
      </c>
    </row>
    <row r="1865" spans="1:8" x14ac:dyDescent="0.35">
      <c r="A1865" s="2" t="s">
        <v>4862</v>
      </c>
      <c r="B1865" s="2" t="s">
        <v>570</v>
      </c>
      <c r="C1865" s="2" t="s">
        <v>4863</v>
      </c>
      <c r="D1865" t="s">
        <v>5504</v>
      </c>
      <c r="E1865" t="s">
        <v>6633</v>
      </c>
      <c r="F1865" t="s">
        <v>12</v>
      </c>
      <c r="G1865" t="s">
        <v>0</v>
      </c>
      <c r="H1865" s="1">
        <f>DATE(2023,12,7)</f>
        <v>45267</v>
      </c>
    </row>
    <row r="1866" spans="1:8" x14ac:dyDescent="0.35">
      <c r="A1866" s="2" t="s">
        <v>4864</v>
      </c>
      <c r="B1866" s="2" t="s">
        <v>4865</v>
      </c>
      <c r="C1866" s="2" t="s">
        <v>4866</v>
      </c>
      <c r="D1866" t="s">
        <v>6415</v>
      </c>
      <c r="E1866" t="s">
        <v>7521</v>
      </c>
      <c r="F1866" t="s">
        <v>12</v>
      </c>
      <c r="G1866" t="s">
        <v>0</v>
      </c>
      <c r="H1866" s="1">
        <f>DATE(2024,4,11)</f>
        <v>45393</v>
      </c>
    </row>
    <row r="1867" spans="1:8" x14ac:dyDescent="0.35">
      <c r="A1867" s="2" t="s">
        <v>4867</v>
      </c>
      <c r="B1867" s="2" t="s">
        <v>4868</v>
      </c>
      <c r="C1867" s="2" t="s">
        <v>4869</v>
      </c>
      <c r="D1867" t="s">
        <v>6416</v>
      </c>
      <c r="E1867" t="e">
        <v>#VALUE!</v>
      </c>
      <c r="F1867" t="s">
        <v>12</v>
      </c>
      <c r="G1867" t="s">
        <v>0</v>
      </c>
      <c r="H1867" s="1">
        <f>DATE(2024,5,31)</f>
        <v>45443</v>
      </c>
    </row>
    <row r="1868" spans="1:8" x14ac:dyDescent="0.35">
      <c r="A1868" s="2" t="s">
        <v>4870</v>
      </c>
      <c r="B1868" s="2" t="s">
        <v>4871</v>
      </c>
      <c r="C1868" s="2" t="s">
        <v>4872</v>
      </c>
      <c r="D1868" t="s">
        <v>6417</v>
      </c>
      <c r="E1868" t="s">
        <v>7522</v>
      </c>
      <c r="F1868" t="s">
        <v>12</v>
      </c>
      <c r="G1868" t="s">
        <v>0</v>
      </c>
      <c r="H1868" s="1">
        <f>DATE(2024,3,21)</f>
        <v>45372</v>
      </c>
    </row>
    <row r="1869" spans="1:8" x14ac:dyDescent="0.35">
      <c r="A1869" s="2" t="s">
        <v>4873</v>
      </c>
      <c r="B1869" s="2" t="s">
        <v>4874</v>
      </c>
      <c r="C1869" s="2" t="s">
        <v>4875</v>
      </c>
      <c r="D1869" t="s">
        <v>6418</v>
      </c>
      <c r="E1869" t="e">
        <v>#VALUE!</v>
      </c>
      <c r="F1869" t="s">
        <v>12</v>
      </c>
      <c r="G1869" t="s">
        <v>0</v>
      </c>
      <c r="H1869" s="1">
        <f>DATE(2024,8,26)</f>
        <v>45530</v>
      </c>
    </row>
    <row r="1870" spans="1:8" x14ac:dyDescent="0.35">
      <c r="A1870" s="2" t="s">
        <v>4876</v>
      </c>
      <c r="B1870" s="2" t="s">
        <v>4877</v>
      </c>
      <c r="C1870" s="2" t="s">
        <v>4878</v>
      </c>
      <c r="D1870" t="s">
        <v>5504</v>
      </c>
      <c r="E1870" t="s">
        <v>6633</v>
      </c>
      <c r="F1870" t="s">
        <v>12</v>
      </c>
      <c r="G1870" t="s">
        <v>0</v>
      </c>
      <c r="H1870" s="1">
        <f>DATE(2023,12,7)</f>
        <v>45267</v>
      </c>
    </row>
    <row r="1871" spans="1:8" x14ac:dyDescent="0.35">
      <c r="A1871" s="2" t="s">
        <v>4879</v>
      </c>
      <c r="B1871" s="2" t="s">
        <v>4880</v>
      </c>
      <c r="C1871" s="2" t="s">
        <v>4881</v>
      </c>
      <c r="D1871" t="s">
        <v>6419</v>
      </c>
      <c r="E1871" t="s">
        <v>7523</v>
      </c>
      <c r="F1871" t="s">
        <v>12</v>
      </c>
      <c r="G1871" t="s">
        <v>0</v>
      </c>
      <c r="H1871" s="1">
        <f>DATE(2024,7,5)</f>
        <v>45478</v>
      </c>
    </row>
    <row r="1872" spans="1:8" x14ac:dyDescent="0.35">
      <c r="A1872" s="2" t="s">
        <v>4882</v>
      </c>
      <c r="B1872" s="2" t="s">
        <v>4883</v>
      </c>
      <c r="C1872" s="2" t="s">
        <v>4884</v>
      </c>
      <c r="D1872" t="s">
        <v>6420</v>
      </c>
      <c r="E1872" t="s">
        <v>7524</v>
      </c>
      <c r="F1872" t="s">
        <v>12</v>
      </c>
      <c r="G1872" t="s">
        <v>0</v>
      </c>
      <c r="H1872" s="1">
        <f>DATE(2024,9,2)</f>
        <v>45537</v>
      </c>
    </row>
    <row r="1873" spans="1:8" x14ac:dyDescent="0.35">
      <c r="A1873" s="2" t="s">
        <v>4885</v>
      </c>
      <c r="B1873" s="2" t="s">
        <v>394</v>
      </c>
      <c r="C1873" s="2" t="s">
        <v>395</v>
      </c>
      <c r="D1873" t="s">
        <v>5465</v>
      </c>
      <c r="E1873" t="s">
        <v>6594</v>
      </c>
      <c r="F1873" t="s">
        <v>12</v>
      </c>
      <c r="G1873" t="s">
        <v>0</v>
      </c>
      <c r="H1873" s="1">
        <f>DATE(2023,4,6)</f>
        <v>45022</v>
      </c>
    </row>
    <row r="1874" spans="1:8" x14ac:dyDescent="0.35">
      <c r="A1874" s="2" t="s">
        <v>4886</v>
      </c>
      <c r="B1874" s="2" t="s">
        <v>4587</v>
      </c>
      <c r="C1874" s="2" t="s">
        <v>4887</v>
      </c>
      <c r="D1874" t="s">
        <v>6352</v>
      </c>
      <c r="E1874" t="s">
        <v>7462</v>
      </c>
      <c r="F1874" t="s">
        <v>12</v>
      </c>
      <c r="G1874" t="s">
        <v>0</v>
      </c>
      <c r="H1874" s="1">
        <f>DATE(2024,6,13)</f>
        <v>45456</v>
      </c>
    </row>
    <row r="1875" spans="1:8" x14ac:dyDescent="0.35">
      <c r="A1875" s="2" t="s">
        <v>4888</v>
      </c>
      <c r="B1875" s="2" t="s">
        <v>4889</v>
      </c>
      <c r="C1875" s="2" t="s">
        <v>4890</v>
      </c>
      <c r="D1875" t="s">
        <v>6421</v>
      </c>
      <c r="E1875" t="e">
        <v>#VALUE!</v>
      </c>
      <c r="F1875" t="s">
        <v>12</v>
      </c>
      <c r="G1875" t="s">
        <v>0</v>
      </c>
      <c r="H1875" s="1">
        <f>DATE(2025,3,27)</f>
        <v>45743</v>
      </c>
    </row>
    <row r="1876" spans="1:8" x14ac:dyDescent="0.35">
      <c r="A1876" s="2" t="s">
        <v>4891</v>
      </c>
      <c r="B1876" s="2" t="s">
        <v>4395</v>
      </c>
      <c r="C1876" s="2" t="s">
        <v>4396</v>
      </c>
      <c r="D1876" t="s">
        <v>6322</v>
      </c>
      <c r="E1876" t="s">
        <v>7432</v>
      </c>
      <c r="F1876" t="s">
        <v>12</v>
      </c>
      <c r="G1876" t="s">
        <v>0</v>
      </c>
      <c r="H1876" s="1">
        <f>DATE(2023,6,26)</f>
        <v>45103</v>
      </c>
    </row>
    <row r="1877" spans="1:8" x14ac:dyDescent="0.35">
      <c r="A1877" s="2" t="s">
        <v>4892</v>
      </c>
      <c r="B1877" s="2" t="s">
        <v>3756</v>
      </c>
      <c r="C1877" s="2" t="s">
        <v>4893</v>
      </c>
      <c r="D1877" t="s">
        <v>5503</v>
      </c>
      <c r="E1877" t="s">
        <v>6632</v>
      </c>
      <c r="F1877" t="s">
        <v>12</v>
      </c>
      <c r="G1877" t="s">
        <v>0</v>
      </c>
      <c r="H1877" s="1">
        <f>DATE(2023,6,26)</f>
        <v>45103</v>
      </c>
    </row>
    <row r="1878" spans="1:8" x14ac:dyDescent="0.35">
      <c r="A1878" s="2" t="s">
        <v>4894</v>
      </c>
      <c r="B1878" s="2" t="s">
        <v>4895</v>
      </c>
      <c r="C1878" s="2" t="s">
        <v>4896</v>
      </c>
      <c r="D1878" t="s">
        <v>6422</v>
      </c>
      <c r="E1878" t="s">
        <v>7525</v>
      </c>
      <c r="F1878" t="s">
        <v>12</v>
      </c>
      <c r="G1878" t="s">
        <v>0</v>
      </c>
      <c r="H1878" s="1">
        <f>DATE(2023,12,21)</f>
        <v>45281</v>
      </c>
    </row>
    <row r="1879" spans="1:8" x14ac:dyDescent="0.35">
      <c r="A1879" s="2" t="s">
        <v>4897</v>
      </c>
      <c r="B1879" s="2" t="s">
        <v>4898</v>
      </c>
      <c r="C1879" s="2" t="s">
        <v>4899</v>
      </c>
      <c r="D1879" t="s">
        <v>6423</v>
      </c>
      <c r="E1879" t="s">
        <v>7526</v>
      </c>
      <c r="F1879" t="s">
        <v>12</v>
      </c>
      <c r="G1879" t="s">
        <v>0</v>
      </c>
      <c r="H1879" s="1">
        <f>DATE(2024,6,18)</f>
        <v>45461</v>
      </c>
    </row>
    <row r="1880" spans="1:8" x14ac:dyDescent="0.35">
      <c r="A1880" s="2" t="s">
        <v>4900</v>
      </c>
      <c r="B1880" s="2" t="s">
        <v>4901</v>
      </c>
      <c r="C1880" s="2" t="s">
        <v>4902</v>
      </c>
      <c r="D1880" t="s">
        <v>6424</v>
      </c>
      <c r="E1880" t="s">
        <v>7527</v>
      </c>
      <c r="F1880" t="s">
        <v>12</v>
      </c>
      <c r="G1880" t="s">
        <v>0</v>
      </c>
      <c r="H1880" s="1">
        <f>DATE(2024,9,6)</f>
        <v>45541</v>
      </c>
    </row>
    <row r="1881" spans="1:8" x14ac:dyDescent="0.35">
      <c r="A1881" s="2" t="s">
        <v>4903</v>
      </c>
      <c r="B1881" s="2" t="s">
        <v>4904</v>
      </c>
      <c r="C1881" s="2" t="s">
        <v>4905</v>
      </c>
      <c r="D1881" t="s">
        <v>6425</v>
      </c>
      <c r="E1881" t="s">
        <v>7528</v>
      </c>
      <c r="F1881" t="s">
        <v>12</v>
      </c>
      <c r="G1881" t="s">
        <v>0</v>
      </c>
      <c r="H1881" s="1">
        <f>DATE(2023,8,8)</f>
        <v>45146</v>
      </c>
    </row>
    <row r="1882" spans="1:8" x14ac:dyDescent="0.35">
      <c r="A1882" s="2" t="s">
        <v>4906</v>
      </c>
      <c r="B1882" s="2" t="s">
        <v>4907</v>
      </c>
      <c r="C1882" s="2" t="s">
        <v>4908</v>
      </c>
      <c r="D1882" t="s">
        <v>6426</v>
      </c>
      <c r="E1882" t="s">
        <v>7529</v>
      </c>
      <c r="F1882" t="s">
        <v>12</v>
      </c>
      <c r="G1882" t="s">
        <v>0</v>
      </c>
      <c r="H1882" s="1">
        <f>DATE(2024,12,26)</f>
        <v>45652</v>
      </c>
    </row>
    <row r="1883" spans="1:8" x14ac:dyDescent="0.35">
      <c r="A1883" s="2" t="s">
        <v>4909</v>
      </c>
      <c r="B1883" s="2" t="s">
        <v>4910</v>
      </c>
      <c r="C1883" s="2" t="s">
        <v>4911</v>
      </c>
      <c r="D1883" t="s">
        <v>6427</v>
      </c>
      <c r="E1883" t="s">
        <v>7530</v>
      </c>
      <c r="F1883" t="s">
        <v>12</v>
      </c>
      <c r="G1883" t="s">
        <v>0</v>
      </c>
      <c r="H1883" s="1">
        <f>DATE(2023,6,26)</f>
        <v>45103</v>
      </c>
    </row>
    <row r="1884" spans="1:8" x14ac:dyDescent="0.35">
      <c r="A1884" s="2" t="s">
        <v>4912</v>
      </c>
      <c r="B1884" s="2" t="s">
        <v>4913</v>
      </c>
      <c r="C1884" s="2" t="s">
        <v>4914</v>
      </c>
      <c r="D1884" t="s">
        <v>6428</v>
      </c>
      <c r="E1884" t="s">
        <v>7531</v>
      </c>
      <c r="F1884" t="s">
        <v>12</v>
      </c>
      <c r="G1884" t="s">
        <v>0</v>
      </c>
      <c r="H1884" s="1">
        <f>DATE(2025,1,17)</f>
        <v>45674</v>
      </c>
    </row>
    <row r="1885" spans="1:8" x14ac:dyDescent="0.35">
      <c r="A1885" s="2" t="s">
        <v>4915</v>
      </c>
      <c r="B1885" s="2" t="s">
        <v>4916</v>
      </c>
      <c r="C1885" s="2" t="s">
        <v>4917</v>
      </c>
      <c r="D1885" t="s">
        <v>6429</v>
      </c>
      <c r="E1885" t="s">
        <v>7532</v>
      </c>
      <c r="F1885" t="s">
        <v>12</v>
      </c>
      <c r="G1885" t="s">
        <v>0</v>
      </c>
      <c r="H1885" s="1">
        <f>DATE(2025,4,8)</f>
        <v>45755</v>
      </c>
    </row>
    <row r="1886" spans="1:8" x14ac:dyDescent="0.35">
      <c r="A1886" s="2" t="s">
        <v>4918</v>
      </c>
      <c r="B1886" s="2" t="s">
        <v>4919</v>
      </c>
      <c r="C1886" s="2" t="s">
        <v>4920</v>
      </c>
      <c r="D1886" t="s">
        <v>6430</v>
      </c>
      <c r="E1886" t="s">
        <v>7533</v>
      </c>
      <c r="F1886" t="s">
        <v>12</v>
      </c>
      <c r="G1886" t="s">
        <v>0</v>
      </c>
      <c r="H1886" s="1">
        <f>DATE(2025,4,8)</f>
        <v>45755</v>
      </c>
    </row>
    <row r="1887" spans="1:8" x14ac:dyDescent="0.35">
      <c r="A1887" s="2" t="s">
        <v>4921</v>
      </c>
      <c r="B1887" s="2" t="s">
        <v>4922</v>
      </c>
      <c r="C1887" s="2" t="s">
        <v>4923</v>
      </c>
      <c r="D1887" t="s">
        <v>6431</v>
      </c>
      <c r="E1887" t="s">
        <v>7534</v>
      </c>
      <c r="F1887" t="s">
        <v>12</v>
      </c>
      <c r="G1887" t="s">
        <v>0</v>
      </c>
      <c r="H1887" s="1">
        <f>DATE(2025,4,9)</f>
        <v>45756</v>
      </c>
    </row>
    <row r="1888" spans="1:8" x14ac:dyDescent="0.35">
      <c r="A1888" s="2" t="s">
        <v>4924</v>
      </c>
      <c r="B1888" s="2" t="s">
        <v>4925</v>
      </c>
      <c r="C1888" s="2" t="s">
        <v>4926</v>
      </c>
      <c r="D1888" t="s">
        <v>6364</v>
      </c>
      <c r="E1888" t="s">
        <v>7473</v>
      </c>
      <c r="F1888" t="s">
        <v>12</v>
      </c>
      <c r="G1888" t="s">
        <v>0</v>
      </c>
      <c r="H1888" s="1">
        <f>DATE(2025,4,14)</f>
        <v>45761</v>
      </c>
    </row>
    <row r="1889" spans="1:8" x14ac:dyDescent="0.35">
      <c r="A1889" s="2" t="s">
        <v>4927</v>
      </c>
      <c r="B1889" s="2" t="s">
        <v>4666</v>
      </c>
      <c r="C1889" s="2" t="s">
        <v>4928</v>
      </c>
      <c r="D1889" t="s">
        <v>6373</v>
      </c>
      <c r="E1889" t="s">
        <v>7482</v>
      </c>
      <c r="F1889" t="s">
        <v>12</v>
      </c>
      <c r="G1889" t="s">
        <v>0</v>
      </c>
      <c r="H1889" s="1">
        <f>DATE(2025,4,16)</f>
        <v>45763</v>
      </c>
    </row>
    <row r="1890" spans="1:8" x14ac:dyDescent="0.35">
      <c r="A1890" s="2" t="s">
        <v>4929</v>
      </c>
      <c r="B1890" s="2" t="s">
        <v>4587</v>
      </c>
      <c r="C1890" s="2" t="s">
        <v>4930</v>
      </c>
      <c r="D1890" t="s">
        <v>6352</v>
      </c>
      <c r="E1890" t="s">
        <v>7462</v>
      </c>
      <c r="F1890" t="s">
        <v>12</v>
      </c>
      <c r="G1890" t="s">
        <v>0</v>
      </c>
      <c r="H1890" s="1">
        <f>DATE(2025,1,13)</f>
        <v>45670</v>
      </c>
    </row>
    <row r="1891" spans="1:8" x14ac:dyDescent="0.35">
      <c r="A1891" s="2" t="s">
        <v>4931</v>
      </c>
      <c r="B1891" s="2" t="s">
        <v>4587</v>
      </c>
      <c r="C1891" s="2" t="s">
        <v>4932</v>
      </c>
      <c r="D1891" t="s">
        <v>6352</v>
      </c>
      <c r="E1891" t="s">
        <v>7462</v>
      </c>
      <c r="F1891" t="s">
        <v>12</v>
      </c>
      <c r="G1891" t="s">
        <v>0</v>
      </c>
      <c r="H1891" s="1">
        <f>DATE(2025,1,7)</f>
        <v>45664</v>
      </c>
    </row>
    <row r="1892" spans="1:8" x14ac:dyDescent="0.35">
      <c r="A1892" s="2" t="s">
        <v>4933</v>
      </c>
      <c r="B1892" s="2" t="s">
        <v>4934</v>
      </c>
      <c r="C1892" s="2" t="s">
        <v>4935</v>
      </c>
      <c r="D1892" t="s">
        <v>6432</v>
      </c>
      <c r="E1892" t="s">
        <v>7535</v>
      </c>
      <c r="F1892" t="s">
        <v>12</v>
      </c>
      <c r="G1892" t="s">
        <v>0</v>
      </c>
      <c r="H1892" s="1">
        <f>DATE(2025,6,30)</f>
        <v>45838</v>
      </c>
    </row>
    <row r="1893" spans="1:8" x14ac:dyDescent="0.35">
      <c r="A1893" s="2" t="s">
        <v>4936</v>
      </c>
      <c r="B1893" s="2" t="s">
        <v>4937</v>
      </c>
      <c r="C1893" s="2" t="s">
        <v>4938</v>
      </c>
      <c r="D1893" t="s">
        <v>6433</v>
      </c>
      <c r="E1893" t="s">
        <v>7536</v>
      </c>
      <c r="F1893" t="s">
        <v>12</v>
      </c>
      <c r="G1893" t="s">
        <v>0</v>
      </c>
      <c r="H1893" s="1">
        <f>DATE(2024,12,23)</f>
        <v>45649</v>
      </c>
    </row>
    <row r="1894" spans="1:8" x14ac:dyDescent="0.35">
      <c r="A1894" s="2" t="s">
        <v>4939</v>
      </c>
      <c r="B1894" s="2" t="s">
        <v>4728</v>
      </c>
      <c r="C1894" s="2" t="s">
        <v>4940</v>
      </c>
      <c r="D1894" t="s">
        <v>6244</v>
      </c>
      <c r="E1894" t="s">
        <v>7371</v>
      </c>
      <c r="F1894" t="s">
        <v>12</v>
      </c>
      <c r="G1894" t="s">
        <v>0</v>
      </c>
      <c r="H1894" s="1">
        <f>DATE(2025,3,3)</f>
        <v>45719</v>
      </c>
    </row>
    <row r="1895" spans="1:8" x14ac:dyDescent="0.35">
      <c r="A1895" s="2" t="s">
        <v>4941</v>
      </c>
      <c r="B1895" s="2" t="s">
        <v>4616</v>
      </c>
      <c r="C1895" s="2" t="s">
        <v>4942</v>
      </c>
      <c r="D1895" t="s">
        <v>6359</v>
      </c>
      <c r="E1895" t="s">
        <v>7469</v>
      </c>
      <c r="F1895" t="s">
        <v>12</v>
      </c>
      <c r="G1895" t="s">
        <v>0</v>
      </c>
      <c r="H1895" s="1">
        <f>DATE(2023,7,11)</f>
        <v>45118</v>
      </c>
    </row>
    <row r="1896" spans="1:8" x14ac:dyDescent="0.35">
      <c r="A1896" s="2" t="s">
        <v>4943</v>
      </c>
      <c r="B1896" s="2" t="s">
        <v>4944</v>
      </c>
      <c r="C1896" s="2" t="s">
        <v>4945</v>
      </c>
      <c r="D1896" t="s">
        <v>6434</v>
      </c>
      <c r="E1896" t="s">
        <v>7537</v>
      </c>
      <c r="F1896" t="s">
        <v>12</v>
      </c>
      <c r="G1896" t="s">
        <v>0</v>
      </c>
      <c r="H1896" s="1">
        <f>DATE(2025,3,17)</f>
        <v>45733</v>
      </c>
    </row>
    <row r="1897" spans="1:8" x14ac:dyDescent="0.35">
      <c r="A1897" s="2" t="s">
        <v>4946</v>
      </c>
      <c r="B1897" s="2" t="s">
        <v>4725</v>
      </c>
      <c r="C1897" s="2" t="s">
        <v>4947</v>
      </c>
      <c r="D1897" t="s">
        <v>6385</v>
      </c>
      <c r="E1897" t="s">
        <v>7492</v>
      </c>
      <c r="F1897" t="s">
        <v>12</v>
      </c>
      <c r="G1897" t="s">
        <v>0</v>
      </c>
      <c r="H1897" s="1">
        <f>DATE(2025,3,3)</f>
        <v>45719</v>
      </c>
    </row>
    <row r="1898" spans="1:8" x14ac:dyDescent="0.35">
      <c r="A1898" s="2" t="s">
        <v>4948</v>
      </c>
      <c r="B1898" s="2" t="s">
        <v>4728</v>
      </c>
      <c r="C1898" s="2" t="s">
        <v>4949</v>
      </c>
      <c r="D1898" t="s">
        <v>6244</v>
      </c>
      <c r="E1898" t="s">
        <v>7371</v>
      </c>
      <c r="F1898" t="s">
        <v>12</v>
      </c>
      <c r="G1898" t="s">
        <v>0</v>
      </c>
      <c r="H1898" s="1">
        <f>DATE(2025,3,3)</f>
        <v>45719</v>
      </c>
    </row>
    <row r="1899" spans="1:8" x14ac:dyDescent="0.35">
      <c r="A1899" s="2" t="s">
        <v>4950</v>
      </c>
      <c r="B1899" s="2" t="s">
        <v>4728</v>
      </c>
      <c r="C1899" s="2" t="s">
        <v>4951</v>
      </c>
      <c r="D1899" t="s">
        <v>6244</v>
      </c>
      <c r="E1899" t="s">
        <v>7371</v>
      </c>
      <c r="F1899" t="s">
        <v>12</v>
      </c>
      <c r="G1899" t="s">
        <v>0</v>
      </c>
      <c r="H1899" s="1">
        <f>DATE(2024,6,24)</f>
        <v>45467</v>
      </c>
    </row>
    <row r="1900" spans="1:8" x14ac:dyDescent="0.35">
      <c r="A1900" s="2" t="s">
        <v>4952</v>
      </c>
      <c r="B1900" s="2" t="s">
        <v>4953</v>
      </c>
      <c r="C1900" s="2" t="s">
        <v>4954</v>
      </c>
      <c r="D1900" t="s">
        <v>5504</v>
      </c>
      <c r="E1900" t="s">
        <v>6633</v>
      </c>
      <c r="F1900" t="s">
        <v>12</v>
      </c>
      <c r="G1900" t="s">
        <v>0</v>
      </c>
      <c r="H1900" s="1">
        <f>DATE(2023,12,7)</f>
        <v>45267</v>
      </c>
    </row>
    <row r="1901" spans="1:8" x14ac:dyDescent="0.35">
      <c r="A1901" s="2" t="s">
        <v>4955</v>
      </c>
      <c r="B1901" s="2" t="s">
        <v>4956</v>
      </c>
      <c r="C1901" s="2" t="s">
        <v>4957</v>
      </c>
      <c r="D1901" t="s">
        <v>6435</v>
      </c>
      <c r="E1901" t="s">
        <v>7538</v>
      </c>
      <c r="F1901" t="s">
        <v>12</v>
      </c>
      <c r="G1901" t="s">
        <v>0</v>
      </c>
      <c r="H1901" s="1">
        <f>DATE(2024,8,29)</f>
        <v>45533</v>
      </c>
    </row>
    <row r="1902" spans="1:8" x14ac:dyDescent="0.35">
      <c r="A1902" s="2" t="s">
        <v>4958</v>
      </c>
      <c r="B1902" s="2" t="s">
        <v>4959</v>
      </c>
      <c r="C1902" s="2" t="s">
        <v>4960</v>
      </c>
      <c r="D1902" t="s">
        <v>5504</v>
      </c>
      <c r="E1902" t="s">
        <v>6633</v>
      </c>
      <c r="F1902" t="s">
        <v>12</v>
      </c>
      <c r="G1902" t="s">
        <v>0</v>
      </c>
      <c r="H1902" s="1">
        <f>DATE(2023,12,7)</f>
        <v>45267</v>
      </c>
    </row>
    <row r="1903" spans="1:8" x14ac:dyDescent="0.35">
      <c r="A1903" s="2" t="s">
        <v>4961</v>
      </c>
      <c r="B1903" s="2" t="s">
        <v>4962</v>
      </c>
      <c r="C1903" s="2" t="s">
        <v>4963</v>
      </c>
      <c r="D1903" t="s">
        <v>5504</v>
      </c>
      <c r="E1903" t="s">
        <v>6633</v>
      </c>
      <c r="F1903" t="s">
        <v>12</v>
      </c>
      <c r="G1903" t="s">
        <v>0</v>
      </c>
      <c r="H1903" s="1">
        <f>DATE(2023,12,7)</f>
        <v>45267</v>
      </c>
    </row>
    <row r="1904" spans="1:8" x14ac:dyDescent="0.35">
      <c r="A1904" s="2" t="s">
        <v>4964</v>
      </c>
      <c r="B1904" s="2" t="s">
        <v>4965</v>
      </c>
      <c r="C1904" s="2" t="s">
        <v>4966</v>
      </c>
      <c r="D1904" t="s">
        <v>6436</v>
      </c>
      <c r="E1904" t="s">
        <v>7539</v>
      </c>
      <c r="F1904" t="s">
        <v>12</v>
      </c>
      <c r="G1904" t="s">
        <v>0</v>
      </c>
      <c r="H1904" s="1">
        <f>DATE(2024,12,6)</f>
        <v>45632</v>
      </c>
    </row>
    <row r="1905" spans="1:8" x14ac:dyDescent="0.35">
      <c r="A1905" s="2" t="s">
        <v>4967</v>
      </c>
      <c r="B1905" s="2" t="s">
        <v>4968</v>
      </c>
      <c r="C1905" s="2" t="s">
        <v>4969</v>
      </c>
      <c r="D1905" t="s">
        <v>6228</v>
      </c>
      <c r="E1905" t="s">
        <v>7356</v>
      </c>
      <c r="F1905" t="s">
        <v>12</v>
      </c>
      <c r="G1905" t="s">
        <v>0</v>
      </c>
      <c r="H1905" s="1">
        <f>DATE(2025,1,10)</f>
        <v>45667</v>
      </c>
    </row>
    <row r="1906" spans="1:8" x14ac:dyDescent="0.35">
      <c r="A1906" s="2" t="s">
        <v>4970</v>
      </c>
      <c r="B1906" s="2" t="s">
        <v>4971</v>
      </c>
      <c r="C1906" s="2" t="s">
        <v>4972</v>
      </c>
      <c r="D1906" t="s">
        <v>6437</v>
      </c>
      <c r="E1906" t="s">
        <v>7540</v>
      </c>
      <c r="F1906" t="s">
        <v>12</v>
      </c>
      <c r="G1906" t="s">
        <v>0</v>
      </c>
      <c r="H1906" s="1">
        <f>DATE(2025,1,15)</f>
        <v>45672</v>
      </c>
    </row>
    <row r="1907" spans="1:8" x14ac:dyDescent="0.35">
      <c r="A1907" s="2" t="s">
        <v>4973</v>
      </c>
      <c r="B1907" s="2" t="s">
        <v>4974</v>
      </c>
      <c r="C1907" s="2" t="s">
        <v>4975</v>
      </c>
      <c r="D1907" t="s">
        <v>5504</v>
      </c>
      <c r="E1907" t="s">
        <v>6633</v>
      </c>
      <c r="F1907" t="s">
        <v>12</v>
      </c>
      <c r="G1907" t="s">
        <v>0</v>
      </c>
      <c r="H1907" s="1">
        <f>DATE(2025,1,29)</f>
        <v>45686</v>
      </c>
    </row>
    <row r="1908" spans="1:8" x14ac:dyDescent="0.35">
      <c r="A1908" s="2" t="s">
        <v>4976</v>
      </c>
      <c r="B1908" s="2" t="s">
        <v>4977</v>
      </c>
      <c r="C1908" s="2" t="s">
        <v>4290</v>
      </c>
      <c r="D1908" t="s">
        <v>6160</v>
      </c>
      <c r="E1908" t="s">
        <v>7290</v>
      </c>
      <c r="F1908" t="s">
        <v>12</v>
      </c>
      <c r="G1908" t="s">
        <v>0</v>
      </c>
      <c r="H1908" s="1">
        <f>DATE(2023,6,26)</f>
        <v>45103</v>
      </c>
    </row>
    <row r="1909" spans="1:8" x14ac:dyDescent="0.35">
      <c r="A1909" s="2" t="s">
        <v>4978</v>
      </c>
      <c r="B1909" s="2" t="s">
        <v>4979</v>
      </c>
      <c r="C1909" s="2" t="s">
        <v>4980</v>
      </c>
      <c r="D1909" t="s">
        <v>6438</v>
      </c>
      <c r="E1909" t="s">
        <v>7541</v>
      </c>
      <c r="F1909" t="s">
        <v>12</v>
      </c>
      <c r="G1909" t="s">
        <v>0</v>
      </c>
      <c r="H1909" s="1">
        <f>DATE(2024,10,28)</f>
        <v>45593</v>
      </c>
    </row>
    <row r="1910" spans="1:8" x14ac:dyDescent="0.35">
      <c r="A1910" s="2" t="s">
        <v>4981</v>
      </c>
      <c r="B1910" s="2" t="s">
        <v>4982</v>
      </c>
      <c r="C1910" s="2" t="s">
        <v>4983</v>
      </c>
      <c r="D1910" t="s">
        <v>6439</v>
      </c>
      <c r="E1910" t="s">
        <v>7542</v>
      </c>
      <c r="F1910" t="s">
        <v>12</v>
      </c>
      <c r="G1910" t="s">
        <v>0</v>
      </c>
      <c r="H1910" s="1">
        <f>DATE(2024,7,17)</f>
        <v>45490</v>
      </c>
    </row>
    <row r="1911" spans="1:8" x14ac:dyDescent="0.35">
      <c r="A1911" s="2" t="s">
        <v>4984</v>
      </c>
      <c r="B1911" s="2" t="s">
        <v>4985</v>
      </c>
      <c r="C1911" s="2" t="s">
        <v>4986</v>
      </c>
      <c r="D1911" t="s">
        <v>6440</v>
      </c>
      <c r="E1911" t="s">
        <v>7543</v>
      </c>
      <c r="F1911" t="s">
        <v>12</v>
      </c>
      <c r="G1911" t="s">
        <v>0</v>
      </c>
      <c r="H1911" s="1">
        <f>DATE(2024,11,19)</f>
        <v>45615</v>
      </c>
    </row>
    <row r="1912" spans="1:8" x14ac:dyDescent="0.35">
      <c r="A1912" s="2" t="s">
        <v>4987</v>
      </c>
      <c r="B1912" s="2" t="s">
        <v>4988</v>
      </c>
      <c r="C1912" s="2" t="s">
        <v>4989</v>
      </c>
      <c r="D1912" t="s">
        <v>6441</v>
      </c>
      <c r="E1912" t="s">
        <v>7544</v>
      </c>
      <c r="F1912" t="s">
        <v>12</v>
      </c>
      <c r="G1912" t="s">
        <v>0</v>
      </c>
      <c r="H1912" s="1">
        <f>DATE(2025,3,11)</f>
        <v>45727</v>
      </c>
    </row>
    <row r="1913" spans="1:8" x14ac:dyDescent="0.35">
      <c r="A1913" s="2" t="s">
        <v>4990</v>
      </c>
      <c r="B1913" s="2" t="s">
        <v>570</v>
      </c>
      <c r="C1913" s="2" t="s">
        <v>4991</v>
      </c>
      <c r="D1913" t="s">
        <v>5504</v>
      </c>
      <c r="E1913" t="s">
        <v>6633</v>
      </c>
      <c r="F1913" t="s">
        <v>12</v>
      </c>
      <c r="G1913" t="s">
        <v>0</v>
      </c>
      <c r="H1913" s="1">
        <f>DATE(2023,9,21)</f>
        <v>45190</v>
      </c>
    </row>
    <row r="1914" spans="1:8" x14ac:dyDescent="0.35">
      <c r="A1914" s="2" t="s">
        <v>4992</v>
      </c>
      <c r="B1914" s="2" t="s">
        <v>4993</v>
      </c>
      <c r="C1914" s="2" t="s">
        <v>4994</v>
      </c>
      <c r="D1914" t="s">
        <v>6442</v>
      </c>
      <c r="E1914" t="s">
        <v>7545</v>
      </c>
      <c r="F1914" t="s">
        <v>12</v>
      </c>
      <c r="G1914" t="s">
        <v>0</v>
      </c>
      <c r="H1914" s="1">
        <f>DATE(2025,4,8)</f>
        <v>45755</v>
      </c>
    </row>
    <row r="1915" spans="1:8" x14ac:dyDescent="0.35">
      <c r="A1915" s="2" t="s">
        <v>4995</v>
      </c>
      <c r="B1915" s="2" t="s">
        <v>4996</v>
      </c>
      <c r="C1915" s="2" t="s">
        <v>4997</v>
      </c>
      <c r="D1915" t="s">
        <v>6443</v>
      </c>
      <c r="E1915" t="s">
        <v>7546</v>
      </c>
      <c r="F1915" t="s">
        <v>12</v>
      </c>
      <c r="G1915" t="s">
        <v>0</v>
      </c>
      <c r="H1915" s="1">
        <f>DATE(2025,1,16)</f>
        <v>45673</v>
      </c>
    </row>
    <row r="1916" spans="1:8" x14ac:dyDescent="0.35">
      <c r="A1916" s="2" t="s">
        <v>4998</v>
      </c>
      <c r="B1916" s="2" t="s">
        <v>4999</v>
      </c>
      <c r="C1916" s="2" t="s">
        <v>5000</v>
      </c>
      <c r="D1916" t="s">
        <v>6444</v>
      </c>
      <c r="E1916" t="s">
        <v>7547</v>
      </c>
      <c r="F1916" t="s">
        <v>12</v>
      </c>
      <c r="G1916" t="s">
        <v>0</v>
      </c>
      <c r="H1916" s="1">
        <f>DATE(2024,10,16)</f>
        <v>45581</v>
      </c>
    </row>
    <row r="1917" spans="1:8" x14ac:dyDescent="0.35">
      <c r="A1917" s="2" t="s">
        <v>5001</v>
      </c>
      <c r="B1917" s="2" t="s">
        <v>5002</v>
      </c>
      <c r="C1917" s="2" t="s">
        <v>5003</v>
      </c>
      <c r="D1917" t="s">
        <v>6445</v>
      </c>
      <c r="E1917" t="s">
        <v>7548</v>
      </c>
      <c r="F1917" t="s">
        <v>12</v>
      </c>
      <c r="G1917" t="s">
        <v>0</v>
      </c>
      <c r="H1917" s="1">
        <f>DATE(2023,2,22)</f>
        <v>44979</v>
      </c>
    </row>
    <row r="1918" spans="1:8" x14ac:dyDescent="0.35">
      <c r="A1918" s="2" t="s">
        <v>5004</v>
      </c>
      <c r="B1918" s="2" t="s">
        <v>5005</v>
      </c>
      <c r="C1918" s="2" t="s">
        <v>5006</v>
      </c>
      <c r="D1918" t="s">
        <v>6091</v>
      </c>
      <c r="E1918" t="s">
        <v>7221</v>
      </c>
      <c r="F1918" t="s">
        <v>12</v>
      </c>
      <c r="G1918" t="s">
        <v>0</v>
      </c>
      <c r="H1918" s="1">
        <f>DATE(2023,4,26)</f>
        <v>45042</v>
      </c>
    </row>
    <row r="1919" spans="1:8" x14ac:dyDescent="0.35">
      <c r="A1919" s="2" t="s">
        <v>5007</v>
      </c>
      <c r="B1919" s="2" t="s">
        <v>5008</v>
      </c>
      <c r="C1919" s="2" t="s">
        <v>5009</v>
      </c>
      <c r="D1919" t="s">
        <v>6446</v>
      </c>
      <c r="E1919" t="s">
        <v>7549</v>
      </c>
      <c r="F1919" t="s">
        <v>12</v>
      </c>
      <c r="G1919" t="s">
        <v>0</v>
      </c>
      <c r="H1919" s="1">
        <f>DATE(2025,6,18)</f>
        <v>45826</v>
      </c>
    </row>
    <row r="1920" spans="1:8" x14ac:dyDescent="0.35">
      <c r="A1920" s="2" t="s">
        <v>5010</v>
      </c>
      <c r="B1920" s="2" t="s">
        <v>4587</v>
      </c>
      <c r="C1920" s="2" t="s">
        <v>5011</v>
      </c>
      <c r="D1920" t="s">
        <v>6352</v>
      </c>
      <c r="E1920" t="s">
        <v>7462</v>
      </c>
      <c r="F1920" t="s">
        <v>12</v>
      </c>
      <c r="G1920" t="s">
        <v>0</v>
      </c>
      <c r="H1920" s="1">
        <f>DATE(2025,1,8)</f>
        <v>45665</v>
      </c>
    </row>
    <row r="1921" spans="1:8" x14ac:dyDescent="0.35">
      <c r="A1921" s="2" t="s">
        <v>5012</v>
      </c>
      <c r="B1921" s="2" t="s">
        <v>5013</v>
      </c>
      <c r="C1921" s="2" t="s">
        <v>5014</v>
      </c>
      <c r="D1921" t="s">
        <v>6447</v>
      </c>
      <c r="E1921" t="s">
        <v>7550</v>
      </c>
      <c r="F1921" t="s">
        <v>12</v>
      </c>
      <c r="G1921" t="s">
        <v>0</v>
      </c>
      <c r="H1921" s="1">
        <f>DATE(2024,9,18)</f>
        <v>45553</v>
      </c>
    </row>
    <row r="1922" spans="1:8" x14ac:dyDescent="0.35">
      <c r="A1922" s="2" t="s">
        <v>5015</v>
      </c>
      <c r="B1922" s="2" t="s">
        <v>5016</v>
      </c>
      <c r="C1922" s="2" t="s">
        <v>5017</v>
      </c>
      <c r="D1922" t="s">
        <v>6448</v>
      </c>
      <c r="E1922" t="s">
        <v>7551</v>
      </c>
      <c r="F1922" t="s">
        <v>12</v>
      </c>
      <c r="G1922" t="s">
        <v>0</v>
      </c>
      <c r="H1922" s="1">
        <f>DATE(2025,4,22)</f>
        <v>45769</v>
      </c>
    </row>
    <row r="1923" spans="1:8" x14ac:dyDescent="0.35">
      <c r="A1923" s="2" t="s">
        <v>5018</v>
      </c>
      <c r="B1923" s="2" t="s">
        <v>5019</v>
      </c>
      <c r="C1923" s="2" t="s">
        <v>5020</v>
      </c>
      <c r="D1923" t="s">
        <v>6449</v>
      </c>
      <c r="E1923" t="s">
        <v>7552</v>
      </c>
      <c r="F1923" t="s">
        <v>12</v>
      </c>
      <c r="G1923" t="s">
        <v>0</v>
      </c>
      <c r="H1923" s="1">
        <f>DATE(2024,6,6)</f>
        <v>45449</v>
      </c>
    </row>
    <row r="1924" spans="1:8" x14ac:dyDescent="0.35">
      <c r="A1924" s="2" t="s">
        <v>5021</v>
      </c>
      <c r="B1924" s="2" t="s">
        <v>3754</v>
      </c>
      <c r="C1924" s="2" t="s">
        <v>5022</v>
      </c>
      <c r="D1924" t="s">
        <v>5503</v>
      </c>
      <c r="E1924" t="s">
        <v>6632</v>
      </c>
      <c r="F1924" t="s">
        <v>12</v>
      </c>
      <c r="G1924" t="s">
        <v>0</v>
      </c>
      <c r="H1924" s="1">
        <f>DATE(2023,6,26)</f>
        <v>45103</v>
      </c>
    </row>
    <row r="1925" spans="1:8" x14ac:dyDescent="0.35">
      <c r="A1925" s="2" t="s">
        <v>5023</v>
      </c>
      <c r="B1925" s="2" t="s">
        <v>5024</v>
      </c>
      <c r="C1925" s="2" t="s">
        <v>5025</v>
      </c>
      <c r="D1925" t="s">
        <v>6450</v>
      </c>
      <c r="E1925" t="s">
        <v>7553</v>
      </c>
      <c r="F1925" t="s">
        <v>12</v>
      </c>
      <c r="G1925" t="s">
        <v>0</v>
      </c>
      <c r="H1925" s="1">
        <f>DATE(2023,4,18)</f>
        <v>45034</v>
      </c>
    </row>
    <row r="1926" spans="1:8" x14ac:dyDescent="0.35">
      <c r="A1926" s="2" t="s">
        <v>5026</v>
      </c>
      <c r="B1926" s="2" t="s">
        <v>4535</v>
      </c>
      <c r="C1926" s="2" t="s">
        <v>5027</v>
      </c>
      <c r="D1926" t="s">
        <v>6339</v>
      </c>
      <c r="E1926" t="s">
        <v>7449</v>
      </c>
      <c r="F1926" t="s">
        <v>12</v>
      </c>
      <c r="G1926" t="s">
        <v>0</v>
      </c>
      <c r="H1926" s="1">
        <f>DATE(2023,10,5)</f>
        <v>45204</v>
      </c>
    </row>
    <row r="1927" spans="1:8" x14ac:dyDescent="0.35">
      <c r="A1927" s="2" t="s">
        <v>5028</v>
      </c>
      <c r="B1927" s="2" t="s">
        <v>570</v>
      </c>
      <c r="C1927" s="2" t="s">
        <v>5029</v>
      </c>
      <c r="D1927" t="s">
        <v>5504</v>
      </c>
      <c r="E1927" t="s">
        <v>6633</v>
      </c>
      <c r="F1927" t="s">
        <v>12</v>
      </c>
      <c r="G1927" t="s">
        <v>0</v>
      </c>
      <c r="H1927" s="1">
        <f>DATE(2024,8,22)</f>
        <v>45526</v>
      </c>
    </row>
    <row r="1928" spans="1:8" x14ac:dyDescent="0.35">
      <c r="A1928" s="2" t="s">
        <v>5030</v>
      </c>
      <c r="B1928" s="2" t="s">
        <v>5031</v>
      </c>
      <c r="C1928" s="2" t="s">
        <v>5032</v>
      </c>
      <c r="D1928" t="s">
        <v>6451</v>
      </c>
      <c r="E1928" t="s">
        <v>7554</v>
      </c>
      <c r="F1928" t="s">
        <v>12</v>
      </c>
      <c r="G1928" t="s">
        <v>0</v>
      </c>
      <c r="H1928" s="1">
        <f>DATE(2024,3,6)</f>
        <v>45357</v>
      </c>
    </row>
    <row r="1929" spans="1:8" x14ac:dyDescent="0.35">
      <c r="A1929" s="2" t="s">
        <v>5033</v>
      </c>
      <c r="B1929" s="2" t="s">
        <v>4775</v>
      </c>
      <c r="C1929" s="2" t="s">
        <v>4776</v>
      </c>
      <c r="D1929" t="s">
        <v>6397</v>
      </c>
      <c r="E1929" t="s">
        <v>7505</v>
      </c>
      <c r="F1929" t="s">
        <v>12</v>
      </c>
      <c r="G1929" t="s">
        <v>0</v>
      </c>
      <c r="H1929" s="1">
        <f>DATE(2024,3,26)</f>
        <v>45377</v>
      </c>
    </row>
    <row r="1930" spans="1:8" x14ac:dyDescent="0.35">
      <c r="A1930" s="2" t="s">
        <v>5034</v>
      </c>
      <c r="B1930" s="2" t="s">
        <v>5035</v>
      </c>
      <c r="C1930" s="2" t="s">
        <v>2607</v>
      </c>
      <c r="D1930" t="s">
        <v>5993</v>
      </c>
      <c r="E1930" t="s">
        <v>7123</v>
      </c>
      <c r="F1930" t="s">
        <v>12</v>
      </c>
      <c r="G1930" t="s">
        <v>0</v>
      </c>
      <c r="H1930" s="1">
        <f>DATE(2023,2,22)</f>
        <v>44979</v>
      </c>
    </row>
    <row r="1931" spans="1:8" x14ac:dyDescent="0.35">
      <c r="A1931" s="2" t="s">
        <v>5036</v>
      </c>
      <c r="B1931" s="2" t="s">
        <v>5037</v>
      </c>
      <c r="C1931" s="2" t="s">
        <v>5038</v>
      </c>
      <c r="D1931" t="s">
        <v>6452</v>
      </c>
      <c r="E1931" t="s">
        <v>7555</v>
      </c>
      <c r="F1931" t="s">
        <v>12</v>
      </c>
      <c r="G1931" t="s">
        <v>0</v>
      </c>
      <c r="H1931" s="1">
        <f>DATE(2024,5,13)</f>
        <v>45425</v>
      </c>
    </row>
    <row r="1932" spans="1:8" x14ac:dyDescent="0.35">
      <c r="A1932" s="2" t="s">
        <v>5039</v>
      </c>
      <c r="B1932" s="2" t="s">
        <v>570</v>
      </c>
      <c r="C1932" s="2" t="s">
        <v>5040</v>
      </c>
      <c r="D1932" t="s">
        <v>5504</v>
      </c>
      <c r="E1932" t="s">
        <v>6633</v>
      </c>
      <c r="F1932" t="s">
        <v>12</v>
      </c>
      <c r="G1932" t="s">
        <v>0</v>
      </c>
      <c r="H1932" s="1">
        <f>DATE(2023,12,7)</f>
        <v>45267</v>
      </c>
    </row>
    <row r="1933" spans="1:8" x14ac:dyDescent="0.35">
      <c r="A1933" s="2" t="s">
        <v>5041</v>
      </c>
      <c r="B1933" s="2" t="s">
        <v>5042</v>
      </c>
      <c r="C1933" s="2" t="s">
        <v>5043</v>
      </c>
      <c r="D1933" t="s">
        <v>6352</v>
      </c>
      <c r="E1933" t="s">
        <v>7462</v>
      </c>
      <c r="F1933" t="s">
        <v>12</v>
      </c>
      <c r="G1933" t="s">
        <v>0</v>
      </c>
      <c r="H1933" s="1">
        <f>DATE(2024,1,12)</f>
        <v>45303</v>
      </c>
    </row>
    <row r="1934" spans="1:8" x14ac:dyDescent="0.35">
      <c r="A1934" s="2" t="s">
        <v>5044</v>
      </c>
      <c r="B1934" s="2" t="s">
        <v>570</v>
      </c>
      <c r="C1934" s="2" t="s">
        <v>5045</v>
      </c>
      <c r="D1934" t="s">
        <v>5504</v>
      </c>
      <c r="E1934" t="s">
        <v>6633</v>
      </c>
      <c r="F1934" t="s">
        <v>12</v>
      </c>
      <c r="G1934" t="s">
        <v>0</v>
      </c>
      <c r="H1934" s="1">
        <f>DATE(2023,12,7)</f>
        <v>45267</v>
      </c>
    </row>
    <row r="1935" spans="1:8" x14ac:dyDescent="0.35">
      <c r="A1935" s="2" t="s">
        <v>5046</v>
      </c>
      <c r="B1935" s="2" t="s">
        <v>5047</v>
      </c>
      <c r="C1935" s="2" t="s">
        <v>5048</v>
      </c>
      <c r="D1935" t="s">
        <v>6352</v>
      </c>
      <c r="E1935" t="s">
        <v>7462</v>
      </c>
      <c r="F1935" t="s">
        <v>12</v>
      </c>
      <c r="G1935" t="s">
        <v>0</v>
      </c>
      <c r="H1935" s="1">
        <f>DATE(2024,6,13)</f>
        <v>45456</v>
      </c>
    </row>
    <row r="1936" spans="1:8" x14ac:dyDescent="0.35">
      <c r="A1936" s="2" t="s">
        <v>5049</v>
      </c>
      <c r="B1936" s="2" t="s">
        <v>3225</v>
      </c>
      <c r="C1936" s="2" t="s">
        <v>5050</v>
      </c>
      <c r="D1936" t="s">
        <v>5941</v>
      </c>
      <c r="E1936" t="s">
        <v>7071</v>
      </c>
      <c r="F1936" t="s">
        <v>12</v>
      </c>
      <c r="G1936" t="s">
        <v>0</v>
      </c>
      <c r="H1936" s="1">
        <f>DATE(2024,10,28)</f>
        <v>45593</v>
      </c>
    </row>
    <row r="1937" spans="1:8" x14ac:dyDescent="0.35">
      <c r="A1937" s="2" t="s">
        <v>5051</v>
      </c>
      <c r="B1937" s="2" t="s">
        <v>570</v>
      </c>
      <c r="C1937" s="2" t="s">
        <v>5052</v>
      </c>
      <c r="D1937" t="s">
        <v>5504</v>
      </c>
      <c r="E1937" t="s">
        <v>6633</v>
      </c>
      <c r="F1937" t="s">
        <v>12</v>
      </c>
      <c r="G1937" t="s">
        <v>0</v>
      </c>
      <c r="H1937" s="1">
        <f>DATE(2023,12,7)</f>
        <v>45267</v>
      </c>
    </row>
    <row r="1938" spans="1:8" x14ac:dyDescent="0.35">
      <c r="A1938" s="2" t="s">
        <v>5053</v>
      </c>
      <c r="B1938" s="2" t="s">
        <v>5054</v>
      </c>
      <c r="C1938" s="2" t="s">
        <v>5055</v>
      </c>
      <c r="D1938" t="s">
        <v>6453</v>
      </c>
      <c r="E1938" t="s">
        <v>7556</v>
      </c>
      <c r="F1938" t="s">
        <v>12</v>
      </c>
      <c r="G1938" t="s">
        <v>0</v>
      </c>
      <c r="H1938" s="1">
        <f>DATE(2024,10,11)</f>
        <v>45576</v>
      </c>
    </row>
    <row r="1939" spans="1:8" x14ac:dyDescent="0.35">
      <c r="A1939" s="2" t="s">
        <v>5056</v>
      </c>
      <c r="B1939" s="2" t="s">
        <v>5057</v>
      </c>
      <c r="C1939" s="2" t="s">
        <v>5058</v>
      </c>
      <c r="D1939" t="s">
        <v>6454</v>
      </c>
      <c r="E1939" t="s">
        <v>7557</v>
      </c>
      <c r="F1939" t="s">
        <v>12</v>
      </c>
      <c r="G1939" t="s">
        <v>0</v>
      </c>
      <c r="H1939" s="1">
        <f>DATE(2024,3,15)</f>
        <v>45366</v>
      </c>
    </row>
    <row r="1940" spans="1:8" x14ac:dyDescent="0.35">
      <c r="A1940" s="2" t="s">
        <v>5059</v>
      </c>
      <c r="B1940" s="2" t="s">
        <v>5060</v>
      </c>
      <c r="C1940" s="2" t="s">
        <v>5061</v>
      </c>
      <c r="D1940" t="s">
        <v>6455</v>
      </c>
      <c r="E1940" t="s">
        <v>7558</v>
      </c>
      <c r="F1940" t="s">
        <v>12</v>
      </c>
      <c r="G1940" t="s">
        <v>0</v>
      </c>
      <c r="H1940" s="1">
        <f>DATE(2024,12,5)</f>
        <v>45631</v>
      </c>
    </row>
    <row r="1941" spans="1:8" x14ac:dyDescent="0.35">
      <c r="A1941" s="2" t="s">
        <v>5062</v>
      </c>
      <c r="B1941" s="2" t="s">
        <v>5063</v>
      </c>
      <c r="C1941" s="2" t="s">
        <v>5064</v>
      </c>
      <c r="D1941" t="s">
        <v>6456</v>
      </c>
      <c r="E1941" t="s">
        <v>7559</v>
      </c>
      <c r="F1941" t="s">
        <v>12</v>
      </c>
      <c r="G1941" t="s">
        <v>0</v>
      </c>
      <c r="H1941" s="1">
        <f>DATE(2024,12,13)</f>
        <v>45639</v>
      </c>
    </row>
    <row r="1942" spans="1:8" x14ac:dyDescent="0.35">
      <c r="A1942" s="2" t="s">
        <v>5065</v>
      </c>
      <c r="B1942" s="2" t="s">
        <v>5066</v>
      </c>
      <c r="C1942" s="2" t="s">
        <v>5067</v>
      </c>
      <c r="D1942" t="s">
        <v>5504</v>
      </c>
      <c r="E1942" t="s">
        <v>6633</v>
      </c>
      <c r="F1942" t="s">
        <v>12</v>
      </c>
      <c r="G1942" t="s">
        <v>0</v>
      </c>
      <c r="H1942" s="1">
        <f>DATE(2023,12,7)</f>
        <v>45267</v>
      </c>
    </row>
    <row r="1943" spans="1:8" x14ac:dyDescent="0.35">
      <c r="A1943" s="2" t="s">
        <v>5068</v>
      </c>
      <c r="B1943" s="2" t="s">
        <v>562</v>
      </c>
      <c r="C1943" s="2" t="s">
        <v>5069</v>
      </c>
      <c r="D1943" t="s">
        <v>5503</v>
      </c>
      <c r="E1943" t="s">
        <v>6632</v>
      </c>
      <c r="F1943" t="s">
        <v>12</v>
      </c>
      <c r="G1943" t="s">
        <v>0</v>
      </c>
      <c r="H1943" s="1">
        <f>DATE(2023,6,26)</f>
        <v>45103</v>
      </c>
    </row>
    <row r="1944" spans="1:8" x14ac:dyDescent="0.35">
      <c r="A1944" s="2" t="s">
        <v>5070</v>
      </c>
      <c r="B1944" s="2" t="s">
        <v>5071</v>
      </c>
      <c r="C1944" s="2" t="s">
        <v>5072</v>
      </c>
      <c r="D1944" t="s">
        <v>6457</v>
      </c>
      <c r="E1944" t="s">
        <v>7560</v>
      </c>
      <c r="F1944" t="s">
        <v>12</v>
      </c>
      <c r="G1944" t="s">
        <v>0</v>
      </c>
      <c r="H1944" s="1">
        <f>DATE(2024,7,29)</f>
        <v>45502</v>
      </c>
    </row>
    <row r="1945" spans="1:8" x14ac:dyDescent="0.35">
      <c r="A1945" s="2" t="s">
        <v>5073</v>
      </c>
      <c r="B1945" s="2" t="s">
        <v>5074</v>
      </c>
      <c r="C1945" s="2" t="s">
        <v>5075</v>
      </c>
      <c r="D1945" t="s">
        <v>5509</v>
      </c>
      <c r="E1945" t="s">
        <v>6638</v>
      </c>
      <c r="F1945" t="s">
        <v>12</v>
      </c>
      <c r="G1945" t="s">
        <v>0</v>
      </c>
      <c r="H1945" s="1">
        <f>DATE(2024,4,5)</f>
        <v>45387</v>
      </c>
    </row>
    <row r="1946" spans="1:8" x14ac:dyDescent="0.35">
      <c r="A1946" s="2" t="s">
        <v>5076</v>
      </c>
      <c r="B1946" s="2" t="s">
        <v>5077</v>
      </c>
      <c r="C1946" s="2" t="s">
        <v>5078</v>
      </c>
      <c r="D1946" t="s">
        <v>6458</v>
      </c>
      <c r="E1946" t="s">
        <v>7561</v>
      </c>
      <c r="F1946" t="s">
        <v>12</v>
      </c>
      <c r="G1946" t="s">
        <v>0</v>
      </c>
      <c r="H1946" s="1">
        <f>DATE(2023,10,11)</f>
        <v>45210</v>
      </c>
    </row>
    <row r="1947" spans="1:8" x14ac:dyDescent="0.35">
      <c r="A1947" s="2" t="s">
        <v>5079</v>
      </c>
      <c r="B1947" s="2" t="s">
        <v>5080</v>
      </c>
      <c r="C1947" s="2" t="s">
        <v>5081</v>
      </c>
      <c r="D1947" t="s">
        <v>6459</v>
      </c>
      <c r="E1947" t="s">
        <v>7562</v>
      </c>
      <c r="F1947" t="s">
        <v>12</v>
      </c>
      <c r="G1947" t="s">
        <v>0</v>
      </c>
      <c r="H1947" s="1">
        <f>DATE(2024,10,4)</f>
        <v>45569</v>
      </c>
    </row>
    <row r="1948" spans="1:8" x14ac:dyDescent="0.35">
      <c r="A1948" s="2" t="s">
        <v>5082</v>
      </c>
      <c r="B1948" s="2" t="s">
        <v>4985</v>
      </c>
      <c r="C1948" s="2" t="s">
        <v>4986</v>
      </c>
      <c r="D1948" t="s">
        <v>6440</v>
      </c>
      <c r="E1948" t="s">
        <v>7543</v>
      </c>
      <c r="F1948" t="s">
        <v>12</v>
      </c>
      <c r="G1948" t="s">
        <v>0</v>
      </c>
      <c r="H1948" s="1">
        <f>DATE(2024,11,19)</f>
        <v>45615</v>
      </c>
    </row>
    <row r="1949" spans="1:8" x14ac:dyDescent="0.35">
      <c r="A1949" s="2" t="s">
        <v>5083</v>
      </c>
      <c r="B1949" s="2" t="s">
        <v>5084</v>
      </c>
      <c r="C1949" s="2" t="s">
        <v>5085</v>
      </c>
      <c r="D1949" t="s">
        <v>6460</v>
      </c>
      <c r="E1949" t="s">
        <v>7563</v>
      </c>
      <c r="F1949" t="s">
        <v>12</v>
      </c>
      <c r="G1949" t="s">
        <v>0</v>
      </c>
      <c r="H1949" s="1">
        <f>DATE(2023,4,12)</f>
        <v>45028</v>
      </c>
    </row>
    <row r="1950" spans="1:8" x14ac:dyDescent="0.35">
      <c r="A1950" s="2" t="s">
        <v>5086</v>
      </c>
      <c r="B1950" s="2" t="s">
        <v>5087</v>
      </c>
      <c r="C1950" s="2" t="s">
        <v>5088</v>
      </c>
      <c r="D1950" t="s">
        <v>6382</v>
      </c>
      <c r="E1950" t="s">
        <v>7491</v>
      </c>
      <c r="F1950" t="s">
        <v>12</v>
      </c>
      <c r="G1950" t="s">
        <v>0</v>
      </c>
      <c r="H1950" s="1">
        <f>DATE(2025,2,6)</f>
        <v>45694</v>
      </c>
    </row>
    <row r="1951" spans="1:8" x14ac:dyDescent="0.35">
      <c r="A1951" s="2" t="s">
        <v>5089</v>
      </c>
      <c r="B1951" s="2" t="s">
        <v>5090</v>
      </c>
      <c r="C1951" s="2" t="s">
        <v>5091</v>
      </c>
      <c r="D1951" t="s">
        <v>6461</v>
      </c>
      <c r="E1951" t="s">
        <v>7564</v>
      </c>
      <c r="F1951" t="s">
        <v>12</v>
      </c>
      <c r="G1951" t="s">
        <v>0</v>
      </c>
      <c r="H1951" s="1">
        <f>DATE(2023,12,4)</f>
        <v>45264</v>
      </c>
    </row>
    <row r="1952" spans="1:8" x14ac:dyDescent="0.35">
      <c r="A1952" s="2" t="s">
        <v>5092</v>
      </c>
      <c r="B1952" s="2" t="s">
        <v>5093</v>
      </c>
      <c r="C1952" s="2" t="s">
        <v>916</v>
      </c>
      <c r="D1952" t="s">
        <v>5570</v>
      </c>
      <c r="E1952" t="s">
        <v>6700</v>
      </c>
      <c r="F1952" t="s">
        <v>12</v>
      </c>
      <c r="G1952" t="s">
        <v>0</v>
      </c>
      <c r="H1952" s="1">
        <f>DATE(2023,3,14)</f>
        <v>44999</v>
      </c>
    </row>
    <row r="1953" spans="1:8" x14ac:dyDescent="0.35">
      <c r="A1953" s="2" t="s">
        <v>5094</v>
      </c>
      <c r="B1953" s="2" t="s">
        <v>5095</v>
      </c>
      <c r="C1953" s="2" t="s">
        <v>5096</v>
      </c>
      <c r="D1953" t="s">
        <v>6462</v>
      </c>
      <c r="E1953" t="s">
        <v>7565</v>
      </c>
      <c r="F1953" t="s">
        <v>12</v>
      </c>
      <c r="G1953" t="s">
        <v>0</v>
      </c>
      <c r="H1953" s="1">
        <f>DATE(2024,9,20)</f>
        <v>45555</v>
      </c>
    </row>
    <row r="1954" spans="1:8" x14ac:dyDescent="0.35">
      <c r="A1954" s="2" t="s">
        <v>5097</v>
      </c>
      <c r="B1954" s="2" t="s">
        <v>5098</v>
      </c>
      <c r="C1954" s="2" t="s">
        <v>8</v>
      </c>
      <c r="D1954" t="s">
        <v>5386</v>
      </c>
      <c r="E1954" t="e">
        <v>#VALUE!</v>
      </c>
      <c r="F1954" t="s">
        <v>9</v>
      </c>
      <c r="G1954" t="s">
        <v>0</v>
      </c>
      <c r="H1954" s="1">
        <f>DATE(2025,3,17)</f>
        <v>45733</v>
      </c>
    </row>
    <row r="1955" spans="1:8" x14ac:dyDescent="0.35">
      <c r="A1955" s="2" t="s">
        <v>5099</v>
      </c>
      <c r="B1955" s="2" t="s">
        <v>5100</v>
      </c>
      <c r="C1955" s="2" t="s">
        <v>5101</v>
      </c>
      <c r="D1955" t="s">
        <v>5504</v>
      </c>
      <c r="E1955" t="s">
        <v>6633</v>
      </c>
      <c r="F1955" t="s">
        <v>12</v>
      </c>
      <c r="G1955" t="s">
        <v>0</v>
      </c>
      <c r="H1955" s="1">
        <f>DATE(2024,12,9)</f>
        <v>45635</v>
      </c>
    </row>
    <row r="1956" spans="1:8" x14ac:dyDescent="0.35">
      <c r="A1956" s="2" t="s">
        <v>5102</v>
      </c>
      <c r="B1956" s="2" t="s">
        <v>5103</v>
      </c>
      <c r="C1956" s="2" t="s">
        <v>5104</v>
      </c>
      <c r="D1956" t="s">
        <v>5504</v>
      </c>
      <c r="E1956" t="s">
        <v>6633</v>
      </c>
      <c r="F1956" t="s">
        <v>12</v>
      </c>
      <c r="G1956" t="s">
        <v>0</v>
      </c>
      <c r="H1956" s="1">
        <f>DATE(2025,1,29)</f>
        <v>45686</v>
      </c>
    </row>
    <row r="1957" spans="1:8" x14ac:dyDescent="0.35">
      <c r="A1957" s="2" t="s">
        <v>5105</v>
      </c>
      <c r="B1957" s="2" t="s">
        <v>452</v>
      </c>
      <c r="C1957" s="2" t="s">
        <v>3086</v>
      </c>
      <c r="D1957" t="s">
        <v>5479</v>
      </c>
      <c r="E1957" t="s">
        <v>6608</v>
      </c>
      <c r="F1957" t="s">
        <v>12</v>
      </c>
      <c r="G1957" t="s">
        <v>0</v>
      </c>
      <c r="H1957" s="1">
        <f>DATE(2023,2,22)</f>
        <v>44979</v>
      </c>
    </row>
    <row r="1958" spans="1:8" x14ac:dyDescent="0.35">
      <c r="A1958" s="2" t="s">
        <v>5106</v>
      </c>
      <c r="B1958" s="2" t="s">
        <v>5107</v>
      </c>
      <c r="C1958" s="2" t="s">
        <v>5108</v>
      </c>
      <c r="D1958" t="s">
        <v>5108</v>
      </c>
      <c r="E1958" t="s">
        <v>7566</v>
      </c>
      <c r="F1958" t="s">
        <v>12</v>
      </c>
      <c r="G1958" t="s">
        <v>0</v>
      </c>
      <c r="H1958" s="1">
        <f>DATE(2025,4,4)</f>
        <v>45751</v>
      </c>
    </row>
    <row r="1959" spans="1:8" x14ac:dyDescent="0.35">
      <c r="A1959" s="2" t="s">
        <v>5109</v>
      </c>
      <c r="B1959" s="2" t="s">
        <v>5110</v>
      </c>
      <c r="C1959" s="2" t="s">
        <v>3845</v>
      </c>
      <c r="D1959" t="s">
        <v>6228</v>
      </c>
      <c r="E1959" t="s">
        <v>7356</v>
      </c>
      <c r="F1959" t="s">
        <v>12</v>
      </c>
      <c r="G1959" t="s">
        <v>0</v>
      </c>
      <c r="H1959" s="1">
        <f>DATE(2025,4,14)</f>
        <v>45761</v>
      </c>
    </row>
    <row r="1960" spans="1:8" x14ac:dyDescent="0.35">
      <c r="A1960" s="2" t="s">
        <v>5111</v>
      </c>
      <c r="B1960" s="2" t="s">
        <v>5112</v>
      </c>
      <c r="C1960" s="2" t="s">
        <v>5113</v>
      </c>
      <c r="D1960" t="s">
        <v>6228</v>
      </c>
      <c r="E1960" t="s">
        <v>7356</v>
      </c>
      <c r="F1960" t="s">
        <v>12</v>
      </c>
      <c r="G1960" t="s">
        <v>0</v>
      </c>
      <c r="H1960" s="1">
        <f>DATE(2025,4,14)</f>
        <v>45761</v>
      </c>
    </row>
    <row r="1961" spans="1:8" x14ac:dyDescent="0.35">
      <c r="A1961" s="2" t="s">
        <v>5114</v>
      </c>
      <c r="B1961" s="2" t="s">
        <v>5115</v>
      </c>
      <c r="C1961" s="2" t="s">
        <v>5116</v>
      </c>
      <c r="D1961" t="s">
        <v>6228</v>
      </c>
      <c r="E1961" t="s">
        <v>7356</v>
      </c>
      <c r="F1961" t="s">
        <v>12</v>
      </c>
      <c r="G1961" t="s">
        <v>0</v>
      </c>
      <c r="H1961" s="1">
        <f>DATE(2025,4,14)</f>
        <v>45761</v>
      </c>
    </row>
    <row r="1962" spans="1:8" x14ac:dyDescent="0.35">
      <c r="A1962" s="2" t="s">
        <v>5117</v>
      </c>
      <c r="B1962" s="2" t="s">
        <v>5118</v>
      </c>
      <c r="C1962" s="2" t="s">
        <v>5119</v>
      </c>
      <c r="D1962" t="s">
        <v>6228</v>
      </c>
      <c r="E1962" t="s">
        <v>7356</v>
      </c>
      <c r="F1962" t="s">
        <v>12</v>
      </c>
      <c r="G1962" t="s">
        <v>0</v>
      </c>
      <c r="H1962" s="1">
        <f>DATE(2025,4,14)</f>
        <v>45761</v>
      </c>
    </row>
    <row r="1963" spans="1:8" x14ac:dyDescent="0.35">
      <c r="A1963" s="2" t="s">
        <v>5120</v>
      </c>
      <c r="B1963" s="2" t="s">
        <v>5121</v>
      </c>
      <c r="C1963" s="2" t="s">
        <v>5122</v>
      </c>
      <c r="D1963" t="s">
        <v>6228</v>
      </c>
      <c r="E1963" t="s">
        <v>7356</v>
      </c>
      <c r="F1963" t="s">
        <v>12</v>
      </c>
      <c r="G1963" t="s">
        <v>0</v>
      </c>
      <c r="H1963" s="1">
        <f>DATE(2025,4,14)</f>
        <v>45761</v>
      </c>
    </row>
    <row r="1964" spans="1:8" x14ac:dyDescent="0.35">
      <c r="A1964" s="2" t="s">
        <v>5123</v>
      </c>
      <c r="B1964" s="2" t="s">
        <v>5124</v>
      </c>
      <c r="C1964" s="2" t="s">
        <v>5125</v>
      </c>
      <c r="D1964" t="s">
        <v>6352</v>
      </c>
      <c r="E1964" t="s">
        <v>7462</v>
      </c>
      <c r="F1964" t="s">
        <v>12</v>
      </c>
      <c r="G1964" t="s">
        <v>0</v>
      </c>
      <c r="H1964" s="1">
        <f>DATE(2024,11,8)</f>
        <v>45604</v>
      </c>
    </row>
    <row r="1965" spans="1:8" x14ac:dyDescent="0.35">
      <c r="A1965" s="2" t="s">
        <v>5126</v>
      </c>
      <c r="B1965" s="2" t="s">
        <v>5124</v>
      </c>
      <c r="C1965" s="2" t="s">
        <v>5127</v>
      </c>
      <c r="D1965" t="s">
        <v>6352</v>
      </c>
      <c r="E1965" t="s">
        <v>7462</v>
      </c>
      <c r="F1965" t="s">
        <v>12</v>
      </c>
      <c r="G1965" t="s">
        <v>0</v>
      </c>
      <c r="H1965" s="1">
        <f>DATE(2024,11,13)</f>
        <v>45609</v>
      </c>
    </row>
    <row r="1966" spans="1:8" x14ac:dyDescent="0.35">
      <c r="A1966" s="2" t="s">
        <v>5128</v>
      </c>
      <c r="B1966" s="2" t="s">
        <v>5129</v>
      </c>
      <c r="C1966" s="2" t="s">
        <v>5130</v>
      </c>
      <c r="D1966" t="s">
        <v>6463</v>
      </c>
      <c r="E1966" t="s">
        <v>7567</v>
      </c>
      <c r="F1966" t="s">
        <v>12</v>
      </c>
      <c r="G1966" t="s">
        <v>0</v>
      </c>
      <c r="H1966" s="1">
        <f>DATE(2024,9,3)</f>
        <v>45538</v>
      </c>
    </row>
    <row r="1967" spans="1:8" x14ac:dyDescent="0.35">
      <c r="A1967" s="2" t="s">
        <v>5131</v>
      </c>
      <c r="B1967" s="2" t="s">
        <v>5132</v>
      </c>
      <c r="C1967" s="2" t="s">
        <v>5133</v>
      </c>
      <c r="D1967" t="s">
        <v>6464</v>
      </c>
      <c r="E1967" t="s">
        <v>7568</v>
      </c>
      <c r="F1967" t="s">
        <v>12</v>
      </c>
      <c r="G1967" t="s">
        <v>0</v>
      </c>
      <c r="H1967" s="1">
        <f>DATE(2025,5,30)</f>
        <v>45807</v>
      </c>
    </row>
    <row r="1968" spans="1:8" x14ac:dyDescent="0.35">
      <c r="A1968" s="2" t="s">
        <v>5134</v>
      </c>
      <c r="B1968" s="2" t="s">
        <v>570</v>
      </c>
      <c r="C1968" s="2" t="s">
        <v>5135</v>
      </c>
      <c r="D1968" t="s">
        <v>5504</v>
      </c>
      <c r="E1968" t="s">
        <v>6633</v>
      </c>
      <c r="F1968" t="s">
        <v>12</v>
      </c>
      <c r="G1968" t="s">
        <v>0</v>
      </c>
      <c r="H1968" s="1">
        <f>DATE(2024,12,23)</f>
        <v>45649</v>
      </c>
    </row>
    <row r="1969" spans="1:8" x14ac:dyDescent="0.35">
      <c r="A1969" s="2" t="s">
        <v>5136</v>
      </c>
      <c r="B1969" s="2" t="s">
        <v>5137</v>
      </c>
      <c r="C1969" s="2" t="s">
        <v>5138</v>
      </c>
      <c r="D1969" t="s">
        <v>6465</v>
      </c>
      <c r="E1969" t="e">
        <v>#VALUE!</v>
      </c>
      <c r="F1969" t="s">
        <v>12</v>
      </c>
      <c r="G1969" t="s">
        <v>0</v>
      </c>
      <c r="H1969" s="1">
        <f>DATE(2025,6,3)</f>
        <v>45811</v>
      </c>
    </row>
    <row r="1970" spans="1:8" x14ac:dyDescent="0.35">
      <c r="A1970" s="2" t="s">
        <v>5139</v>
      </c>
      <c r="B1970" s="2" t="s">
        <v>3746</v>
      </c>
      <c r="C1970" s="2" t="s">
        <v>5140</v>
      </c>
      <c r="D1970" t="s">
        <v>5503</v>
      </c>
      <c r="E1970" t="s">
        <v>6632</v>
      </c>
      <c r="F1970" t="s">
        <v>12</v>
      </c>
      <c r="G1970" t="s">
        <v>0</v>
      </c>
      <c r="H1970" s="1">
        <f>DATE(2023,6,26)</f>
        <v>45103</v>
      </c>
    </row>
    <row r="1971" spans="1:8" x14ac:dyDescent="0.35">
      <c r="A1971" s="2" t="s">
        <v>5141</v>
      </c>
      <c r="B1971" s="2" t="s">
        <v>5142</v>
      </c>
      <c r="C1971" s="2" t="s">
        <v>5143</v>
      </c>
      <c r="D1971" t="s">
        <v>6466</v>
      </c>
      <c r="E1971" t="s">
        <v>7569</v>
      </c>
      <c r="F1971" t="s">
        <v>12</v>
      </c>
      <c r="G1971" t="s">
        <v>0</v>
      </c>
      <c r="H1971" s="1">
        <f>DATE(2024,3,8)</f>
        <v>45359</v>
      </c>
    </row>
    <row r="1972" spans="1:8" x14ac:dyDescent="0.35">
      <c r="A1972" s="2" t="s">
        <v>5144</v>
      </c>
      <c r="B1972" s="2" t="s">
        <v>570</v>
      </c>
      <c r="C1972" s="2" t="s">
        <v>5145</v>
      </c>
      <c r="D1972" t="s">
        <v>5504</v>
      </c>
      <c r="E1972" t="s">
        <v>6633</v>
      </c>
      <c r="F1972" t="s">
        <v>12</v>
      </c>
      <c r="G1972" t="s">
        <v>0</v>
      </c>
      <c r="H1972" s="1">
        <f>DATE(2023,12,7)</f>
        <v>45267</v>
      </c>
    </row>
    <row r="1973" spans="1:8" x14ac:dyDescent="0.35">
      <c r="A1973" s="2" t="s">
        <v>5146</v>
      </c>
      <c r="B1973" s="2" t="s">
        <v>570</v>
      </c>
      <c r="C1973" s="2" t="s">
        <v>5147</v>
      </c>
      <c r="D1973" t="s">
        <v>5504</v>
      </c>
      <c r="E1973" t="s">
        <v>6633</v>
      </c>
      <c r="F1973" t="s">
        <v>12</v>
      </c>
      <c r="G1973" t="s">
        <v>0</v>
      </c>
      <c r="H1973" s="1">
        <f>DATE(2023,12,7)</f>
        <v>45267</v>
      </c>
    </row>
    <row r="1974" spans="1:8" x14ac:dyDescent="0.35">
      <c r="A1974" s="2" t="s">
        <v>5148</v>
      </c>
      <c r="B1974" s="2" t="s">
        <v>5149</v>
      </c>
      <c r="C1974" s="2" t="s">
        <v>5150</v>
      </c>
      <c r="D1974" t="s">
        <v>6467</v>
      </c>
      <c r="E1974" t="s">
        <v>7570</v>
      </c>
      <c r="F1974" t="s">
        <v>12</v>
      </c>
      <c r="G1974" t="s">
        <v>0</v>
      </c>
      <c r="H1974" s="1">
        <f>DATE(2023,11,14)</f>
        <v>45244</v>
      </c>
    </row>
    <row r="1975" spans="1:8" x14ac:dyDescent="0.35">
      <c r="A1975" s="2" t="s">
        <v>5151</v>
      </c>
      <c r="B1975" s="2" t="s">
        <v>5152</v>
      </c>
      <c r="C1975" s="2" t="s">
        <v>5153</v>
      </c>
      <c r="D1975" t="s">
        <v>6468</v>
      </c>
      <c r="E1975" t="s">
        <v>7571</v>
      </c>
      <c r="F1975" t="s">
        <v>12</v>
      </c>
      <c r="G1975" t="s">
        <v>0</v>
      </c>
      <c r="H1975" s="1">
        <f>DATE(2023,10,31)</f>
        <v>45230</v>
      </c>
    </row>
    <row r="1976" spans="1:8" x14ac:dyDescent="0.35">
      <c r="A1976" s="2" t="s">
        <v>5154</v>
      </c>
      <c r="B1976" s="2" t="s">
        <v>5155</v>
      </c>
      <c r="C1976" s="2" t="s">
        <v>5156</v>
      </c>
      <c r="D1976" t="s">
        <v>6469</v>
      </c>
      <c r="E1976" t="e">
        <v>#VALUE!</v>
      </c>
      <c r="F1976" t="s">
        <v>50</v>
      </c>
      <c r="G1976" t="s">
        <v>0</v>
      </c>
      <c r="H1976" s="1">
        <f>DATE(2024,8,12)</f>
        <v>45516</v>
      </c>
    </row>
    <row r="1977" spans="1:8" x14ac:dyDescent="0.35">
      <c r="A1977" s="2" t="s">
        <v>5157</v>
      </c>
      <c r="B1977" s="2" t="s">
        <v>570</v>
      </c>
      <c r="C1977" s="2" t="s">
        <v>5158</v>
      </c>
      <c r="D1977" t="s">
        <v>5504</v>
      </c>
      <c r="E1977" t="s">
        <v>6633</v>
      </c>
      <c r="F1977" t="s">
        <v>12</v>
      </c>
      <c r="G1977" t="s">
        <v>0</v>
      </c>
      <c r="H1977" s="1">
        <f>DATE(2024,8,22)</f>
        <v>45526</v>
      </c>
    </row>
    <row r="1978" spans="1:8" x14ac:dyDescent="0.35">
      <c r="A1978" s="2" t="s">
        <v>5159</v>
      </c>
      <c r="B1978" s="2" t="s">
        <v>5160</v>
      </c>
      <c r="C1978" s="2" t="s">
        <v>5161</v>
      </c>
      <c r="D1978" t="s">
        <v>6470</v>
      </c>
      <c r="E1978" t="s">
        <v>7572</v>
      </c>
      <c r="F1978" t="s">
        <v>12</v>
      </c>
      <c r="G1978" t="s">
        <v>0</v>
      </c>
      <c r="H1978" s="1">
        <f>DATE(2024,1,18)</f>
        <v>45309</v>
      </c>
    </row>
    <row r="1979" spans="1:8" x14ac:dyDescent="0.35">
      <c r="A1979" s="2" t="s">
        <v>5162</v>
      </c>
      <c r="B1979" s="2" t="s">
        <v>5163</v>
      </c>
      <c r="C1979" s="2" t="s">
        <v>5164</v>
      </c>
      <c r="D1979" t="s">
        <v>6471</v>
      </c>
      <c r="E1979" t="s">
        <v>7573</v>
      </c>
      <c r="F1979" t="s">
        <v>12</v>
      </c>
      <c r="G1979" t="s">
        <v>0</v>
      </c>
      <c r="H1979" s="1">
        <f>DATE(2024,4,18)</f>
        <v>45400</v>
      </c>
    </row>
    <row r="1980" spans="1:8" x14ac:dyDescent="0.35">
      <c r="A1980" s="2" t="s">
        <v>5165</v>
      </c>
      <c r="B1980" s="2" t="s">
        <v>5166</v>
      </c>
      <c r="C1980" s="2" t="s">
        <v>5167</v>
      </c>
      <c r="D1980" t="s">
        <v>6472</v>
      </c>
      <c r="E1980" t="e">
        <v>#VALUE!</v>
      </c>
      <c r="F1980" t="s">
        <v>4103</v>
      </c>
      <c r="G1980" t="s">
        <v>0</v>
      </c>
      <c r="H1980" s="1">
        <f>DATE(2024,9,10)</f>
        <v>45545</v>
      </c>
    </row>
    <row r="1981" spans="1:8" x14ac:dyDescent="0.35">
      <c r="A1981" s="2" t="s">
        <v>5168</v>
      </c>
      <c r="B1981" s="2" t="s">
        <v>5169</v>
      </c>
      <c r="C1981" s="2" t="s">
        <v>5170</v>
      </c>
      <c r="D1981" t="s">
        <v>6473</v>
      </c>
      <c r="E1981" t="e">
        <v>#VALUE!</v>
      </c>
      <c r="F1981" t="s">
        <v>4191</v>
      </c>
      <c r="G1981" t="s">
        <v>0</v>
      </c>
      <c r="H1981" s="1">
        <f>DATE(2024,9,10)</f>
        <v>45545</v>
      </c>
    </row>
    <row r="1982" spans="1:8" x14ac:dyDescent="0.35">
      <c r="A1982" s="2" t="s">
        <v>5171</v>
      </c>
      <c r="B1982" s="2" t="s">
        <v>5172</v>
      </c>
      <c r="C1982" s="2" t="s">
        <v>5173</v>
      </c>
      <c r="D1982" t="s">
        <v>6474</v>
      </c>
      <c r="E1982" t="s">
        <v>7574</v>
      </c>
      <c r="F1982" t="s">
        <v>12</v>
      </c>
      <c r="G1982" t="s">
        <v>0</v>
      </c>
      <c r="H1982" s="1">
        <f>DATE(2024,9,11)</f>
        <v>45546</v>
      </c>
    </row>
    <row r="1983" spans="1:8" x14ac:dyDescent="0.35">
      <c r="A1983" s="2" t="s">
        <v>5174</v>
      </c>
      <c r="B1983" s="2" t="s">
        <v>570</v>
      </c>
      <c r="C1983" s="2" t="s">
        <v>5175</v>
      </c>
      <c r="D1983" t="s">
        <v>5504</v>
      </c>
      <c r="E1983" t="s">
        <v>6633</v>
      </c>
      <c r="F1983" t="s">
        <v>12</v>
      </c>
      <c r="G1983" t="s">
        <v>0</v>
      </c>
      <c r="H1983" s="1">
        <f>DATE(2024,9,17)</f>
        <v>45552</v>
      </c>
    </row>
    <row r="1984" spans="1:8" x14ac:dyDescent="0.35">
      <c r="A1984" s="2" t="s">
        <v>5176</v>
      </c>
      <c r="B1984" s="2" t="s">
        <v>5177</v>
      </c>
      <c r="C1984" s="2" t="s">
        <v>5178</v>
      </c>
      <c r="D1984" t="s">
        <v>6475</v>
      </c>
      <c r="E1984" t="s">
        <v>7575</v>
      </c>
      <c r="F1984" t="s">
        <v>12</v>
      </c>
      <c r="G1984" t="s">
        <v>0</v>
      </c>
      <c r="H1984" s="1">
        <f>DATE(2023,2,22)</f>
        <v>44979</v>
      </c>
    </row>
    <row r="1985" spans="1:8" x14ac:dyDescent="0.35">
      <c r="A1985" s="2" t="s">
        <v>5179</v>
      </c>
      <c r="B1985" s="2" t="s">
        <v>5180</v>
      </c>
      <c r="C1985" s="2" t="s">
        <v>5181</v>
      </c>
      <c r="D1985" t="s">
        <v>5504</v>
      </c>
      <c r="E1985" t="s">
        <v>6633</v>
      </c>
      <c r="F1985" t="s">
        <v>12</v>
      </c>
      <c r="G1985" t="s">
        <v>0</v>
      </c>
      <c r="H1985" s="1">
        <f>DATE(2023,12,7)</f>
        <v>45267</v>
      </c>
    </row>
    <row r="1986" spans="1:8" x14ac:dyDescent="0.35">
      <c r="A1986" s="2" t="s">
        <v>5182</v>
      </c>
      <c r="B1986" s="2" t="s">
        <v>570</v>
      </c>
      <c r="C1986" s="2" t="s">
        <v>5183</v>
      </c>
      <c r="D1986" t="s">
        <v>5504</v>
      </c>
      <c r="E1986" t="s">
        <v>6633</v>
      </c>
      <c r="F1986" t="s">
        <v>12</v>
      </c>
      <c r="G1986" t="s">
        <v>0</v>
      </c>
      <c r="H1986" s="1">
        <f>DATE(2024,9,18)</f>
        <v>45553</v>
      </c>
    </row>
    <row r="1987" spans="1:8" x14ac:dyDescent="0.35">
      <c r="A1987" s="2" t="s">
        <v>5184</v>
      </c>
      <c r="B1987" s="2" t="s">
        <v>5185</v>
      </c>
      <c r="C1987" s="2" t="s">
        <v>5186</v>
      </c>
      <c r="D1987" t="s">
        <v>6476</v>
      </c>
      <c r="E1987" t="e">
        <v>#VALUE!</v>
      </c>
      <c r="F1987" t="s">
        <v>12</v>
      </c>
      <c r="G1987" t="s">
        <v>0</v>
      </c>
      <c r="H1987" s="1">
        <f>DATE(2024,10,9)</f>
        <v>45574</v>
      </c>
    </row>
    <row r="1988" spans="1:8" x14ac:dyDescent="0.35">
      <c r="A1988" s="2" t="s">
        <v>5187</v>
      </c>
      <c r="B1988" s="2" t="s">
        <v>5188</v>
      </c>
      <c r="C1988" s="2" t="s">
        <v>5189</v>
      </c>
      <c r="D1988" t="s">
        <v>6477</v>
      </c>
      <c r="E1988" t="s">
        <v>7576</v>
      </c>
      <c r="F1988" t="s">
        <v>12</v>
      </c>
      <c r="G1988" t="s">
        <v>0</v>
      </c>
      <c r="H1988" s="1">
        <f>DATE(2024,9,17)</f>
        <v>45552</v>
      </c>
    </row>
    <row r="1989" spans="1:8" x14ac:dyDescent="0.35">
      <c r="A1989" s="2" t="s">
        <v>5190</v>
      </c>
      <c r="B1989" s="2" t="s">
        <v>4695</v>
      </c>
      <c r="C1989" s="2" t="s">
        <v>5191</v>
      </c>
      <c r="D1989" t="s">
        <v>5837</v>
      </c>
      <c r="E1989" t="s">
        <v>6967</v>
      </c>
      <c r="F1989" t="s">
        <v>12</v>
      </c>
      <c r="G1989" t="s">
        <v>0</v>
      </c>
      <c r="H1989" s="1">
        <f>DATE(2023,6,8)</f>
        <v>45085</v>
      </c>
    </row>
    <row r="1990" spans="1:8" x14ac:dyDescent="0.35">
      <c r="A1990" s="2" t="s">
        <v>5192</v>
      </c>
      <c r="B1990" s="2" t="s">
        <v>570</v>
      </c>
      <c r="C1990" s="2" t="s">
        <v>5193</v>
      </c>
      <c r="D1990" t="s">
        <v>5504</v>
      </c>
      <c r="E1990" t="s">
        <v>6633</v>
      </c>
      <c r="F1990" t="s">
        <v>12</v>
      </c>
      <c r="G1990" t="s">
        <v>0</v>
      </c>
      <c r="H1990" s="1">
        <f>DATE(2023,12,7)</f>
        <v>45267</v>
      </c>
    </row>
    <row r="1991" spans="1:8" x14ac:dyDescent="0.35">
      <c r="A1991" s="2" t="s">
        <v>5194</v>
      </c>
      <c r="B1991" s="2" t="s">
        <v>5195</v>
      </c>
      <c r="C1991" s="2" t="s">
        <v>5196</v>
      </c>
      <c r="D1991" t="s">
        <v>5504</v>
      </c>
      <c r="E1991" t="s">
        <v>6633</v>
      </c>
      <c r="F1991" t="s">
        <v>12</v>
      </c>
      <c r="G1991" t="s">
        <v>0</v>
      </c>
      <c r="H1991" s="1">
        <f>DATE(2023,12,7)</f>
        <v>45267</v>
      </c>
    </row>
    <row r="1992" spans="1:8" x14ac:dyDescent="0.35">
      <c r="A1992" s="2" t="s">
        <v>5197</v>
      </c>
      <c r="B1992" s="2" t="s">
        <v>5198</v>
      </c>
      <c r="C1992" s="2" t="s">
        <v>5199</v>
      </c>
      <c r="D1992" t="s">
        <v>5651</v>
      </c>
      <c r="E1992" t="s">
        <v>6781</v>
      </c>
      <c r="F1992" t="s">
        <v>12</v>
      </c>
      <c r="G1992" t="s">
        <v>0</v>
      </c>
      <c r="H1992" s="1">
        <f>DATE(2023,2,22)</f>
        <v>44979</v>
      </c>
    </row>
    <row r="1993" spans="1:8" x14ac:dyDescent="0.35">
      <c r="A1993" s="2" t="s">
        <v>5200</v>
      </c>
      <c r="B1993" s="2" t="s">
        <v>5201</v>
      </c>
      <c r="C1993" s="2" t="s">
        <v>5202</v>
      </c>
      <c r="D1993" t="s">
        <v>5504</v>
      </c>
      <c r="E1993" t="s">
        <v>6633</v>
      </c>
      <c r="F1993" t="s">
        <v>12</v>
      </c>
      <c r="G1993" t="s">
        <v>0</v>
      </c>
      <c r="H1993" s="1">
        <f>DATE(2023,12,7)</f>
        <v>45267</v>
      </c>
    </row>
    <row r="1994" spans="1:8" x14ac:dyDescent="0.35">
      <c r="A1994" s="2" t="s">
        <v>5203</v>
      </c>
      <c r="B1994" s="2" t="s">
        <v>5204</v>
      </c>
      <c r="C1994" s="2" t="s">
        <v>5205</v>
      </c>
      <c r="D1994" t="s">
        <v>6352</v>
      </c>
      <c r="E1994" t="s">
        <v>7462</v>
      </c>
      <c r="F1994" t="s">
        <v>12</v>
      </c>
      <c r="G1994" t="s">
        <v>0</v>
      </c>
      <c r="H1994" s="1">
        <f>DATE(2024,6,13)</f>
        <v>45456</v>
      </c>
    </row>
    <row r="1995" spans="1:8" x14ac:dyDescent="0.35">
      <c r="A1995" s="2" t="s">
        <v>5206</v>
      </c>
      <c r="B1995" s="2" t="s">
        <v>570</v>
      </c>
      <c r="C1995" s="2" t="s">
        <v>5207</v>
      </c>
      <c r="D1995" t="s">
        <v>5504</v>
      </c>
      <c r="E1995" t="s">
        <v>6633</v>
      </c>
      <c r="F1995" t="s">
        <v>12</v>
      </c>
      <c r="G1995" t="s">
        <v>0</v>
      </c>
      <c r="H1995" s="1">
        <f>DATE(2023,12,7)</f>
        <v>45267</v>
      </c>
    </row>
    <row r="1996" spans="1:8" x14ac:dyDescent="0.35">
      <c r="A1996" s="2" t="s">
        <v>5208</v>
      </c>
      <c r="B1996" s="2" t="s">
        <v>5209</v>
      </c>
      <c r="C1996" s="2" t="s">
        <v>5210</v>
      </c>
      <c r="D1996" t="s">
        <v>6386</v>
      </c>
      <c r="E1996" t="s">
        <v>7493</v>
      </c>
      <c r="F1996" t="s">
        <v>12</v>
      </c>
      <c r="G1996" t="s">
        <v>0</v>
      </c>
      <c r="H1996" s="1">
        <f>DATE(2024,1,26)</f>
        <v>45317</v>
      </c>
    </row>
    <row r="1997" spans="1:8" x14ac:dyDescent="0.35">
      <c r="A1997" s="2" t="s">
        <v>5211</v>
      </c>
      <c r="B1997" s="2" t="s">
        <v>273</v>
      </c>
      <c r="C1997" s="2" t="s">
        <v>5212</v>
      </c>
      <c r="D1997" t="s">
        <v>5434</v>
      </c>
      <c r="E1997" t="s">
        <v>6563</v>
      </c>
      <c r="F1997" t="s">
        <v>12</v>
      </c>
      <c r="G1997" t="s">
        <v>0</v>
      </c>
      <c r="H1997" s="1">
        <f>DATE(2023,7,11)</f>
        <v>45118</v>
      </c>
    </row>
    <row r="1998" spans="1:8" x14ac:dyDescent="0.35">
      <c r="A1998" s="2" t="s">
        <v>5213</v>
      </c>
      <c r="B1998" s="2" t="s">
        <v>570</v>
      </c>
      <c r="C1998" s="2" t="s">
        <v>5214</v>
      </c>
      <c r="D1998" t="s">
        <v>5504</v>
      </c>
      <c r="E1998" t="s">
        <v>6633</v>
      </c>
      <c r="F1998" t="s">
        <v>12</v>
      </c>
      <c r="G1998" t="s">
        <v>0</v>
      </c>
      <c r="H1998" s="1">
        <f>DATE(2023,12,7)</f>
        <v>45267</v>
      </c>
    </row>
    <row r="1999" spans="1:8" x14ac:dyDescent="0.35">
      <c r="A1999" s="2" t="s">
        <v>5215</v>
      </c>
      <c r="B1999" s="2" t="s">
        <v>4567</v>
      </c>
      <c r="C1999" s="2" t="s">
        <v>5216</v>
      </c>
      <c r="D1999" t="s">
        <v>6347</v>
      </c>
      <c r="E1999" t="s">
        <v>7457</v>
      </c>
      <c r="F1999" t="s">
        <v>12</v>
      </c>
      <c r="G1999" t="s">
        <v>0</v>
      </c>
      <c r="H1999" s="1">
        <f>DATE(2024,9,17)</f>
        <v>45552</v>
      </c>
    </row>
    <row r="2000" spans="1:8" x14ac:dyDescent="0.35">
      <c r="A2000" s="2" t="s">
        <v>5217</v>
      </c>
      <c r="B2000" s="2" t="s">
        <v>5218</v>
      </c>
      <c r="C2000" s="2" t="s">
        <v>5219</v>
      </c>
      <c r="D2000" t="s">
        <v>5503</v>
      </c>
      <c r="E2000" t="s">
        <v>6632</v>
      </c>
      <c r="F2000" t="s">
        <v>12</v>
      </c>
      <c r="G2000" t="s">
        <v>0</v>
      </c>
      <c r="H2000" s="1">
        <f>DATE(2024,12,13)</f>
        <v>45639</v>
      </c>
    </row>
    <row r="2001" spans="1:8" x14ac:dyDescent="0.35">
      <c r="A2001" s="2" t="s">
        <v>5220</v>
      </c>
      <c r="B2001" s="2" t="s">
        <v>5221</v>
      </c>
      <c r="C2001" s="2" t="s">
        <v>5222</v>
      </c>
      <c r="D2001" t="s">
        <v>6478</v>
      </c>
      <c r="E2001" t="s">
        <v>7577</v>
      </c>
      <c r="F2001" t="s">
        <v>12</v>
      </c>
      <c r="G2001" t="s">
        <v>0</v>
      </c>
      <c r="H2001" s="1">
        <f>DATE(2024,9,12)</f>
        <v>45547</v>
      </c>
    </row>
    <row r="2002" spans="1:8" x14ac:dyDescent="0.35">
      <c r="A2002" s="2" t="s">
        <v>5223</v>
      </c>
      <c r="B2002" s="2" t="s">
        <v>5224</v>
      </c>
      <c r="C2002" s="2" t="s">
        <v>5225</v>
      </c>
      <c r="D2002" t="s">
        <v>6479</v>
      </c>
      <c r="E2002" t="s">
        <v>7578</v>
      </c>
      <c r="F2002" t="s">
        <v>12</v>
      </c>
      <c r="G2002" t="s">
        <v>0</v>
      </c>
      <c r="H2002" s="1">
        <f>DATE(2024,9,16)</f>
        <v>45551</v>
      </c>
    </row>
    <row r="2003" spans="1:8" x14ac:dyDescent="0.35">
      <c r="A2003" s="2" t="s">
        <v>5226</v>
      </c>
      <c r="B2003" s="2" t="s">
        <v>5227</v>
      </c>
      <c r="C2003" s="2" t="s">
        <v>5228</v>
      </c>
      <c r="D2003" t="s">
        <v>6480</v>
      </c>
      <c r="E2003" t="s">
        <v>7579</v>
      </c>
      <c r="F2003" t="s">
        <v>12</v>
      </c>
      <c r="G2003" t="s">
        <v>0</v>
      </c>
      <c r="H2003" s="1">
        <f>DATE(2024,2,9)</f>
        <v>45331</v>
      </c>
    </row>
    <row r="2004" spans="1:8" x14ac:dyDescent="0.35">
      <c r="A2004" s="2" t="s">
        <v>5229</v>
      </c>
      <c r="B2004" s="2" t="s">
        <v>5230</v>
      </c>
      <c r="C2004" s="2" t="s">
        <v>5231</v>
      </c>
      <c r="D2004" t="s">
        <v>6481</v>
      </c>
      <c r="E2004" t="s">
        <v>7580</v>
      </c>
      <c r="F2004" t="s">
        <v>12</v>
      </c>
      <c r="G2004" t="s">
        <v>0</v>
      </c>
      <c r="H2004" s="1">
        <f>DATE(2025,2,11)</f>
        <v>45699</v>
      </c>
    </row>
    <row r="2005" spans="1:8" x14ac:dyDescent="0.35">
      <c r="A2005" s="2" t="s">
        <v>5232</v>
      </c>
      <c r="B2005" s="2" t="s">
        <v>5233</v>
      </c>
      <c r="C2005" s="2" t="s">
        <v>5234</v>
      </c>
      <c r="D2005" t="s">
        <v>5504</v>
      </c>
      <c r="E2005" t="s">
        <v>6633</v>
      </c>
      <c r="F2005" t="s">
        <v>12</v>
      </c>
      <c r="G2005" t="s">
        <v>0</v>
      </c>
      <c r="H2005" s="1">
        <f>DATE(2025,2,21)</f>
        <v>45709</v>
      </c>
    </row>
    <row r="2006" spans="1:8" x14ac:dyDescent="0.35">
      <c r="A2006" s="2" t="s">
        <v>5235</v>
      </c>
      <c r="B2006" s="2" t="s">
        <v>5236</v>
      </c>
      <c r="C2006" s="2" t="s">
        <v>5237</v>
      </c>
      <c r="D2006" t="s">
        <v>6482</v>
      </c>
      <c r="E2006" t="s">
        <v>7581</v>
      </c>
      <c r="F2006" t="s">
        <v>12</v>
      </c>
      <c r="G2006" t="s">
        <v>0</v>
      </c>
      <c r="H2006" s="1">
        <f>DATE(2025,2,5)</f>
        <v>45693</v>
      </c>
    </row>
    <row r="2007" spans="1:8" x14ac:dyDescent="0.35">
      <c r="A2007" s="2" t="s">
        <v>5238</v>
      </c>
      <c r="B2007" s="2" t="s">
        <v>570</v>
      </c>
      <c r="C2007" s="2" t="s">
        <v>5239</v>
      </c>
      <c r="D2007" t="s">
        <v>5504</v>
      </c>
      <c r="E2007" t="s">
        <v>6633</v>
      </c>
      <c r="F2007" t="s">
        <v>12</v>
      </c>
      <c r="G2007" t="s">
        <v>0</v>
      </c>
      <c r="H2007" s="1">
        <f>DATE(2024,12,23)</f>
        <v>45649</v>
      </c>
    </row>
    <row r="2008" spans="1:8" x14ac:dyDescent="0.35">
      <c r="A2008" s="2" t="s">
        <v>5240</v>
      </c>
      <c r="B2008" s="2" t="s">
        <v>5241</v>
      </c>
      <c r="C2008" s="2" t="s">
        <v>5242</v>
      </c>
      <c r="D2008" t="s">
        <v>6483</v>
      </c>
      <c r="E2008" t="e">
        <v>#VALUE!</v>
      </c>
      <c r="F2008" t="s">
        <v>12</v>
      </c>
      <c r="G2008" t="s">
        <v>0</v>
      </c>
      <c r="H2008" s="1">
        <f>DATE(2025,6,3)</f>
        <v>45811</v>
      </c>
    </row>
    <row r="2009" spans="1:8" x14ac:dyDescent="0.35">
      <c r="A2009" s="2" t="s">
        <v>5243</v>
      </c>
      <c r="B2009" s="2" t="s">
        <v>2845</v>
      </c>
      <c r="C2009" s="2" t="s">
        <v>2846</v>
      </c>
      <c r="D2009" t="s">
        <v>6047</v>
      </c>
      <c r="E2009" t="s">
        <v>7177</v>
      </c>
      <c r="F2009" t="s">
        <v>12</v>
      </c>
      <c r="G2009" t="s">
        <v>0</v>
      </c>
      <c r="H2009" s="1">
        <f>DATE(2023,2,22)</f>
        <v>44979</v>
      </c>
    </row>
    <row r="2010" spans="1:8" x14ac:dyDescent="0.35">
      <c r="A2010" s="2" t="s">
        <v>5244</v>
      </c>
      <c r="B2010" s="2" t="s">
        <v>5245</v>
      </c>
      <c r="C2010" s="2" t="s">
        <v>5246</v>
      </c>
      <c r="D2010" t="s">
        <v>6484</v>
      </c>
      <c r="E2010" t="s">
        <v>7582</v>
      </c>
      <c r="F2010" t="s">
        <v>12</v>
      </c>
      <c r="G2010" t="s">
        <v>0</v>
      </c>
      <c r="H2010" s="1">
        <f>DATE(2025,3,7)</f>
        <v>45723</v>
      </c>
    </row>
    <row r="2011" spans="1:8" x14ac:dyDescent="0.35">
      <c r="A2011" s="2" t="s">
        <v>5247</v>
      </c>
      <c r="B2011" s="2" t="s">
        <v>4728</v>
      </c>
      <c r="C2011" s="2" t="s">
        <v>4729</v>
      </c>
      <c r="D2011" t="s">
        <v>6244</v>
      </c>
      <c r="E2011" t="s">
        <v>7371</v>
      </c>
      <c r="F2011" t="s">
        <v>12</v>
      </c>
      <c r="G2011" t="s">
        <v>0</v>
      </c>
      <c r="H2011" s="1">
        <f>DATE(2024,6,24)</f>
        <v>45467</v>
      </c>
    </row>
    <row r="2012" spans="1:8" x14ac:dyDescent="0.35">
      <c r="A2012" s="2" t="s">
        <v>5248</v>
      </c>
      <c r="B2012" s="2" t="s">
        <v>4728</v>
      </c>
      <c r="C2012" s="2" t="s">
        <v>4737</v>
      </c>
      <c r="D2012" t="s">
        <v>6244</v>
      </c>
      <c r="E2012" t="s">
        <v>7371</v>
      </c>
      <c r="F2012" t="s">
        <v>12</v>
      </c>
      <c r="G2012" t="s">
        <v>0</v>
      </c>
      <c r="H2012" s="1">
        <f>DATE(2024,3,27)</f>
        <v>45378</v>
      </c>
    </row>
    <row r="2013" spans="1:8" x14ac:dyDescent="0.35">
      <c r="A2013" s="2" t="s">
        <v>5249</v>
      </c>
      <c r="B2013" s="2" t="s">
        <v>570</v>
      </c>
      <c r="C2013" s="2" t="s">
        <v>5250</v>
      </c>
      <c r="D2013" t="s">
        <v>5504</v>
      </c>
      <c r="E2013" t="s">
        <v>6633</v>
      </c>
      <c r="F2013" t="s">
        <v>12</v>
      </c>
      <c r="G2013" t="s">
        <v>0</v>
      </c>
      <c r="H2013" s="1">
        <f>DATE(2024,12,23)</f>
        <v>45649</v>
      </c>
    </row>
    <row r="2014" spans="1:8" x14ac:dyDescent="0.35">
      <c r="A2014" s="2" t="s">
        <v>5251</v>
      </c>
      <c r="B2014" s="2" t="s">
        <v>5252</v>
      </c>
      <c r="C2014" s="2" t="s">
        <v>5253</v>
      </c>
      <c r="D2014" t="s">
        <v>6485</v>
      </c>
      <c r="E2014" t="s">
        <v>7583</v>
      </c>
      <c r="F2014" t="s">
        <v>12</v>
      </c>
      <c r="G2014" t="s">
        <v>0</v>
      </c>
      <c r="H2014" s="1">
        <f>DATE(2025,3,7)</f>
        <v>45723</v>
      </c>
    </row>
    <row r="2015" spans="1:8" x14ac:dyDescent="0.35">
      <c r="A2015" s="2" t="s">
        <v>5254</v>
      </c>
      <c r="B2015" s="2" t="s">
        <v>5255</v>
      </c>
      <c r="C2015" s="2" t="s">
        <v>5256</v>
      </c>
      <c r="D2015" t="s">
        <v>6486</v>
      </c>
      <c r="E2015" t="s">
        <v>7584</v>
      </c>
      <c r="F2015" t="s">
        <v>12</v>
      </c>
      <c r="G2015" t="s">
        <v>0</v>
      </c>
      <c r="H2015" s="1">
        <f>DATE(2025,5,28)</f>
        <v>45805</v>
      </c>
    </row>
    <row r="2016" spans="1:8" x14ac:dyDescent="0.35">
      <c r="A2016" s="2" t="s">
        <v>5257</v>
      </c>
      <c r="B2016" s="2" t="s">
        <v>5258</v>
      </c>
      <c r="C2016" s="2" t="s">
        <v>5259</v>
      </c>
      <c r="D2016" t="s">
        <v>6487</v>
      </c>
      <c r="E2016" t="e">
        <v>#VALUE!</v>
      </c>
      <c r="F2016" t="s">
        <v>9</v>
      </c>
      <c r="G2016" t="s">
        <v>0</v>
      </c>
      <c r="H2016" s="1">
        <f>DATE(2025,7,16)</f>
        <v>45854</v>
      </c>
    </row>
    <row r="2017" spans="1:8" x14ac:dyDescent="0.35">
      <c r="A2017" s="2" t="s">
        <v>5260</v>
      </c>
      <c r="B2017" s="2" t="s">
        <v>5261</v>
      </c>
      <c r="C2017" s="2" t="s">
        <v>5262</v>
      </c>
      <c r="D2017" t="s">
        <v>6488</v>
      </c>
      <c r="E2017" t="e">
        <v>#VALUE!</v>
      </c>
      <c r="F2017" t="s">
        <v>1245</v>
      </c>
      <c r="G2017" t="s">
        <v>0</v>
      </c>
      <c r="H2017" s="1">
        <f>DATE(2025,7,10)</f>
        <v>45848</v>
      </c>
    </row>
    <row r="2018" spans="1:8" x14ac:dyDescent="0.35">
      <c r="A2018" s="2" t="s">
        <v>5263</v>
      </c>
      <c r="B2018" s="2" t="s">
        <v>5264</v>
      </c>
      <c r="C2018" s="2" t="s">
        <v>2510</v>
      </c>
      <c r="D2018" t="s">
        <v>5974</v>
      </c>
      <c r="E2018" t="s">
        <v>7104</v>
      </c>
      <c r="F2018" t="s">
        <v>12</v>
      </c>
      <c r="G2018" t="s">
        <v>0</v>
      </c>
      <c r="H2018" s="1">
        <f>DATE(2023,2,22)</f>
        <v>44979</v>
      </c>
    </row>
    <row r="2019" spans="1:8" x14ac:dyDescent="0.35">
      <c r="A2019" s="2" t="s">
        <v>5265</v>
      </c>
      <c r="B2019" s="2" t="s">
        <v>5266</v>
      </c>
      <c r="C2019" s="2" t="s">
        <v>5267</v>
      </c>
      <c r="D2019" t="s">
        <v>6489</v>
      </c>
      <c r="E2019" t="s">
        <v>7585</v>
      </c>
      <c r="F2019" t="s">
        <v>12</v>
      </c>
      <c r="G2019" t="s">
        <v>0</v>
      </c>
      <c r="H2019" s="1">
        <f>DATE(2024,7,16)</f>
        <v>45489</v>
      </c>
    </row>
    <row r="2020" spans="1:8" x14ac:dyDescent="0.35">
      <c r="A2020" s="2" t="s">
        <v>5268</v>
      </c>
      <c r="B2020" s="2" t="s">
        <v>5269</v>
      </c>
      <c r="C2020" s="2" t="s">
        <v>5270</v>
      </c>
      <c r="D2020" t="s">
        <v>6490</v>
      </c>
      <c r="E2020" t="s">
        <v>7586</v>
      </c>
      <c r="F2020" t="s">
        <v>12</v>
      </c>
      <c r="G2020" t="s">
        <v>0</v>
      </c>
      <c r="H2020" s="1">
        <f>DATE(2024,2,27)</f>
        <v>45349</v>
      </c>
    </row>
    <row r="2021" spans="1:8" x14ac:dyDescent="0.35">
      <c r="A2021" s="2" t="s">
        <v>5271</v>
      </c>
      <c r="B2021" s="2" t="s">
        <v>1947</v>
      </c>
      <c r="C2021" s="2" t="s">
        <v>5272</v>
      </c>
      <c r="D2021" t="s">
        <v>6491</v>
      </c>
      <c r="E2021" t="s">
        <v>7587</v>
      </c>
      <c r="F2021" t="s">
        <v>12</v>
      </c>
      <c r="G2021" t="s">
        <v>0</v>
      </c>
      <c r="H2021" s="1">
        <f>DATE(2024,8,1)</f>
        <v>45505</v>
      </c>
    </row>
    <row r="2022" spans="1:8" x14ac:dyDescent="0.35">
      <c r="A2022" s="2" t="s">
        <v>5273</v>
      </c>
      <c r="B2022" s="2" t="s">
        <v>5274</v>
      </c>
      <c r="C2022" s="2" t="s">
        <v>5275</v>
      </c>
      <c r="D2022" t="s">
        <v>6429</v>
      </c>
      <c r="E2022" t="s">
        <v>7532</v>
      </c>
      <c r="F2022" t="s">
        <v>12</v>
      </c>
      <c r="G2022" t="s">
        <v>0</v>
      </c>
      <c r="H2022" s="1">
        <f>DATE(2024,8,14)</f>
        <v>45518</v>
      </c>
    </row>
    <row r="2023" spans="1:8" x14ac:dyDescent="0.35">
      <c r="A2023" s="2" t="s">
        <v>5276</v>
      </c>
      <c r="B2023" s="2" t="s">
        <v>5277</v>
      </c>
      <c r="C2023" s="2" t="s">
        <v>5278</v>
      </c>
      <c r="D2023" t="s">
        <v>6492</v>
      </c>
      <c r="E2023" t="e">
        <v>#VALUE!</v>
      </c>
      <c r="F2023" t="s">
        <v>12</v>
      </c>
      <c r="G2023" t="s">
        <v>0</v>
      </c>
      <c r="H2023" s="1">
        <f>DATE(2024,9,10)</f>
        <v>45545</v>
      </c>
    </row>
    <row r="2024" spans="1:8" x14ac:dyDescent="0.35">
      <c r="A2024" s="2" t="s">
        <v>5279</v>
      </c>
      <c r="B2024" s="2" t="s">
        <v>5280</v>
      </c>
      <c r="C2024" s="2" t="s">
        <v>5281</v>
      </c>
      <c r="D2024" t="s">
        <v>5281</v>
      </c>
      <c r="E2024" t="e">
        <v>#VALUE!</v>
      </c>
      <c r="F2024" t="s">
        <v>12</v>
      </c>
      <c r="G2024" t="s">
        <v>0</v>
      </c>
      <c r="H2024" s="1">
        <f>DATE(2024,8,29)</f>
        <v>45533</v>
      </c>
    </row>
    <row r="2025" spans="1:8" x14ac:dyDescent="0.35">
      <c r="A2025" s="2" t="s">
        <v>5282</v>
      </c>
      <c r="B2025" s="2" t="s">
        <v>5283</v>
      </c>
      <c r="C2025" s="2" t="s">
        <v>5284</v>
      </c>
      <c r="D2025" t="s">
        <v>6493</v>
      </c>
      <c r="E2025" t="s">
        <v>7588</v>
      </c>
      <c r="F2025" t="s">
        <v>12</v>
      </c>
      <c r="G2025" t="s">
        <v>0</v>
      </c>
      <c r="H2025" s="1">
        <f>DATE(2024,8,30)</f>
        <v>45534</v>
      </c>
    </row>
    <row r="2026" spans="1:8" x14ac:dyDescent="0.35">
      <c r="A2026" s="2" t="s">
        <v>5285</v>
      </c>
      <c r="B2026" s="2" t="s">
        <v>5286</v>
      </c>
      <c r="D2026" t="s">
        <v>5387</v>
      </c>
      <c r="E2026" t="e">
        <v>#VALUE!</v>
      </c>
      <c r="F2026" t="s">
        <v>12</v>
      </c>
      <c r="G2026" t="s">
        <v>0</v>
      </c>
      <c r="H2026" s="1">
        <f>DATE(2024,9,9)</f>
        <v>45544</v>
      </c>
    </row>
    <row r="2027" spans="1:8" x14ac:dyDescent="0.35">
      <c r="A2027" s="2" t="s">
        <v>5287</v>
      </c>
      <c r="B2027" s="2" t="s">
        <v>5288</v>
      </c>
      <c r="C2027" s="2" t="s">
        <v>5289</v>
      </c>
      <c r="D2027" t="s">
        <v>6494</v>
      </c>
      <c r="E2027" t="s">
        <v>7589</v>
      </c>
      <c r="F2027" t="s">
        <v>12</v>
      </c>
      <c r="G2027" t="s">
        <v>0</v>
      </c>
      <c r="H2027" s="1">
        <f>DATE(2024,9,10)</f>
        <v>45545</v>
      </c>
    </row>
    <row r="2028" spans="1:8" x14ac:dyDescent="0.35">
      <c r="A2028" s="2" t="s">
        <v>5290</v>
      </c>
      <c r="B2028" s="2" t="s">
        <v>5291</v>
      </c>
      <c r="C2028" s="2" t="s">
        <v>5292</v>
      </c>
      <c r="D2028" t="s">
        <v>6495</v>
      </c>
      <c r="E2028" t="s">
        <v>7590</v>
      </c>
      <c r="F2028" t="s">
        <v>12</v>
      </c>
      <c r="G2028" t="s">
        <v>0</v>
      </c>
      <c r="H2028" s="1">
        <f>DATE(2024,9,12)</f>
        <v>45547</v>
      </c>
    </row>
    <row r="2029" spans="1:8" x14ac:dyDescent="0.35">
      <c r="A2029" s="2" t="s">
        <v>5293</v>
      </c>
      <c r="B2029" s="2" t="s">
        <v>5294</v>
      </c>
      <c r="C2029" s="2" t="s">
        <v>5295</v>
      </c>
      <c r="D2029" t="s">
        <v>6496</v>
      </c>
      <c r="E2029" t="s">
        <v>7591</v>
      </c>
      <c r="F2029" t="s">
        <v>12</v>
      </c>
      <c r="G2029" t="s">
        <v>0</v>
      </c>
      <c r="H2029" s="1">
        <f>DATE(2024,9,16)</f>
        <v>45551</v>
      </c>
    </row>
    <row r="2030" spans="1:8" x14ac:dyDescent="0.35">
      <c r="A2030" s="2" t="s">
        <v>5296</v>
      </c>
      <c r="B2030" s="2" t="s">
        <v>570</v>
      </c>
      <c r="C2030" s="2" t="s">
        <v>5297</v>
      </c>
      <c r="D2030" t="s">
        <v>5504</v>
      </c>
      <c r="E2030" t="s">
        <v>6633</v>
      </c>
      <c r="F2030" t="s">
        <v>12</v>
      </c>
      <c r="G2030" t="s">
        <v>0</v>
      </c>
      <c r="H2030" s="1">
        <f>DATE(2024,9,18)</f>
        <v>45553</v>
      </c>
    </row>
    <row r="2031" spans="1:8" x14ac:dyDescent="0.35">
      <c r="A2031" s="2" t="s">
        <v>5298</v>
      </c>
      <c r="B2031" s="2" t="s">
        <v>5299</v>
      </c>
      <c r="C2031" s="2" t="s">
        <v>5300</v>
      </c>
      <c r="D2031" t="s">
        <v>5504</v>
      </c>
      <c r="E2031" t="s">
        <v>6633</v>
      </c>
      <c r="F2031" t="s">
        <v>12</v>
      </c>
      <c r="G2031" t="s">
        <v>0</v>
      </c>
      <c r="H2031" s="1">
        <f>DATE(2023,12,7)</f>
        <v>45267</v>
      </c>
    </row>
    <row r="2032" spans="1:8" x14ac:dyDescent="0.35">
      <c r="A2032" s="2" t="s">
        <v>5301</v>
      </c>
      <c r="B2032" s="2" t="s">
        <v>5302</v>
      </c>
      <c r="C2032" s="2" t="s">
        <v>5303</v>
      </c>
      <c r="D2032" t="s">
        <v>5504</v>
      </c>
      <c r="E2032" t="s">
        <v>6633</v>
      </c>
      <c r="F2032" t="s">
        <v>12</v>
      </c>
      <c r="G2032" t="s">
        <v>0</v>
      </c>
      <c r="H2032" s="1">
        <f>DATE(2023,12,7)</f>
        <v>45267</v>
      </c>
    </row>
    <row r="2033" spans="1:8" x14ac:dyDescent="0.35">
      <c r="A2033" s="2" t="s">
        <v>5304</v>
      </c>
      <c r="B2033" s="2" t="s">
        <v>2353</v>
      </c>
      <c r="C2033" s="2" t="s">
        <v>5305</v>
      </c>
      <c r="D2033" t="s">
        <v>6497</v>
      </c>
      <c r="E2033" t="s">
        <v>7592</v>
      </c>
      <c r="F2033" t="s">
        <v>12</v>
      </c>
      <c r="G2033" t="s">
        <v>0</v>
      </c>
      <c r="H2033" s="1">
        <f>DATE(2023,2,22)</f>
        <v>44979</v>
      </c>
    </row>
    <row r="2034" spans="1:8" x14ac:dyDescent="0.35">
      <c r="A2034" s="2" t="s">
        <v>5306</v>
      </c>
      <c r="B2034" s="2" t="s">
        <v>5307</v>
      </c>
      <c r="C2034" s="2" t="s">
        <v>5308</v>
      </c>
      <c r="D2034" t="s">
        <v>6498</v>
      </c>
      <c r="E2034" t="s">
        <v>7593</v>
      </c>
      <c r="F2034" t="s">
        <v>12</v>
      </c>
      <c r="G2034" t="s">
        <v>0</v>
      </c>
      <c r="H2034" s="1">
        <f>DATE(2024,8,1)</f>
        <v>45505</v>
      </c>
    </row>
    <row r="2035" spans="1:8" x14ac:dyDescent="0.35">
      <c r="A2035" s="2" t="s">
        <v>5309</v>
      </c>
      <c r="B2035" s="2" t="s">
        <v>479</v>
      </c>
      <c r="C2035" s="2" t="s">
        <v>5310</v>
      </c>
      <c r="D2035" t="s">
        <v>5486</v>
      </c>
      <c r="E2035" t="s">
        <v>6615</v>
      </c>
      <c r="F2035" t="s">
        <v>12</v>
      </c>
      <c r="G2035" t="s">
        <v>0</v>
      </c>
      <c r="H2035" s="1">
        <f>DATE(2024,7,10)</f>
        <v>45483</v>
      </c>
    </row>
    <row r="2036" spans="1:8" x14ac:dyDescent="0.35">
      <c r="A2036" s="2" t="s">
        <v>5311</v>
      </c>
      <c r="B2036" s="2" t="s">
        <v>5307</v>
      </c>
      <c r="C2036" s="2" t="s">
        <v>5308</v>
      </c>
      <c r="D2036" t="s">
        <v>6498</v>
      </c>
      <c r="E2036" t="s">
        <v>7593</v>
      </c>
      <c r="F2036" t="s">
        <v>12</v>
      </c>
      <c r="G2036" t="s">
        <v>0</v>
      </c>
      <c r="H2036" s="1">
        <f>DATE(2024,8,1)</f>
        <v>45505</v>
      </c>
    </row>
    <row r="2037" spans="1:8" x14ac:dyDescent="0.35">
      <c r="A2037" s="2" t="s">
        <v>5312</v>
      </c>
      <c r="B2037" s="2" t="s">
        <v>5313</v>
      </c>
      <c r="C2037" s="2" t="s">
        <v>5314</v>
      </c>
      <c r="D2037" t="s">
        <v>6499</v>
      </c>
      <c r="E2037" t="s">
        <v>7594</v>
      </c>
      <c r="F2037" t="s">
        <v>12</v>
      </c>
      <c r="G2037" t="s">
        <v>0</v>
      </c>
      <c r="H2037" s="1">
        <f>DATE(2024,1,26)</f>
        <v>45317</v>
      </c>
    </row>
    <row r="2038" spans="1:8" x14ac:dyDescent="0.35">
      <c r="A2038" s="2" t="s">
        <v>5315</v>
      </c>
      <c r="B2038" s="2" t="s">
        <v>5316</v>
      </c>
      <c r="C2038" s="2" t="s">
        <v>5317</v>
      </c>
      <c r="D2038" t="s">
        <v>6500</v>
      </c>
      <c r="E2038" t="s">
        <v>7595</v>
      </c>
      <c r="F2038" t="s">
        <v>12</v>
      </c>
      <c r="G2038" t="s">
        <v>0</v>
      </c>
      <c r="H2038" s="1">
        <f>DATE(2024,6,13)</f>
        <v>45456</v>
      </c>
    </row>
    <row r="2039" spans="1:8" x14ac:dyDescent="0.35">
      <c r="A2039" s="2" t="s">
        <v>5318</v>
      </c>
      <c r="B2039" s="2" t="s">
        <v>5319</v>
      </c>
      <c r="C2039" s="2" t="s">
        <v>5320</v>
      </c>
      <c r="D2039" t="s">
        <v>6501</v>
      </c>
      <c r="E2039" t="s">
        <v>7596</v>
      </c>
      <c r="F2039" t="s">
        <v>12</v>
      </c>
      <c r="G2039" t="s">
        <v>0</v>
      </c>
      <c r="H2039" s="1">
        <f>DATE(2024,4,26)</f>
        <v>45408</v>
      </c>
    </row>
    <row r="2040" spans="1:8" x14ac:dyDescent="0.35">
      <c r="A2040" s="2" t="s">
        <v>5321</v>
      </c>
      <c r="B2040" s="2" t="s">
        <v>5322</v>
      </c>
      <c r="C2040" s="2" t="s">
        <v>5323</v>
      </c>
      <c r="D2040" t="s">
        <v>6502</v>
      </c>
      <c r="E2040" t="e">
        <v>#VALUE!</v>
      </c>
      <c r="F2040" t="s">
        <v>50</v>
      </c>
      <c r="G2040" t="s">
        <v>0</v>
      </c>
      <c r="H2040" s="1">
        <f>DATE(2024,11,4)</f>
        <v>45600</v>
      </c>
    </row>
    <row r="2041" spans="1:8" x14ac:dyDescent="0.35">
      <c r="A2041" s="2" t="s">
        <v>5324</v>
      </c>
      <c r="B2041" s="2" t="s">
        <v>5325</v>
      </c>
      <c r="C2041" s="2" t="s">
        <v>5326</v>
      </c>
      <c r="D2041" t="s">
        <v>6503</v>
      </c>
      <c r="E2041" t="s">
        <v>7597</v>
      </c>
      <c r="F2041" t="s">
        <v>12</v>
      </c>
      <c r="G2041" t="s">
        <v>0</v>
      </c>
      <c r="H2041" s="1">
        <f>DATE(2024,5,13)</f>
        <v>45425</v>
      </c>
    </row>
    <row r="2042" spans="1:8" x14ac:dyDescent="0.35">
      <c r="A2042" s="2" t="s">
        <v>5327</v>
      </c>
      <c r="B2042" s="2" t="s">
        <v>5328</v>
      </c>
      <c r="C2042" s="2" t="s">
        <v>5329</v>
      </c>
      <c r="D2042" t="s">
        <v>6504</v>
      </c>
      <c r="E2042" t="s">
        <v>7598</v>
      </c>
      <c r="F2042" t="s">
        <v>12</v>
      </c>
      <c r="G2042" t="s">
        <v>0</v>
      </c>
      <c r="H2042" s="1">
        <f>DATE(2024,11,27)</f>
        <v>45623</v>
      </c>
    </row>
    <row r="2043" spans="1:8" x14ac:dyDescent="0.35">
      <c r="A2043" s="2" t="s">
        <v>5330</v>
      </c>
      <c r="B2043" s="2" t="s">
        <v>570</v>
      </c>
      <c r="C2043" s="2" t="s">
        <v>5331</v>
      </c>
      <c r="D2043" t="s">
        <v>5504</v>
      </c>
      <c r="E2043" t="s">
        <v>6633</v>
      </c>
      <c r="F2043" t="s">
        <v>12</v>
      </c>
      <c r="G2043" t="s">
        <v>0</v>
      </c>
      <c r="H2043" s="1">
        <f>DATE(2023,12,7)</f>
        <v>45267</v>
      </c>
    </row>
    <row r="2044" spans="1:8" x14ac:dyDescent="0.35">
      <c r="A2044" s="2" t="s">
        <v>5332</v>
      </c>
      <c r="B2044" s="2" t="s">
        <v>5333</v>
      </c>
      <c r="C2044" s="2" t="s">
        <v>5334</v>
      </c>
      <c r="D2044" t="s">
        <v>5504</v>
      </c>
      <c r="E2044" t="s">
        <v>6633</v>
      </c>
      <c r="F2044" t="s">
        <v>12</v>
      </c>
      <c r="G2044" t="s">
        <v>0</v>
      </c>
      <c r="H2044" s="1">
        <f>DATE(2024,11,25)</f>
        <v>45621</v>
      </c>
    </row>
    <row r="2045" spans="1:8" x14ac:dyDescent="0.35">
      <c r="A2045" s="2" t="s">
        <v>5335</v>
      </c>
      <c r="B2045" s="2" t="s">
        <v>5336</v>
      </c>
      <c r="C2045" s="2" t="s">
        <v>5337</v>
      </c>
      <c r="D2045" t="s">
        <v>6505</v>
      </c>
      <c r="E2045" t="s">
        <v>7599</v>
      </c>
      <c r="F2045" t="s">
        <v>12</v>
      </c>
      <c r="G2045" t="s">
        <v>0</v>
      </c>
      <c r="H2045" s="1">
        <f>DATE(2023,7,11)</f>
        <v>45118</v>
      </c>
    </row>
    <row r="2046" spans="1:8" x14ac:dyDescent="0.35">
      <c r="A2046" s="2" t="s">
        <v>5338</v>
      </c>
      <c r="B2046" s="2" t="s">
        <v>5339</v>
      </c>
      <c r="C2046" s="2" t="s">
        <v>5340</v>
      </c>
      <c r="D2046" t="s">
        <v>6506</v>
      </c>
      <c r="E2046" t="s">
        <v>7600</v>
      </c>
      <c r="F2046" t="s">
        <v>12</v>
      </c>
      <c r="G2046" t="s">
        <v>0</v>
      </c>
      <c r="H2046" s="1">
        <f>DATE(2024,10,4)</f>
        <v>45569</v>
      </c>
    </row>
    <row r="2047" spans="1:8" x14ac:dyDescent="0.35">
      <c r="A2047" s="2" t="s">
        <v>5341</v>
      </c>
      <c r="B2047" s="2" t="s">
        <v>5342</v>
      </c>
      <c r="C2047" s="2" t="s">
        <v>5343</v>
      </c>
      <c r="D2047" t="s">
        <v>6507</v>
      </c>
      <c r="E2047" t="s">
        <v>7601</v>
      </c>
      <c r="F2047" t="s">
        <v>12</v>
      </c>
      <c r="G2047" t="s">
        <v>0</v>
      </c>
      <c r="H2047" s="1">
        <f>DATE(2024,10,4)</f>
        <v>45569</v>
      </c>
    </row>
    <row r="2048" spans="1:8" x14ac:dyDescent="0.35">
      <c r="A2048" s="2" t="s">
        <v>5344</v>
      </c>
      <c r="B2048" s="2" t="s">
        <v>5345</v>
      </c>
      <c r="C2048" s="2" t="s">
        <v>5346</v>
      </c>
      <c r="D2048" t="s">
        <v>6508</v>
      </c>
      <c r="E2048" t="e">
        <v>#VALUE!</v>
      </c>
      <c r="F2048" t="s">
        <v>12</v>
      </c>
      <c r="G2048" t="s">
        <v>0</v>
      </c>
      <c r="H2048" s="1">
        <f>DATE(2024,12,19)</f>
        <v>45645</v>
      </c>
    </row>
    <row r="2049" spans="1:8" x14ac:dyDescent="0.35">
      <c r="A2049" s="2" t="s">
        <v>5347</v>
      </c>
      <c r="B2049" s="2" t="s">
        <v>5348</v>
      </c>
      <c r="C2049" s="2" t="s">
        <v>5349</v>
      </c>
      <c r="D2049" t="s">
        <v>5987</v>
      </c>
      <c r="E2049" t="s">
        <v>7117</v>
      </c>
      <c r="F2049" t="s">
        <v>12</v>
      </c>
      <c r="G2049" t="s">
        <v>0</v>
      </c>
      <c r="H2049" s="1">
        <f>DATE(2024,10,25)</f>
        <v>45590</v>
      </c>
    </row>
    <row r="2050" spans="1:8" x14ac:dyDescent="0.35">
      <c r="A2050" s="2" t="s">
        <v>5350</v>
      </c>
      <c r="B2050" s="2" t="s">
        <v>5351</v>
      </c>
      <c r="C2050" s="2" t="s">
        <v>5352</v>
      </c>
      <c r="D2050" t="s">
        <v>6509</v>
      </c>
      <c r="E2050" t="s">
        <v>7602</v>
      </c>
      <c r="F2050" t="s">
        <v>12</v>
      </c>
      <c r="G2050" t="s">
        <v>0</v>
      </c>
      <c r="H2050" s="1">
        <f>DATE(2025,2,10)</f>
        <v>45698</v>
      </c>
    </row>
    <row r="2051" spans="1:8" x14ac:dyDescent="0.35">
      <c r="A2051" s="2" t="s">
        <v>5353</v>
      </c>
      <c r="B2051" s="2" t="s">
        <v>5354</v>
      </c>
      <c r="C2051" s="2" t="s">
        <v>5355</v>
      </c>
      <c r="D2051" t="s">
        <v>6510</v>
      </c>
      <c r="E2051" t="s">
        <v>7603</v>
      </c>
      <c r="F2051" t="s">
        <v>12</v>
      </c>
      <c r="G2051" t="s">
        <v>0</v>
      </c>
      <c r="H2051" s="1">
        <f>DATE(2025,3,13)</f>
        <v>45729</v>
      </c>
    </row>
    <row r="2052" spans="1:8" x14ac:dyDescent="0.35">
      <c r="A2052" s="2" t="s">
        <v>5356</v>
      </c>
      <c r="B2052" s="2" t="s">
        <v>5357</v>
      </c>
      <c r="C2052" s="2" t="s">
        <v>5358</v>
      </c>
      <c r="D2052" t="s">
        <v>6511</v>
      </c>
      <c r="E2052" t="s">
        <v>7604</v>
      </c>
      <c r="F2052" t="s">
        <v>12</v>
      </c>
      <c r="G2052" t="s">
        <v>0</v>
      </c>
      <c r="H2052" s="1">
        <f>DATE(2025,4,9)</f>
        <v>45756</v>
      </c>
    </row>
    <row r="2053" spans="1:8" x14ac:dyDescent="0.35">
      <c r="A2053" s="2" t="s">
        <v>5359</v>
      </c>
      <c r="B2053" s="2" t="s">
        <v>2318</v>
      </c>
      <c r="C2053" s="2" t="s">
        <v>5360</v>
      </c>
      <c r="D2053" t="s">
        <v>6512</v>
      </c>
      <c r="E2053" t="s">
        <v>7605</v>
      </c>
      <c r="F2053" t="s">
        <v>12</v>
      </c>
      <c r="G2053" t="s">
        <v>0</v>
      </c>
      <c r="H2053" s="1">
        <f>DATE(2023,7,11)</f>
        <v>45118</v>
      </c>
    </row>
    <row r="2054" spans="1:8" x14ac:dyDescent="0.35">
      <c r="A2054" s="2" t="s">
        <v>5361</v>
      </c>
      <c r="B2054" s="2" t="s">
        <v>4587</v>
      </c>
      <c r="C2054" s="2" t="s">
        <v>5362</v>
      </c>
      <c r="D2054" t="s">
        <v>6352</v>
      </c>
      <c r="E2054" t="s">
        <v>7462</v>
      </c>
      <c r="F2054" t="s">
        <v>12</v>
      </c>
      <c r="G2054" t="s">
        <v>0</v>
      </c>
      <c r="H2054" s="1">
        <f>DATE(2024,11,12)</f>
        <v>45608</v>
      </c>
    </row>
    <row r="2055" spans="1:8" x14ac:dyDescent="0.35">
      <c r="A2055" s="2" t="s">
        <v>5363</v>
      </c>
      <c r="B2055" s="2" t="s">
        <v>5364</v>
      </c>
      <c r="C2055" s="2" t="s">
        <v>5365</v>
      </c>
      <c r="D2055" t="s">
        <v>6513</v>
      </c>
      <c r="E2055" t="s">
        <v>7606</v>
      </c>
      <c r="F2055" t="s">
        <v>12</v>
      </c>
      <c r="G2055" t="s">
        <v>0</v>
      </c>
      <c r="H2055" s="1">
        <f>DATE(2025,2,3)</f>
        <v>45691</v>
      </c>
    </row>
    <row r="2056" spans="1:8" x14ac:dyDescent="0.35">
      <c r="A2056" s="2" t="s">
        <v>5366</v>
      </c>
      <c r="B2056" s="2" t="s">
        <v>5367</v>
      </c>
      <c r="C2056" s="2" t="s">
        <v>5368</v>
      </c>
      <c r="D2056" t="s">
        <v>6514</v>
      </c>
      <c r="E2056" t="s">
        <v>7607</v>
      </c>
      <c r="F2056" t="s">
        <v>12</v>
      </c>
      <c r="G2056" t="s">
        <v>0</v>
      </c>
      <c r="H2056" s="1">
        <f>DATE(2024,3,28)</f>
        <v>45379</v>
      </c>
    </row>
    <row r="2057" spans="1:8" x14ac:dyDescent="0.35">
      <c r="A2057" s="2" t="s">
        <v>5369</v>
      </c>
      <c r="B2057" s="2" t="s">
        <v>4988</v>
      </c>
      <c r="C2057" s="2" t="s">
        <v>4989</v>
      </c>
      <c r="D2057" t="s">
        <v>6441</v>
      </c>
      <c r="E2057" t="s">
        <v>7544</v>
      </c>
      <c r="F2057" t="s">
        <v>12</v>
      </c>
      <c r="G2057" t="s">
        <v>0</v>
      </c>
      <c r="H2057" s="1">
        <f>DATE(2025,3,11)</f>
        <v>45727</v>
      </c>
    </row>
    <row r="2058" spans="1:8" x14ac:dyDescent="0.35">
      <c r="A2058" s="2" t="s">
        <v>5370</v>
      </c>
      <c r="B2058" s="2" t="s">
        <v>4517</v>
      </c>
      <c r="C2058" s="2" t="s">
        <v>5371</v>
      </c>
      <c r="D2058" t="s">
        <v>6515</v>
      </c>
      <c r="E2058" t="s">
        <v>7608</v>
      </c>
      <c r="F2058" t="s">
        <v>12</v>
      </c>
      <c r="G2058" t="s">
        <v>0</v>
      </c>
      <c r="H2058" s="1">
        <f>DATE(2025,2,21)</f>
        <v>45709</v>
      </c>
    </row>
    <row r="2059" spans="1:8" x14ac:dyDescent="0.35">
      <c r="A2059" s="2" t="s">
        <v>5372</v>
      </c>
      <c r="B2059" s="2" t="s">
        <v>5373</v>
      </c>
      <c r="C2059" s="2" t="s">
        <v>5374</v>
      </c>
      <c r="D2059" t="s">
        <v>6516</v>
      </c>
      <c r="E2059" t="s">
        <v>7609</v>
      </c>
      <c r="F2059" t="s">
        <v>12</v>
      </c>
      <c r="G2059" t="s">
        <v>0</v>
      </c>
      <c r="H2059" s="1">
        <f>DATE(2024,6,5)</f>
        <v>45448</v>
      </c>
    </row>
    <row r="2060" spans="1:8" x14ac:dyDescent="0.35">
      <c r="A2060" s="2" t="s">
        <v>5375</v>
      </c>
      <c r="B2060" s="2" t="s">
        <v>4823</v>
      </c>
      <c r="C2060" s="2" t="s">
        <v>4824</v>
      </c>
      <c r="D2060" t="s">
        <v>6407</v>
      </c>
      <c r="E2060" t="s">
        <v>7513</v>
      </c>
      <c r="F2060" t="s">
        <v>12</v>
      </c>
      <c r="G2060" t="s">
        <v>0</v>
      </c>
      <c r="H2060" s="1">
        <f>DATE(2025,6,30)</f>
        <v>45838</v>
      </c>
    </row>
    <row r="2061" spans="1:8" x14ac:dyDescent="0.35">
      <c r="A2061" s="2" t="s">
        <v>5376</v>
      </c>
      <c r="B2061" s="2" t="s">
        <v>5209</v>
      </c>
      <c r="C2061" s="2" t="s">
        <v>5377</v>
      </c>
      <c r="D2061" t="s">
        <v>6244</v>
      </c>
      <c r="E2061" t="s">
        <v>7371</v>
      </c>
      <c r="F2061" t="s">
        <v>12</v>
      </c>
      <c r="G2061" t="s">
        <v>0</v>
      </c>
      <c r="H2061" s="1">
        <f>DATE(2024,3,27)</f>
        <v>45378</v>
      </c>
    </row>
    <row r="2062" spans="1:8" x14ac:dyDescent="0.35">
      <c r="A2062" s="2" t="s">
        <v>5378</v>
      </c>
      <c r="B2062" s="2" t="s">
        <v>4719</v>
      </c>
      <c r="C2062" s="2" t="s">
        <v>5379</v>
      </c>
      <c r="D2062" t="s">
        <v>6244</v>
      </c>
      <c r="E2062" t="s">
        <v>7371</v>
      </c>
      <c r="F2062" t="s">
        <v>12</v>
      </c>
      <c r="G2062" t="s">
        <v>0</v>
      </c>
      <c r="H2062" s="1">
        <f>DATE(2024,6,24)</f>
        <v>45467</v>
      </c>
    </row>
    <row r="2063" spans="1:8" x14ac:dyDescent="0.35">
      <c r="A2063" s="2" t="s">
        <v>5380</v>
      </c>
      <c r="B2063" s="2" t="s">
        <v>5381</v>
      </c>
      <c r="C2063" s="2" t="s">
        <v>5382</v>
      </c>
      <c r="D2063" t="s">
        <v>6244</v>
      </c>
      <c r="E2063" t="s">
        <v>7371</v>
      </c>
      <c r="F2063" t="s">
        <v>12</v>
      </c>
      <c r="G2063" t="s">
        <v>0</v>
      </c>
      <c r="H2063" s="1">
        <f>DATE(2024,6,24)</f>
        <v>45467</v>
      </c>
    </row>
    <row r="2064" spans="1:8" x14ac:dyDescent="0.35">
      <c r="A2064" s="2" t="s">
        <v>5383</v>
      </c>
      <c r="B2064" s="2" t="s">
        <v>4707</v>
      </c>
      <c r="C2064" s="2" t="s">
        <v>5384</v>
      </c>
      <c r="D2064" t="s">
        <v>6244</v>
      </c>
      <c r="E2064" t="s">
        <v>7371</v>
      </c>
      <c r="F2064" t="s">
        <v>12</v>
      </c>
      <c r="G2064" t="s">
        <v>0</v>
      </c>
      <c r="H2064" s="1">
        <f>DATE(2025,3,3)</f>
        <v>45719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42DB6FF24FD94D8A83763A9C40B594" ma:contentTypeVersion="15" ma:contentTypeDescription="Crée un document." ma:contentTypeScope="" ma:versionID="83bb1a445f5cf40dfaece1fa5efc0a26">
  <xsd:schema xmlns:xsd="http://www.w3.org/2001/XMLSchema" xmlns:xs="http://www.w3.org/2001/XMLSchema" xmlns:p="http://schemas.microsoft.com/office/2006/metadata/properties" xmlns:ns2="d25a0d5f-b459-40c9-bfbb-30953b132645" xmlns:ns3="4a98a6c5-7e53-4f50-ad48-42a0b9e7ce3f" targetNamespace="http://schemas.microsoft.com/office/2006/metadata/properties" ma:root="true" ma:fieldsID="85ecc4b5f9b391395d9da3ad26f91d5b" ns2:_="" ns3:_="">
    <xsd:import namespace="d25a0d5f-b459-40c9-bfbb-30953b132645"/>
    <xsd:import namespace="4a98a6c5-7e53-4f50-ad48-42a0b9e7ce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a0d5f-b459-40c9-bfbb-30953b132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42f93913-bc41-4bc1-b92f-9f3e8e4be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8a6c5-7e53-4f50-ad48-42a0b9e7ce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3489b5b-300f-45ec-a5b3-6793836772e0}" ma:internalName="TaxCatchAll" ma:showField="CatchAllData" ma:web="4a98a6c5-7e53-4f50-ad48-42a0b9e7ce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98a6c5-7e53-4f50-ad48-42a0b9e7ce3f" xsi:nil="true"/>
    <lcf76f155ced4ddcb4097134ff3c332f xmlns="d25a0d5f-b459-40c9-bfbb-30953b1326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E49F35-C46F-4B6E-BD47-3E9936B19F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C3D922-4D5B-44E0-B672-2C370BBF32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5a0d5f-b459-40c9-bfbb-30953b132645"/>
    <ds:schemaRef ds:uri="4a98a6c5-7e53-4f50-ad48-42a0b9e7ce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6E6F20-BEB1-415C-B436-97DC5E02A5D8}">
  <ds:schemaRefs>
    <ds:schemaRef ds:uri="http://schemas.microsoft.com/office/2006/metadata/properties"/>
    <ds:schemaRef ds:uri="http://schemas.microsoft.com/office/infopath/2007/PartnerControls"/>
    <ds:schemaRef ds:uri="4a98a6c5-7e53-4f50-ad48-42a0b9e7ce3f"/>
    <ds:schemaRef ds:uri="d25a0d5f-b459-40c9-bfbb-30953b132645"/>
  </ds:schemaRefs>
</ds:datastoreItem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DELCROIX Alexandre</cp:lastModifiedBy>
  <dcterms:created xsi:type="dcterms:W3CDTF">2025-07-21T07:13:21Z</dcterms:created>
  <dcterms:modified xsi:type="dcterms:W3CDTF">2025-08-29T08:27:25Z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0x010100E042DB6FF24FD94D8A83763A9C40B594</vt:lpwstr>
  </property>
  <property fmtid="{D5CDD505-2E9C-101B-9397-08002B2CF9AE}" pid="3" name="MediaServiceImageTags">
    <vt:lpwstr/>
  </property>
</Properties>
</file>