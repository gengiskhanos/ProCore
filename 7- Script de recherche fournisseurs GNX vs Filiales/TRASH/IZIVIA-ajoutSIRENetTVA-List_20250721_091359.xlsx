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23" documentId="11_BF7712341FD941126C0BF7A7B4A3D8BB905A9114" xr6:coauthVersionLast="47" xr6:coauthVersionMax="47" xr10:uidLastSave="{B58D9C79-E471-4CB7-B8EC-E1FF121B8997}"/>
  <bookViews>
    <workbookView xWindow="-110" yWindow="-110" windowWidth="19420" windowHeight="1030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39" i="1" l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<sst xmlns="http://schemas.openxmlformats.org/spreadsheetml/2006/main" count="11569" uniqueCount="8978">
  <si>
    <t>Fournisseur</t>
  </si>
  <si>
    <t>Nom</t>
  </si>
  <si>
    <t>N° association</t>
  </si>
  <si>
    <t>Catégorie fournisseur</t>
  </si>
  <si>
    <t>Date création</t>
  </si>
  <si>
    <t>F00305</t>
  </si>
  <si>
    <t>KACTUS</t>
  </si>
  <si>
    <t>78942891900045</t>
  </si>
  <si>
    <t>F00306</t>
  </si>
  <si>
    <t>CPO-ZE-WATT</t>
  </si>
  <si>
    <t>81084229400045</t>
  </si>
  <si>
    <t>F00309</t>
  </si>
  <si>
    <t>Photos Abricot</t>
  </si>
  <si>
    <t>81971106000015</t>
  </si>
  <si>
    <t>F00310</t>
  </si>
  <si>
    <t>SIA PARTNERS</t>
  </si>
  <si>
    <t>42350773000087</t>
  </si>
  <si>
    <t>F00311</t>
  </si>
  <si>
    <t>MEGGER</t>
  </si>
  <si>
    <t>67820050200048</t>
  </si>
  <si>
    <t>F00312</t>
  </si>
  <si>
    <t>STUDYRAMA</t>
  </si>
  <si>
    <t>42930935400018</t>
  </si>
  <si>
    <t>F00314</t>
  </si>
  <si>
    <t>MON-UNIVERSITE DE BORDEAUX</t>
  </si>
  <si>
    <t>13001835100010</t>
  </si>
  <si>
    <t>F00319</t>
  </si>
  <si>
    <t>MMA (courtier KEIL &amp; OSLIZLO)</t>
  </si>
  <si>
    <t>44004888200961</t>
  </si>
  <si>
    <t>F00323</t>
  </si>
  <si>
    <t>ABCD Formation</t>
  </si>
  <si>
    <t>79280904800020</t>
  </si>
  <si>
    <t>F00324</t>
  </si>
  <si>
    <t>europcar</t>
  </si>
  <si>
    <t>30365684704662</t>
  </si>
  <si>
    <t>F00325</t>
  </si>
  <si>
    <t>ENSAM</t>
  </si>
  <si>
    <t>19753472000010</t>
  </si>
  <si>
    <t>F00326</t>
  </si>
  <si>
    <t>EBDS Wireless &amp; Antennas</t>
  </si>
  <si>
    <t>79295506400029</t>
  </si>
  <si>
    <t>F00327</t>
  </si>
  <si>
    <t>KEYSIGHT</t>
  </si>
  <si>
    <t>79991104500026</t>
  </si>
  <si>
    <t>F00329</t>
  </si>
  <si>
    <t>SOLARIZE</t>
  </si>
  <si>
    <t>51896994400017</t>
  </si>
  <si>
    <t>F00331</t>
  </si>
  <si>
    <t>KOKAM</t>
  </si>
  <si>
    <t>F00332</t>
  </si>
  <si>
    <t>EDF REDEVANCE MARQUE</t>
  </si>
  <si>
    <t>55208131766522</t>
  </si>
  <si>
    <t>F00333</t>
  </si>
  <si>
    <t>FEDEX EXPRESS FR</t>
  </si>
  <si>
    <t>97350535700275</t>
  </si>
  <si>
    <t>F00334</t>
  </si>
  <si>
    <t>Entrerrios Facility services</t>
  </si>
  <si>
    <t>F00335</t>
  </si>
  <si>
    <t>LE DU INDUSTRIE SAS</t>
  </si>
  <si>
    <t>32977811200014</t>
  </si>
  <si>
    <t>F00336</t>
  </si>
  <si>
    <t>SIBILLE FAMECA ELECTRIC</t>
  </si>
  <si>
    <t>65293012900033</t>
  </si>
  <si>
    <t>F00337</t>
  </si>
  <si>
    <t>DB SCHENKER FRANCE</t>
  </si>
  <si>
    <t>31179945600018</t>
  </si>
  <si>
    <t>F00340</t>
  </si>
  <si>
    <t>HAVAS MEDIA FRANCE</t>
  </si>
  <si>
    <t>40320176700106</t>
  </si>
  <si>
    <t>F00341</t>
  </si>
  <si>
    <t>ALPACA PRODUCTIONS</t>
  </si>
  <si>
    <t>50534146100042</t>
  </si>
  <si>
    <t>F00342</t>
  </si>
  <si>
    <t>ECOLOGICAL INNOVATION NV (Enovates)</t>
  </si>
  <si>
    <t>F00343</t>
  </si>
  <si>
    <t>PAYPLUG (Ex Dalenys) - Izivia</t>
  </si>
  <si>
    <t>44322268200066</t>
  </si>
  <si>
    <t>F00344</t>
  </si>
  <si>
    <t>DALENYS PAYMENT - Belib - Ville de Paris</t>
  </si>
  <si>
    <t>F00346</t>
  </si>
  <si>
    <t>CEGELEC CENTRE EST TERTIAIRE SAS</t>
  </si>
  <si>
    <t>41864733500094</t>
  </si>
  <si>
    <t>F00348</t>
  </si>
  <si>
    <t>EURO DIEUZE INDUSTRIE</t>
  </si>
  <si>
    <t>39307050300023</t>
  </si>
  <si>
    <t>F00349</t>
  </si>
  <si>
    <t>HAGER ELECTRO GMBH &amp; CO.KG</t>
  </si>
  <si>
    <t>51229921500016</t>
  </si>
  <si>
    <t>F00350</t>
  </si>
  <si>
    <t>ARAMIS - Société D'avocats</t>
  </si>
  <si>
    <t>48762998200017</t>
  </si>
  <si>
    <t>F00351</t>
  </si>
  <si>
    <t>SDE 35</t>
  </si>
  <si>
    <t>20005042500012</t>
  </si>
  <si>
    <t>F00353</t>
  </si>
  <si>
    <t>MON-ES - Ville de Brumath</t>
  </si>
  <si>
    <t>21670067400015</t>
  </si>
  <si>
    <t>F00354</t>
  </si>
  <si>
    <t>COMMUNE D OBERNAI</t>
  </si>
  <si>
    <t>21670348800017</t>
  </si>
  <si>
    <t>F00355</t>
  </si>
  <si>
    <t>MON-COMMUNE D'OBERSTEINBACH</t>
  </si>
  <si>
    <t>21670353800019</t>
  </si>
  <si>
    <t>F00356</t>
  </si>
  <si>
    <t>ES COMMUNE SCHILTIGHEIM</t>
  </si>
  <si>
    <t>21670447800017</t>
  </si>
  <si>
    <t>F00357</t>
  </si>
  <si>
    <t>GECINA</t>
  </si>
  <si>
    <t>59201447600150</t>
  </si>
  <si>
    <t>F00358</t>
  </si>
  <si>
    <t>MAROLLES PAYSAGES</t>
  </si>
  <si>
    <t>47879284900026</t>
  </si>
  <si>
    <t>F00359</t>
  </si>
  <si>
    <t>MON-Renault Trucks</t>
  </si>
  <si>
    <t>95450607700146</t>
  </si>
  <si>
    <t>F00360</t>
  </si>
  <si>
    <t>MALT</t>
  </si>
  <si>
    <t>79135487100067</t>
  </si>
  <si>
    <t>F00361</t>
  </si>
  <si>
    <t>AUTOMATISMOS Y ELECTROMECANICA,SL (AUTELEC, SL)</t>
  </si>
  <si>
    <t>F00365</t>
  </si>
  <si>
    <t>SAFETY BUS</t>
  </si>
  <si>
    <t>51779798100035</t>
  </si>
  <si>
    <t>F00366</t>
  </si>
  <si>
    <t>MANUTAN</t>
  </si>
  <si>
    <t>33466885200042</t>
  </si>
  <si>
    <t>F00367</t>
  </si>
  <si>
    <t>NBB LEASE</t>
  </si>
  <si>
    <t>79204038800060</t>
  </si>
  <si>
    <t>F00368</t>
  </si>
  <si>
    <t>IZIWORK</t>
  </si>
  <si>
    <t>84207013800032</t>
  </si>
  <si>
    <t>F00370</t>
  </si>
  <si>
    <t>FRANCE DIFFUSION</t>
  </si>
  <si>
    <t>51518090900027</t>
  </si>
  <si>
    <t>F00441</t>
  </si>
  <si>
    <t>TONITRUS</t>
  </si>
  <si>
    <t>F00444</t>
  </si>
  <si>
    <t>DEKRA INDUSTRIAL</t>
  </si>
  <si>
    <t>43325083400010</t>
  </si>
  <si>
    <t>F00454</t>
  </si>
  <si>
    <t>OMEXOM</t>
  </si>
  <si>
    <t>52513416900073</t>
  </si>
  <si>
    <t>F00457</t>
  </si>
  <si>
    <t>GOOGLE</t>
  </si>
  <si>
    <t>75292559400018</t>
  </si>
  <si>
    <t>F00458</t>
  </si>
  <si>
    <t>QUALICONSULT (QPARK uniquement)</t>
  </si>
  <si>
    <t>40144985500535</t>
  </si>
  <si>
    <t>F00459</t>
  </si>
  <si>
    <t>QUALICONSULT SECURITE</t>
  </si>
  <si>
    <t>40320025600440</t>
  </si>
  <si>
    <t>F00460</t>
  </si>
  <si>
    <t>QUALICONSULT EXPLOITATION</t>
  </si>
  <si>
    <t>44284892500404</t>
  </si>
  <si>
    <t>F00462</t>
  </si>
  <si>
    <t>AJC HUISSIERS</t>
  </si>
  <si>
    <t>37901271900017</t>
  </si>
  <si>
    <t>F00463</t>
  </si>
  <si>
    <t>M PACZYNSKI HERVE, LEON, GERARD</t>
  </si>
  <si>
    <t>88054375600014</t>
  </si>
  <si>
    <t>F00464</t>
  </si>
  <si>
    <t>SCP AUPETITGENDRE BOURDENET ANTONIN</t>
  </si>
  <si>
    <t>39196773400032</t>
  </si>
  <si>
    <t>F00465</t>
  </si>
  <si>
    <t>PASE</t>
  </si>
  <si>
    <t>38119243400045</t>
  </si>
  <si>
    <t>F00467</t>
  </si>
  <si>
    <t>CARTELECTRONIC</t>
  </si>
  <si>
    <t>79070459700018</t>
  </si>
  <si>
    <t>F00469</t>
  </si>
  <si>
    <t>Bourgogne-Franche-Comte Mobilité Electrique</t>
  </si>
  <si>
    <t>51205728200026</t>
  </si>
  <si>
    <t>F00472</t>
  </si>
  <si>
    <t>SCP THIERRY PEYRACHE- GAELLE NEKADI - MA</t>
  </si>
  <si>
    <t>32281377500036</t>
  </si>
  <si>
    <t>F00473</t>
  </si>
  <si>
    <t>SCP PHILIPPE MONTAUBRIC ET MAUREEN DERRI</t>
  </si>
  <si>
    <t>32296001400056</t>
  </si>
  <si>
    <t>F00475</t>
  </si>
  <si>
    <t>SDE 42- SI D ENERGIES DU DEPARTEMENT DE LA L</t>
  </si>
  <si>
    <t>25420054600052</t>
  </si>
  <si>
    <t>F00476</t>
  </si>
  <si>
    <t>Saint-Louis Agglomération -IzyBorne</t>
  </si>
  <si>
    <t>21680297500013</t>
  </si>
  <si>
    <t>F00477</t>
  </si>
  <si>
    <t>SIEGE 27 - SDE 27</t>
  </si>
  <si>
    <t>25270197400021</t>
  </si>
  <si>
    <t>F00479</t>
  </si>
  <si>
    <t>ABB FRANCE</t>
  </si>
  <si>
    <t>33514631200459</t>
  </si>
  <si>
    <t>F00480</t>
  </si>
  <si>
    <t>AMBITION TECHNOLOGIES EURL</t>
  </si>
  <si>
    <t>83406447900027</t>
  </si>
  <si>
    <t>F00482</t>
  </si>
  <si>
    <t>RAZEL-BEC SASU</t>
  </si>
  <si>
    <t>56213603600216</t>
  </si>
  <si>
    <t>F00483</t>
  </si>
  <si>
    <t>SCP THOMAZON-AUDRANT-BICHE</t>
  </si>
  <si>
    <t>30256550200010</t>
  </si>
  <si>
    <t>F00484</t>
  </si>
  <si>
    <t>SVL ENERGIE</t>
  </si>
  <si>
    <t>53126290500049</t>
  </si>
  <si>
    <t>F00486</t>
  </si>
  <si>
    <t>NEXANS</t>
  </si>
  <si>
    <t>44438436600035</t>
  </si>
  <si>
    <t>F00487</t>
  </si>
  <si>
    <t>MENES ENERGIE</t>
  </si>
  <si>
    <t>83070288200010</t>
  </si>
  <si>
    <t>F00488</t>
  </si>
  <si>
    <t>JETBRAINS</t>
  </si>
  <si>
    <t>F00489</t>
  </si>
  <si>
    <t>Solutions 30 Euro Energy</t>
  </si>
  <si>
    <t>84056582400017</t>
  </si>
  <si>
    <t>F00490</t>
  </si>
  <si>
    <t>APR2 (ATELIER PRO RESEAUX RECYCLAGE)</t>
  </si>
  <si>
    <t>44223178300014</t>
  </si>
  <si>
    <t>F00491</t>
  </si>
  <si>
    <t>HORIZON</t>
  </si>
  <si>
    <t>38263469900104</t>
  </si>
  <si>
    <t>F00089</t>
  </si>
  <si>
    <t>LCIE</t>
  </si>
  <si>
    <t>40836317400017</t>
  </si>
  <si>
    <t>F00091</t>
  </si>
  <si>
    <t>LE MONDE</t>
  </si>
  <si>
    <t>43389185000052</t>
  </si>
  <si>
    <t>F00094</t>
  </si>
  <si>
    <t>MON-LEVAPARC</t>
  </si>
  <si>
    <t>35334722200286</t>
  </si>
  <si>
    <t>F00095</t>
  </si>
  <si>
    <t>MABEO</t>
  </si>
  <si>
    <t>33256495400276</t>
  </si>
  <si>
    <t>F00097</t>
  </si>
  <si>
    <t>MAILJET</t>
  </si>
  <si>
    <t>52453699200067</t>
  </si>
  <si>
    <t>F00098</t>
  </si>
  <si>
    <t>MANTELEC</t>
  </si>
  <si>
    <t>30962491400037</t>
  </si>
  <si>
    <t>F00099</t>
  </si>
  <si>
    <t>MICROSOFT</t>
  </si>
  <si>
    <t>41942372800015</t>
  </si>
  <si>
    <t>F00100</t>
  </si>
  <si>
    <t>MITSUBISHI</t>
  </si>
  <si>
    <t>42863505600123</t>
  </si>
  <si>
    <t>F00102</t>
  </si>
  <si>
    <t>NESPRESSO FRANCE</t>
  </si>
  <si>
    <t>38259782100422</t>
  </si>
  <si>
    <t>F00105</t>
  </si>
  <si>
    <t>CITEOS (MONTESSON) - SDEL TRAVAUX</t>
  </si>
  <si>
    <t>40325358600024</t>
  </si>
  <si>
    <t>F00106</t>
  </si>
  <si>
    <t>OFFICE DEPOT FRANCE</t>
  </si>
  <si>
    <t>40225443700690</t>
  </si>
  <si>
    <t>F00107</t>
  </si>
  <si>
    <t>ONLINE DEVIENT SCALEWAY</t>
  </si>
  <si>
    <t>43311590400057</t>
  </si>
  <si>
    <t>F00110</t>
  </si>
  <si>
    <t>OTAKEYS</t>
  </si>
  <si>
    <t>F00111</t>
  </si>
  <si>
    <t>OVH -Prélèvement</t>
  </si>
  <si>
    <t>42476141900045</t>
  </si>
  <si>
    <t>F00112</t>
  </si>
  <si>
    <t>OXICAT</t>
  </si>
  <si>
    <t>49932664300016</t>
  </si>
  <si>
    <t>F00373</t>
  </si>
  <si>
    <t>MON-LE PLESSIS TREVISE</t>
  </si>
  <si>
    <t>21940059500019</t>
  </si>
  <si>
    <t>F00374</t>
  </si>
  <si>
    <t>METROPOLE DU GRAND NANCY</t>
  </si>
  <si>
    <t>24540067600012</t>
  </si>
  <si>
    <t>F00375</t>
  </si>
  <si>
    <t>CITEOS QUIMPER</t>
  </si>
  <si>
    <t>85750014400061</t>
  </si>
  <si>
    <t>F00379</t>
  </si>
  <si>
    <t>RHO MOTION</t>
  </si>
  <si>
    <t>F00380</t>
  </si>
  <si>
    <t>Slovak Telekom, a.s.</t>
  </si>
  <si>
    <t>F00381</t>
  </si>
  <si>
    <t>ROTEL</t>
  </si>
  <si>
    <t>F00382</t>
  </si>
  <si>
    <t>OVIANCE OTI FRANCE</t>
  </si>
  <si>
    <t>49065737600060</t>
  </si>
  <si>
    <t>F00383</t>
  </si>
  <si>
    <t>ESJ PRO</t>
  </si>
  <si>
    <t>42345828000017</t>
  </si>
  <si>
    <t>F00384</t>
  </si>
  <si>
    <t>GREFFE DU TRIBUNAL COMMERCE NANTERRE</t>
  </si>
  <si>
    <t>F00385</t>
  </si>
  <si>
    <t>NEW ELEC (filiale Luminus)</t>
  </si>
  <si>
    <t>F00387</t>
  </si>
  <si>
    <t>BIR BATIMENT INDUSTRIE RESEAUX</t>
  </si>
  <si>
    <t>74725106400024</t>
  </si>
  <si>
    <t>F00388</t>
  </si>
  <si>
    <t>BRUNET</t>
  </si>
  <si>
    <t>38981890700013</t>
  </si>
  <si>
    <t>F00389</t>
  </si>
  <si>
    <t>BTB ELEC</t>
  </si>
  <si>
    <t>41489485700039</t>
  </si>
  <si>
    <t>F00390</t>
  </si>
  <si>
    <t>EIFFAGE SUD-OUEST</t>
  </si>
  <si>
    <t>38873917900199</t>
  </si>
  <si>
    <t>F00392</t>
  </si>
  <si>
    <t>EIFFAGE ALSACE FRANCHE-COMTE</t>
  </si>
  <si>
    <t>38875870800043</t>
  </si>
  <si>
    <t>F00397</t>
  </si>
  <si>
    <t>EIFFAGE AQUITAINE</t>
  </si>
  <si>
    <t>40107089100015</t>
  </si>
  <si>
    <t>F00399</t>
  </si>
  <si>
    <t>SALMON</t>
  </si>
  <si>
    <t>39420417600017</t>
  </si>
  <si>
    <t>F00400</t>
  </si>
  <si>
    <t>SNEF</t>
  </si>
  <si>
    <t>5680065900155</t>
  </si>
  <si>
    <t>F00401</t>
  </si>
  <si>
    <t>SNMG2E</t>
  </si>
  <si>
    <t>84854505900026</t>
  </si>
  <si>
    <t>F00402</t>
  </si>
  <si>
    <t>SPIE CITYNETWORKS</t>
  </si>
  <si>
    <t>43408539500029</t>
  </si>
  <si>
    <t>F00403</t>
  </si>
  <si>
    <t>SLTE</t>
  </si>
  <si>
    <t>30655291000011</t>
  </si>
  <si>
    <t>F00406</t>
  </si>
  <si>
    <t>MGB</t>
  </si>
  <si>
    <t>34855269600026</t>
  </si>
  <si>
    <t>F00407</t>
  </si>
  <si>
    <t>REGION HAUTS DE FRANCE</t>
  </si>
  <si>
    <t>20005374200025</t>
  </si>
  <si>
    <t>F00409</t>
  </si>
  <si>
    <t>ACTA</t>
  </si>
  <si>
    <t>38510718000023</t>
  </si>
  <si>
    <t>F00410</t>
  </si>
  <si>
    <t>RACINE SELARL</t>
  </si>
  <si>
    <t>34969153500075</t>
  </si>
  <si>
    <t>F00411</t>
  </si>
  <si>
    <t>STELLIANT TEXA GLOBAL SOLUTIONS</t>
  </si>
  <si>
    <t>41753143100027</t>
  </si>
  <si>
    <t>F00412</t>
  </si>
  <si>
    <t>JONES DAY</t>
  </si>
  <si>
    <t>78435243700049</t>
  </si>
  <si>
    <t>F00414</t>
  </si>
  <si>
    <t>Easy Charge</t>
  </si>
  <si>
    <t>53813316600024</t>
  </si>
  <si>
    <t>F00415</t>
  </si>
  <si>
    <t>TRANSATEL</t>
  </si>
  <si>
    <t>43278643200117</t>
  </si>
  <si>
    <t>F00416</t>
  </si>
  <si>
    <t>MASAO</t>
  </si>
  <si>
    <t>48818134800050</t>
  </si>
  <si>
    <t>F00417</t>
  </si>
  <si>
    <t>AMPHASE</t>
  </si>
  <si>
    <t>82451336000019</t>
  </si>
  <si>
    <t>F00418</t>
  </si>
  <si>
    <t>AVISA PARTNERS</t>
  </si>
  <si>
    <t>45154074400013</t>
  </si>
  <si>
    <t>F00419</t>
  </si>
  <si>
    <t>SIVECO GROUP</t>
  </si>
  <si>
    <t>33498308700084</t>
  </si>
  <si>
    <t>F00421</t>
  </si>
  <si>
    <t>B2EI</t>
  </si>
  <si>
    <t>43478467400047</t>
  </si>
  <si>
    <t>F00423</t>
  </si>
  <si>
    <t>COTTEL RESEAUX</t>
  </si>
  <si>
    <t>49288848200022</t>
  </si>
  <si>
    <t>F00424</t>
  </si>
  <si>
    <t>DFM</t>
  </si>
  <si>
    <t>44451729600075</t>
  </si>
  <si>
    <t>F00425</t>
  </si>
  <si>
    <t>PHILIPPE FAUVEDER ET CIE</t>
  </si>
  <si>
    <t>33964422100162</t>
  </si>
  <si>
    <t>F00426</t>
  </si>
  <si>
    <t>PETIT CUBE</t>
  </si>
  <si>
    <t>82896631700012</t>
  </si>
  <si>
    <t>F00429</t>
  </si>
  <si>
    <t>MELTWATER</t>
  </si>
  <si>
    <t>F00430</t>
  </si>
  <si>
    <t>SOGELINK</t>
  </si>
  <si>
    <t>43299378000043</t>
  </si>
  <si>
    <t>F00433</t>
  </si>
  <si>
    <t>CABINET PLEIADE</t>
  </si>
  <si>
    <t>75151703800020</t>
  </si>
  <si>
    <t>F00434</t>
  </si>
  <si>
    <t>LEGIFUZ</t>
  </si>
  <si>
    <t>84144813700023</t>
  </si>
  <si>
    <t>F00435</t>
  </si>
  <si>
    <t>SOGO</t>
  </si>
  <si>
    <t>80171815600020</t>
  </si>
  <si>
    <t>F00436</t>
  </si>
  <si>
    <t>R-FORMATION</t>
  </si>
  <si>
    <t>33254881700029</t>
  </si>
  <si>
    <t>F00439</t>
  </si>
  <si>
    <t>SAITEL BRETAGNE SUD</t>
  </si>
  <si>
    <t>52280061400037</t>
  </si>
  <si>
    <t>F00440</t>
  </si>
  <si>
    <t>FORUM</t>
  </si>
  <si>
    <t>49856915100018</t>
  </si>
  <si>
    <t>F00001</t>
  </si>
  <si>
    <t>ACMS</t>
  </si>
  <si>
    <t>77572822301053</t>
  </si>
  <si>
    <t>F00002</t>
  </si>
  <si>
    <t>AFIREV</t>
  </si>
  <si>
    <t>85115458300021</t>
  </si>
  <si>
    <t>F00003</t>
  </si>
  <si>
    <t>AGAP 2 devient MOONGY</t>
  </si>
  <si>
    <t>48840482300269</t>
  </si>
  <si>
    <t>F00004</t>
  </si>
  <si>
    <t>ALPI devient IGE-ne plus utiliser</t>
  </si>
  <si>
    <t>33750812100056</t>
  </si>
  <si>
    <t>F00005</t>
  </si>
  <si>
    <t>APAVE NORD-OUEST (ne plus utiliser)</t>
  </si>
  <si>
    <t>41967142500751</t>
  </si>
  <si>
    <t>F00006</t>
  </si>
  <si>
    <t>AUTOSPHERE LEASE ARVAL - PRLV</t>
  </si>
  <si>
    <t>35225642401048</t>
  </si>
  <si>
    <t>F00007</t>
  </si>
  <si>
    <t>ASTRAGAM</t>
  </si>
  <si>
    <t>82089380800031</t>
  </si>
  <si>
    <t>F00008</t>
  </si>
  <si>
    <t>ATLASSIAN - Prélèvement</t>
  </si>
  <si>
    <t>51540171900031</t>
  </si>
  <si>
    <t>F00010</t>
  </si>
  <si>
    <t>AUBAY</t>
  </si>
  <si>
    <t>39150469300063</t>
  </si>
  <si>
    <t>F00012</t>
  </si>
  <si>
    <t>AUTONOMY</t>
  </si>
  <si>
    <t>81314464900015</t>
  </si>
  <si>
    <t>F00013</t>
  </si>
  <si>
    <t>AVEM</t>
  </si>
  <si>
    <t>44031594300140</t>
  </si>
  <si>
    <t>F00014</t>
  </si>
  <si>
    <t>BELIB VILLE DE PARIS</t>
  </si>
  <si>
    <t>21750001600019</t>
  </si>
  <si>
    <t>F00016</t>
  </si>
  <si>
    <t>BIZNET</t>
  </si>
  <si>
    <t>F00019</t>
  </si>
  <si>
    <t>CPO-BOUYGUES ENERGIES ET SERVICES</t>
  </si>
  <si>
    <t>F00020</t>
  </si>
  <si>
    <t>BOUYGUES TELECOM - VIREMENT</t>
  </si>
  <si>
    <t>39748093003498</t>
  </si>
  <si>
    <t>F00021</t>
  </si>
  <si>
    <t>BUSINESS FRANCE</t>
  </si>
  <si>
    <t>82540402300012</t>
  </si>
  <si>
    <t>F00023</t>
  </si>
  <si>
    <t>MON-CAPG</t>
  </si>
  <si>
    <t>20003985700012</t>
  </si>
  <si>
    <t>F00024</t>
  </si>
  <si>
    <t>MON-CACPL</t>
  </si>
  <si>
    <t>20003991500026</t>
  </si>
  <si>
    <t>F00025</t>
  </si>
  <si>
    <t>CARDALIS</t>
  </si>
  <si>
    <t>48342526000054</t>
  </si>
  <si>
    <t>F00026</t>
  </si>
  <si>
    <t>CWT FRANCE - CARLSON</t>
  </si>
  <si>
    <t>69203692403411</t>
  </si>
  <si>
    <t>F00027</t>
  </si>
  <si>
    <t>MON-CASA</t>
  </si>
  <si>
    <t>24060058500014</t>
  </si>
  <si>
    <t>F00028</t>
  </si>
  <si>
    <t>CASTRES EQUIPEMENT</t>
  </si>
  <si>
    <t>51908597100066</t>
  </si>
  <si>
    <t>F00029</t>
  </si>
  <si>
    <t>CELAD</t>
  </si>
  <si>
    <t>38783703200011</t>
  </si>
  <si>
    <t>F00030</t>
  </si>
  <si>
    <t>ESPACE VINCI FORMERET</t>
  </si>
  <si>
    <t>39398496800031</t>
  </si>
  <si>
    <t>F00031</t>
  </si>
  <si>
    <t>CFBM</t>
  </si>
  <si>
    <t>82291079000028</t>
  </si>
  <si>
    <t>F00032</t>
  </si>
  <si>
    <t>CHRONOPOST</t>
  </si>
  <si>
    <t>38396013502628</t>
  </si>
  <si>
    <t>F00033</t>
  </si>
  <si>
    <t>DALKIA ELECTROTECHNICS (ex citelum)</t>
  </si>
  <si>
    <t>89238003100393</t>
  </si>
  <si>
    <t>F00035</t>
  </si>
  <si>
    <t>COLISEE GARDENS</t>
  </si>
  <si>
    <t>84320206000011</t>
  </si>
  <si>
    <t>F00036</t>
  </si>
  <si>
    <t>COMPUTACENTER</t>
  </si>
  <si>
    <t>38873456800495</t>
  </si>
  <si>
    <t>F00037</t>
  </si>
  <si>
    <t>DALKIA S.A.</t>
  </si>
  <si>
    <t>45650053706585</t>
  </si>
  <si>
    <t>F00038</t>
  </si>
  <si>
    <t>DAMOSYSTEMS</t>
  </si>
  <si>
    <t>48866215600014</t>
  </si>
  <si>
    <t>F00039</t>
  </si>
  <si>
    <t>DYNAMIS - INTERIM</t>
  </si>
  <si>
    <t>F00041</t>
  </si>
  <si>
    <t>EDEV</t>
  </si>
  <si>
    <t>38041448200063</t>
  </si>
  <si>
    <t>F00042</t>
  </si>
  <si>
    <t>EDF - MGS</t>
  </si>
  <si>
    <t>F00043</t>
  </si>
  <si>
    <t>EDF DIVISION ASSURANCES</t>
  </si>
  <si>
    <t>F00045</t>
  </si>
  <si>
    <t>EDITIONS STRATEGIQUES</t>
  </si>
  <si>
    <t>30680745400088</t>
  </si>
  <si>
    <t>F00046</t>
  </si>
  <si>
    <t>EFFIBAT ELBEX</t>
  </si>
  <si>
    <t>53097404700017</t>
  </si>
  <si>
    <t>F00047</t>
  </si>
  <si>
    <t>EIFFAGE ILE-DE-FRANCE</t>
  </si>
  <si>
    <t>42054064300269</t>
  </si>
  <si>
    <t>F00048</t>
  </si>
  <si>
    <t>IZIVIA IG</t>
  </si>
  <si>
    <t>42029138700041</t>
  </si>
  <si>
    <t>F00049</t>
  </si>
  <si>
    <t>ENEDIS</t>
  </si>
  <si>
    <t>44460844213631</t>
  </si>
  <si>
    <t>F00050</t>
  </si>
  <si>
    <t>DELTA ENERGIE</t>
  </si>
  <si>
    <t>82413200500029</t>
  </si>
  <si>
    <t>F00051</t>
  </si>
  <si>
    <t>ENSIATE</t>
  </si>
  <si>
    <t>44993032000063</t>
  </si>
  <si>
    <t>F00052</t>
  </si>
  <si>
    <t>EO - EACH OTHER PRODUCTION</t>
  </si>
  <si>
    <t>43196104400044</t>
  </si>
  <si>
    <t>F00053</t>
  </si>
  <si>
    <t>ES SERVICES ENERGETIQUES</t>
  </si>
  <si>
    <t>32279139300042</t>
  </si>
  <si>
    <t>F00054</t>
  </si>
  <si>
    <t>ETAI-Automobile &amp; ENTREPRISE</t>
  </si>
  <si>
    <t>80642036000117</t>
  </si>
  <si>
    <t>F00056</t>
  </si>
  <si>
    <t>SDE EURE ET LOIRE - SDE 28</t>
  </si>
  <si>
    <t>20008086900015</t>
  </si>
  <si>
    <t>F00057</t>
  </si>
  <si>
    <t>EUREST devient POPOTE</t>
  </si>
  <si>
    <t>63204104266251</t>
  </si>
  <si>
    <t>F00059</t>
  </si>
  <si>
    <t>EVTRONIC</t>
  </si>
  <si>
    <t>50049498400049</t>
  </si>
  <si>
    <t>F00061</t>
  </si>
  <si>
    <t>EXPONENS</t>
  </si>
  <si>
    <t>35132950300137</t>
  </si>
  <si>
    <t>F00062</t>
  </si>
  <si>
    <t>FG SMART DESIGN</t>
  </si>
  <si>
    <t>30902081600224</t>
  </si>
  <si>
    <t>F00063</t>
  </si>
  <si>
    <t>FNAC</t>
  </si>
  <si>
    <t>34328238000272</t>
  </si>
  <si>
    <t>F00064</t>
  </si>
  <si>
    <t>FREE - Prélèvement</t>
  </si>
  <si>
    <t>42193886100034</t>
  </si>
  <si>
    <t>F00065</t>
  </si>
  <si>
    <t>CPO-FRESHMILE SERVICES</t>
  </si>
  <si>
    <t>81861122000018</t>
  </si>
  <si>
    <t>F00066</t>
  </si>
  <si>
    <t>GENERALE TELEACTIVITE</t>
  </si>
  <si>
    <t>38261305700076</t>
  </si>
  <si>
    <t>F00067</t>
  </si>
  <si>
    <t>(NE PLUS UTILISER CF F00527) TOTAL EV CHARGE G2</t>
  </si>
  <si>
    <t>51493358900020</t>
  </si>
  <si>
    <t>F00069</t>
  </si>
  <si>
    <t>GENERALI IARD</t>
  </si>
  <si>
    <t>55206266302212</t>
  </si>
  <si>
    <t>F00070</t>
  </si>
  <si>
    <t>GEODIS CALBERSON AQUITAINE</t>
  </si>
  <si>
    <t>33455653700119</t>
  </si>
  <si>
    <t>F00072</t>
  </si>
  <si>
    <t>GS1 FRANCE</t>
  </si>
  <si>
    <t>30554567500046</t>
  </si>
  <si>
    <t>F00073</t>
  </si>
  <si>
    <t>GSF GRANDE ARCHE</t>
  </si>
  <si>
    <t>79451435600102</t>
  </si>
  <si>
    <t>F00074</t>
  </si>
  <si>
    <t>HAGER ELECTRO</t>
  </si>
  <si>
    <t>71206375900237</t>
  </si>
  <si>
    <t>F00075</t>
  </si>
  <si>
    <t>HANDIRECT</t>
  </si>
  <si>
    <t>41029016700056</t>
  </si>
  <si>
    <t>F00076</t>
  </si>
  <si>
    <t>HAWORTH</t>
  </si>
  <si>
    <t>54575058000049</t>
  </si>
  <si>
    <t>F00078</t>
  </si>
  <si>
    <t>IMAGREEN</t>
  </si>
  <si>
    <t>52276113900040</t>
  </si>
  <si>
    <t>F00079</t>
  </si>
  <si>
    <t>INDIGO - SOGEPARC EXPLOITATION</t>
  </si>
  <si>
    <t>32022964405241</t>
  </si>
  <si>
    <t>F00080</t>
  </si>
  <si>
    <t>INTC</t>
  </si>
  <si>
    <t>48320575300047</t>
  </si>
  <si>
    <t>F00081</t>
  </si>
  <si>
    <t>INTRALIGNE</t>
  </si>
  <si>
    <t>43464662600052</t>
  </si>
  <si>
    <t>F00082</t>
  </si>
  <si>
    <t>IOCEAN</t>
  </si>
  <si>
    <t>43884387200039</t>
  </si>
  <si>
    <t>F00083</t>
  </si>
  <si>
    <t>IOTECHA CORP.</t>
  </si>
  <si>
    <t>F00084</t>
  </si>
  <si>
    <t>IP COM</t>
  </si>
  <si>
    <t>50435200600036</t>
  </si>
  <si>
    <t>F00085</t>
  </si>
  <si>
    <t>KIZEO</t>
  </si>
  <si>
    <t>53784583600031</t>
  </si>
  <si>
    <t>F00087</t>
  </si>
  <si>
    <t>MADIC INDUSTRIES</t>
  </si>
  <si>
    <t>38974904500073</t>
  </si>
  <si>
    <t>F00088</t>
  </si>
  <si>
    <t>LA POSTE</t>
  </si>
  <si>
    <t>35600000000048</t>
  </si>
  <si>
    <t>F00280</t>
  </si>
  <si>
    <t>ORANGE - Virt- Contrat 8326 / 5529</t>
  </si>
  <si>
    <t>38012986648625</t>
  </si>
  <si>
    <t>F00283</t>
  </si>
  <si>
    <t>EURO DK</t>
  </si>
  <si>
    <t>F00284</t>
  </si>
  <si>
    <t>MERCURE LYON</t>
  </si>
  <si>
    <t>96950119600014</t>
  </si>
  <si>
    <t>F00285</t>
  </si>
  <si>
    <t>5COM</t>
  </si>
  <si>
    <t>44471328300034</t>
  </si>
  <si>
    <t>F00286</t>
  </si>
  <si>
    <t>VE 3.0</t>
  </si>
  <si>
    <t>82982583500012</t>
  </si>
  <si>
    <t>F00288</t>
  </si>
  <si>
    <t>ORANGE Cont 6031 / 0613 - PRLVT</t>
  </si>
  <si>
    <t>F00289</t>
  </si>
  <si>
    <t>SDE 22</t>
  </si>
  <si>
    <t>20004617500010</t>
  </si>
  <si>
    <t>F00290</t>
  </si>
  <si>
    <t>JUSTE A TEMPS</t>
  </si>
  <si>
    <t>35253277400036</t>
  </si>
  <si>
    <t>F00291</t>
  </si>
  <si>
    <t>GET THINGS DONE (LE MAJORDOME)</t>
  </si>
  <si>
    <t>73200782800047</t>
  </si>
  <si>
    <t>F00292</t>
  </si>
  <si>
    <t>IER</t>
  </si>
  <si>
    <t>62205031800063</t>
  </si>
  <si>
    <t>F00293</t>
  </si>
  <si>
    <t>CHATEAUFORM' FRANCE</t>
  </si>
  <si>
    <t>40255959500192</t>
  </si>
  <si>
    <t>F00295</t>
  </si>
  <si>
    <t>INMAC WSTORE</t>
  </si>
  <si>
    <t>38805549300059</t>
  </si>
  <si>
    <t>F00296</t>
  </si>
  <si>
    <t>TOKHEIM Slovak Republic s.r.o.</t>
  </si>
  <si>
    <t>F00299</t>
  </si>
  <si>
    <t>MON-DESAUTEL</t>
  </si>
  <si>
    <t>95950572800011</t>
  </si>
  <si>
    <t>F00300</t>
  </si>
  <si>
    <t>DATA PRINT</t>
  </si>
  <si>
    <t>67980497100076</t>
  </si>
  <si>
    <t>F00301</t>
  </si>
  <si>
    <t>MATOOMA</t>
  </si>
  <si>
    <t>75191854100044</t>
  </si>
  <si>
    <t>F00302</t>
  </si>
  <si>
    <t>LOUPIAS</t>
  </si>
  <si>
    <t>39446156000010</t>
  </si>
  <si>
    <t>F00303</t>
  </si>
  <si>
    <t>BIG BENNES</t>
  </si>
  <si>
    <t>34398937200010</t>
  </si>
  <si>
    <t>F00304</t>
  </si>
  <si>
    <t>PROVENCE TRADUCTION</t>
  </si>
  <si>
    <t>33184307800048</t>
  </si>
  <si>
    <t>F00900</t>
  </si>
  <si>
    <t>BRIT HOTEL DEVELOPPEMENT</t>
  </si>
  <si>
    <t>43398120600017</t>
  </si>
  <si>
    <t>F00901</t>
  </si>
  <si>
    <t>DELTA CLOTURES SARL</t>
  </si>
  <si>
    <t>41935750400028</t>
  </si>
  <si>
    <t>F00902</t>
  </si>
  <si>
    <t>TWIKEY</t>
  </si>
  <si>
    <t>F00904</t>
  </si>
  <si>
    <t>CPO-TEVGO - SDE 76</t>
  </si>
  <si>
    <t>87932148700073</t>
  </si>
  <si>
    <t>F00905</t>
  </si>
  <si>
    <t>OBLO</t>
  </si>
  <si>
    <t>50155502300032</t>
  </si>
  <si>
    <t>F00906</t>
  </si>
  <si>
    <t>DHL FREIGHT FRANCE SAS</t>
  </si>
  <si>
    <t>48898577100457</t>
  </si>
  <si>
    <t>F00908</t>
  </si>
  <si>
    <t>MANDARIN ORIENTAL</t>
  </si>
  <si>
    <t>49319865900036</t>
  </si>
  <si>
    <t>F00909</t>
  </si>
  <si>
    <t>BLL PRODUCTION SPRAY FILM</t>
  </si>
  <si>
    <t>51776218300039</t>
  </si>
  <si>
    <t>F00910</t>
  </si>
  <si>
    <t>ASSOCIATION GESTION RIE COLISEE</t>
  </si>
  <si>
    <t>49093425400015</t>
  </si>
  <si>
    <t>F00911</t>
  </si>
  <si>
    <t>CPO-TOTALENERGIES MARKETING LUXEMBOURG</t>
  </si>
  <si>
    <t>F00913</t>
  </si>
  <si>
    <t>CPO-SHELL EV CHARGING SOLUTIONS AMSTERDAM</t>
  </si>
  <si>
    <t>F00918</t>
  </si>
  <si>
    <t>FARNELL FRANCE</t>
  </si>
  <si>
    <t>38824502900086</t>
  </si>
  <si>
    <t>F00920</t>
  </si>
  <si>
    <t>DIKDAK</t>
  </si>
  <si>
    <t>43423109800030</t>
  </si>
  <si>
    <t>F00921</t>
  </si>
  <si>
    <t>AIRCALL</t>
  </si>
  <si>
    <t>80743759500034</t>
  </si>
  <si>
    <t>F00922</t>
  </si>
  <si>
    <t>CPO-ELECTRA</t>
  </si>
  <si>
    <t>89162488400047</t>
  </si>
  <si>
    <t>F00923</t>
  </si>
  <si>
    <t>CPO-TOTALENERGIES MARKETING BELGIQUE</t>
  </si>
  <si>
    <t>F00924</t>
  </si>
  <si>
    <t>MA PETITE PLANETE</t>
  </si>
  <si>
    <t>88750492600015</t>
  </si>
  <si>
    <t>F00925</t>
  </si>
  <si>
    <t>CPO-ESB ENERGY</t>
  </si>
  <si>
    <t>F00926</t>
  </si>
  <si>
    <t>MON-SODEXFRANC SAS SUPER U BOUAYE</t>
  </si>
  <si>
    <t>37906366200017</t>
  </si>
  <si>
    <t>F00927</t>
  </si>
  <si>
    <t>DOCUSIGN FRANCE</t>
  </si>
  <si>
    <t>81261115000036</t>
  </si>
  <si>
    <t>F00928</t>
  </si>
  <si>
    <t>MON-COMBOURG DISTRIBUTION SAS</t>
  </si>
  <si>
    <t>41033947700011</t>
  </si>
  <si>
    <t>F00929</t>
  </si>
  <si>
    <t>MON-LH DISPLAN SAS HYPER U PLANCOET</t>
  </si>
  <si>
    <t>38999612500016</t>
  </si>
  <si>
    <t>F00930</t>
  </si>
  <si>
    <t>MON-SOLMAR SAS SUPER U Olemps</t>
  </si>
  <si>
    <t>32687690100017</t>
  </si>
  <si>
    <t>F00931</t>
  </si>
  <si>
    <t>DR  TECHNOLOGIE</t>
  </si>
  <si>
    <t>51123731500029</t>
  </si>
  <si>
    <t>F00933</t>
  </si>
  <si>
    <t>MON-CLEMA SARL Hyper U ChateauBriant</t>
  </si>
  <si>
    <t>51036795600016</t>
  </si>
  <si>
    <t>F00934</t>
  </si>
  <si>
    <t>MON-SOCRADIS SAS Super U Craon</t>
  </si>
  <si>
    <t>31975539300034</t>
  </si>
  <si>
    <t>F00935</t>
  </si>
  <si>
    <t>MON-YDOL SUPER U Grand-Fort-Philippe</t>
  </si>
  <si>
    <t>45127698400015</t>
  </si>
  <si>
    <t>F00936</t>
  </si>
  <si>
    <t>MON-LA PREE SAS SUPER U La Chataigneraie</t>
  </si>
  <si>
    <t>79203969500012</t>
  </si>
  <si>
    <t>F00937</t>
  </si>
  <si>
    <t>MON-SOBERDIS SN Super U L'Isle Jourdain</t>
  </si>
  <si>
    <t>38467454500023</t>
  </si>
  <si>
    <t>F00938</t>
  </si>
  <si>
    <t>MON-SYPAVER SAS Super U Nieul-Sur-Mer</t>
  </si>
  <si>
    <t>33274682500014</t>
  </si>
  <si>
    <t>F00939</t>
  </si>
  <si>
    <t>Super U Onet Le Chateau SDC du CC Rodez</t>
  </si>
  <si>
    <t>F00940</t>
  </si>
  <si>
    <t>MON-JERDE Super U Pruniers En Sologne</t>
  </si>
  <si>
    <t>39863664700016</t>
  </si>
  <si>
    <t>F00941</t>
  </si>
  <si>
    <t>MON-ALBIFI SARL Super U St-Georges-Sur-Loire</t>
  </si>
  <si>
    <t>47828185000022</t>
  </si>
  <si>
    <t>F00942</t>
  </si>
  <si>
    <t>MON-FLAMENLYS Super U Terdeghem</t>
  </si>
  <si>
    <t>40226241400012</t>
  </si>
  <si>
    <t>F00943</t>
  </si>
  <si>
    <t>MON-TINTEDIS - SUPER U Tinteniac</t>
  </si>
  <si>
    <t>39748583000012</t>
  </si>
  <si>
    <t>F00944</t>
  </si>
  <si>
    <t>MON-TONNAYDIS SAS Super U Tonnay-Charente</t>
  </si>
  <si>
    <t>84822173500014</t>
  </si>
  <si>
    <t>F00945</t>
  </si>
  <si>
    <t>MON-RIGNAC DISTRIBUTION SARL U Express Rignac</t>
  </si>
  <si>
    <t>53880997100020</t>
  </si>
  <si>
    <t>F00946</t>
  </si>
  <si>
    <t>MON-SAS SORODIS Super U Rouillac</t>
  </si>
  <si>
    <t>31730611600029</t>
  </si>
  <si>
    <t>F00947</t>
  </si>
  <si>
    <t>ATELIER BULLE</t>
  </si>
  <si>
    <t>47809043400034</t>
  </si>
  <si>
    <t>F00948</t>
  </si>
  <si>
    <t>NE PLUS UTILISER Dalkia Electrotechnics (Ex Gipelec)</t>
  </si>
  <si>
    <t>79806694000056</t>
  </si>
  <si>
    <t>F00949</t>
  </si>
  <si>
    <t>CPO-ESB INNOVATION</t>
  </si>
  <si>
    <t>F00950</t>
  </si>
  <si>
    <t>MON-PROPIGNAN SAS Super U Pignan</t>
  </si>
  <si>
    <t>81780488300020</t>
  </si>
  <si>
    <t>F00951</t>
  </si>
  <si>
    <t>MON-GALEDIS SAS Super U Reze</t>
  </si>
  <si>
    <t>44496339100016</t>
  </si>
  <si>
    <t>F00113</t>
  </si>
  <si>
    <t>PAUSE FRUITEE - LE VERGER DE GALLY</t>
  </si>
  <si>
    <t>45360871300021</t>
  </si>
  <si>
    <t>F00114</t>
  </si>
  <si>
    <t>FOURNISSEURS OCCASIONNELS</t>
  </si>
  <si>
    <t>54208661600035</t>
  </si>
  <si>
    <t>F00120</t>
  </si>
  <si>
    <t>POSTE 2 - Achat timbre - Alimentation cpte</t>
  </si>
  <si>
    <t>F00121</t>
  </si>
  <si>
    <t>PROGRESSIVE SASU</t>
  </si>
  <si>
    <t>52455553900039</t>
  </si>
  <si>
    <t>F00122</t>
  </si>
  <si>
    <t>BOUYGUES TELECOM - Prélèvement - TIP</t>
  </si>
  <si>
    <t>F00123</t>
  </si>
  <si>
    <t>REXEL FRANCE</t>
  </si>
  <si>
    <t>30930461605851</t>
  </si>
  <si>
    <t>F00124</t>
  </si>
  <si>
    <t>RS COMPONENT</t>
  </si>
  <si>
    <t>33453403900030</t>
  </si>
  <si>
    <t>F00126</t>
  </si>
  <si>
    <t>RVI (marque PVI)</t>
  </si>
  <si>
    <t>82523431300021</t>
  </si>
  <si>
    <t>F00127</t>
  </si>
  <si>
    <t>SADE TELECOM NE PLUS UTILISER 1/1/2023</t>
  </si>
  <si>
    <t>56207750302584</t>
  </si>
  <si>
    <t>F00129</t>
  </si>
  <si>
    <t>SCHNEIDER ELECTRIC FRANCE</t>
  </si>
  <si>
    <t>42110670900668</t>
  </si>
  <si>
    <t>F00130</t>
  </si>
  <si>
    <t>SDE 07 ARDECHE</t>
  </si>
  <si>
    <t>49204106600027</t>
  </si>
  <si>
    <t>F00131</t>
  </si>
  <si>
    <t>SDE 28 EURE ET LOIR</t>
  </si>
  <si>
    <t>25280328300032</t>
  </si>
  <si>
    <t>F00132</t>
  </si>
  <si>
    <t>SDE 56 SDEM MORBIHAN ENERGIES</t>
  </si>
  <si>
    <t>25560110600024</t>
  </si>
  <si>
    <t>F00133</t>
  </si>
  <si>
    <t>CPO-SDE 76</t>
  </si>
  <si>
    <t>25760044500031</t>
  </si>
  <si>
    <t>F00134</t>
  </si>
  <si>
    <t>SDE 14 - SDEC</t>
  </si>
  <si>
    <t>20004593800012</t>
  </si>
  <si>
    <t>F00135</t>
  </si>
  <si>
    <t>VERTONE</t>
  </si>
  <si>
    <t>44430225100038</t>
  </si>
  <si>
    <t>F00136</t>
  </si>
  <si>
    <t>SEKRI VALENTIN ZERROUK (SVZ)</t>
  </si>
  <si>
    <t>45271701000022</t>
  </si>
  <si>
    <t>F00137</t>
  </si>
  <si>
    <t>CPO-SEOLIS</t>
  </si>
  <si>
    <t>F00138</t>
  </si>
  <si>
    <t>SFR BUSINESS -PRELEVEMENT</t>
  </si>
  <si>
    <t>34305956400959</t>
  </si>
  <si>
    <t>F00139</t>
  </si>
  <si>
    <t>4SH</t>
  </si>
  <si>
    <t>49379960500016</t>
  </si>
  <si>
    <t>F00140</t>
  </si>
  <si>
    <t>SHURGARD-Prélèvement</t>
  </si>
  <si>
    <t>40360977900646</t>
  </si>
  <si>
    <t>F00142</t>
  </si>
  <si>
    <t>SIETEL</t>
  </si>
  <si>
    <t>34910059400010</t>
  </si>
  <si>
    <t>F00143</t>
  </si>
  <si>
    <t>SLIMPAY</t>
  </si>
  <si>
    <t>51899133600042</t>
  </si>
  <si>
    <t>F00145</t>
  </si>
  <si>
    <t>SOBECA</t>
  </si>
  <si>
    <t>70378024700044</t>
  </si>
  <si>
    <t>F00147</t>
  </si>
  <si>
    <t>SOLSTYCE</t>
  </si>
  <si>
    <t>51958940200030 </t>
  </si>
  <si>
    <t>F00148</t>
  </si>
  <si>
    <t>MON-SOREGIES</t>
  </si>
  <si>
    <t>45088922500014</t>
  </si>
  <si>
    <t>F00149</t>
  </si>
  <si>
    <t>SPIE CLOUD SERVICES</t>
  </si>
  <si>
    <t>F00151</t>
  </si>
  <si>
    <t>TRANSPORTS SUZANNE</t>
  </si>
  <si>
    <t>72365016400020</t>
  </si>
  <si>
    <t>F00152</t>
  </si>
  <si>
    <t>SDE 83 - SYMIELECVAR</t>
  </si>
  <si>
    <t>25830274400044</t>
  </si>
  <si>
    <t>F00153</t>
  </si>
  <si>
    <t>AVIA THEVENIN ET DUCROT AUTOROUTE (AVIA TD)</t>
  </si>
  <si>
    <t>43388775900010</t>
  </si>
  <si>
    <t>F00154</t>
  </si>
  <si>
    <t>TECHNOLIA 2.0-UTLISER F01223</t>
  </si>
  <si>
    <t>82140113000025</t>
  </si>
  <si>
    <t>F00155</t>
  </si>
  <si>
    <t>TECXELL INTERIM</t>
  </si>
  <si>
    <t>39041272400093</t>
  </si>
  <si>
    <t>F00156</t>
  </si>
  <si>
    <t>TEMIS FORMATION</t>
  </si>
  <si>
    <t>51060280800055</t>
  </si>
  <si>
    <t>F00158</t>
  </si>
  <si>
    <t>CPO-TotalEnergies Marketing France</t>
  </si>
  <si>
    <t>53168044500024</t>
  </si>
  <si>
    <t>F00160</t>
  </si>
  <si>
    <t>UPS</t>
  </si>
  <si>
    <t>33417522101010</t>
  </si>
  <si>
    <t>F00161</t>
  </si>
  <si>
    <t>VECTEUR PLUS</t>
  </si>
  <si>
    <t>40212503300033</t>
  </si>
  <si>
    <t>F00163</t>
  </si>
  <si>
    <t>WATERLOGIC FRANCE</t>
  </si>
  <si>
    <t>41923501500056</t>
  </si>
  <si>
    <t>F00164</t>
  </si>
  <si>
    <t>WIRELESS</t>
  </si>
  <si>
    <t>75199999600034</t>
  </si>
  <si>
    <t>F00165</t>
  </si>
  <si>
    <t>YERRES ELECTRICITE SERVICES</t>
  </si>
  <si>
    <t>38430882100048</t>
  </si>
  <si>
    <t>F00166</t>
  </si>
  <si>
    <t>CPO-Tritium NexGen Solutions BV</t>
  </si>
  <si>
    <t>866819277</t>
  </si>
  <si>
    <t>F00167</t>
  </si>
  <si>
    <t>SPHINX CONNECT FRANCE</t>
  </si>
  <si>
    <t>43939846200044</t>
  </si>
  <si>
    <t>F00168</t>
  </si>
  <si>
    <t>LES BEAUX YEUX</t>
  </si>
  <si>
    <t>79438945200010</t>
  </si>
  <si>
    <t>F00169</t>
  </si>
  <si>
    <t>AFNOR CERTIFICATION</t>
  </si>
  <si>
    <t>4790760024G19</t>
  </si>
  <si>
    <t>F00170</t>
  </si>
  <si>
    <t>SCRIPT ADOUR</t>
  </si>
  <si>
    <t>41387150000034</t>
  </si>
  <si>
    <t>F00171</t>
  </si>
  <si>
    <t>NO MORE PENGUINS LYON</t>
  </si>
  <si>
    <t>83980389700017</t>
  </si>
  <si>
    <t>F00172</t>
  </si>
  <si>
    <t>TRANSFER</t>
  </si>
  <si>
    <t>33268010700106</t>
  </si>
  <si>
    <t>F00173</t>
  </si>
  <si>
    <t>IMATEC</t>
  </si>
  <si>
    <t>41889556100029</t>
  </si>
  <si>
    <t>F00174</t>
  </si>
  <si>
    <t>OREX ILE DE FRANCE</t>
  </si>
  <si>
    <t>35288025600057</t>
  </si>
  <si>
    <t>F00175</t>
  </si>
  <si>
    <t>OSLO NE PLUS UTILISER</t>
  </si>
  <si>
    <t>31553590600269</t>
  </si>
  <si>
    <t>F00176</t>
  </si>
  <si>
    <t>ZW FRANCE</t>
  </si>
  <si>
    <t>53187667000013</t>
  </si>
  <si>
    <t>F00177</t>
  </si>
  <si>
    <t>ARKEA SECURITE</t>
  </si>
  <si>
    <t>52874385900035</t>
  </si>
  <si>
    <t>F00178</t>
  </si>
  <si>
    <t>GIREVE</t>
  </si>
  <si>
    <t>79451964500038</t>
  </si>
  <si>
    <t>F00179</t>
  </si>
  <si>
    <t>ANTEOR - DIPM</t>
  </si>
  <si>
    <t>40082696200054</t>
  </si>
  <si>
    <t>F00180</t>
  </si>
  <si>
    <t>DBT-CEV</t>
  </si>
  <si>
    <t>52261304100014</t>
  </si>
  <si>
    <t>F00181</t>
  </si>
  <si>
    <t>SDE 61 - TERRITOIRE D'ENERGIE ORNE</t>
  </si>
  <si>
    <t>25610292200042</t>
  </si>
  <si>
    <t>F00182</t>
  </si>
  <si>
    <t>ESPRIT LIBRE</t>
  </si>
  <si>
    <t>45338413300055</t>
  </si>
  <si>
    <t>F00183</t>
  </si>
  <si>
    <t>EDF Entreprises-Virt / TIP</t>
  </si>
  <si>
    <t>F00185</t>
  </si>
  <si>
    <t>AMAZON voir Fournis.occasionnel</t>
  </si>
  <si>
    <t>F00186</t>
  </si>
  <si>
    <t>FRANCE DECORATION</t>
  </si>
  <si>
    <t xml:space="preserve"> 807 789 219 00035</t>
  </si>
  <si>
    <t>F00188</t>
  </si>
  <si>
    <t>VEGA-NATIXIS INTEREPARGNE</t>
  </si>
  <si>
    <t>69201266900077</t>
  </si>
  <si>
    <t>F00189</t>
  </si>
  <si>
    <t>CRIPPS LLP</t>
  </si>
  <si>
    <t>F00190</t>
  </si>
  <si>
    <t>EXPECTRA</t>
  </si>
  <si>
    <t>30438137901019</t>
  </si>
  <si>
    <t>F00191</t>
  </si>
  <si>
    <t>MON-ZENPARK</t>
  </si>
  <si>
    <t>53752714500024</t>
  </si>
  <si>
    <t>F00192</t>
  </si>
  <si>
    <t>OCCITALINE</t>
  </si>
  <si>
    <t>79462261300030</t>
  </si>
  <si>
    <t>F00193</t>
  </si>
  <si>
    <t>AFNOR Asso. Française de Normalisation</t>
  </si>
  <si>
    <t>47907600200019</t>
  </si>
  <si>
    <t>F00194</t>
  </si>
  <si>
    <t>KPMG</t>
  </si>
  <si>
    <t>77572641707266</t>
  </si>
  <si>
    <t>F00195</t>
  </si>
  <si>
    <t>AVERE</t>
  </si>
  <si>
    <t>38116679200071</t>
  </si>
  <si>
    <t>F00196</t>
  </si>
  <si>
    <t>CARL</t>
  </si>
  <si>
    <t>38484125000051</t>
  </si>
  <si>
    <t>F00197</t>
  </si>
  <si>
    <t>FLOTTES AUTOMOBILES (Varenne Entrerprises)</t>
  </si>
  <si>
    <t>33945350800048</t>
  </si>
  <si>
    <t>F00198</t>
  </si>
  <si>
    <t>PAGE PERSONNEL</t>
  </si>
  <si>
    <t>39925689001603</t>
  </si>
  <si>
    <t>F00199</t>
  </si>
  <si>
    <t>INDUSTRIA ITALIANA AUTOBUS</t>
  </si>
  <si>
    <t>F00200</t>
  </si>
  <si>
    <t>EURECIA</t>
  </si>
  <si>
    <t>48782026800083</t>
  </si>
  <si>
    <t>F00201</t>
  </si>
  <si>
    <t>IES</t>
  </si>
  <si>
    <t>38422916700042</t>
  </si>
  <si>
    <t>F00202</t>
  </si>
  <si>
    <t>EDF ENTREPRISE - Prélèvement</t>
  </si>
  <si>
    <t>F00204</t>
  </si>
  <si>
    <t>ACCESS COURSES</t>
  </si>
  <si>
    <t>82219366000013</t>
  </si>
  <si>
    <t>F00205</t>
  </si>
  <si>
    <t>EDF ENTREPRISE - contrat Metz</t>
  </si>
  <si>
    <t>F00206</t>
  </si>
  <si>
    <t>EDF CONV.APPORT/RECHERCHE/DAG</t>
  </si>
  <si>
    <t>F00207</t>
  </si>
  <si>
    <t>PRIME ENGINEERING</t>
  </si>
  <si>
    <t>F00208</t>
  </si>
  <si>
    <t>SERPOLLET</t>
  </si>
  <si>
    <t>95850628900023</t>
  </si>
  <si>
    <t>F00211</t>
  </si>
  <si>
    <t>SOCOTEC EQUIPEMENTS</t>
  </si>
  <si>
    <t>83409669500806</t>
  </si>
  <si>
    <t>F00212</t>
  </si>
  <si>
    <t>Kofax Sweden Techno - Prelvt</t>
  </si>
  <si>
    <t>F00213</t>
  </si>
  <si>
    <t>BMA</t>
  </si>
  <si>
    <t>52090136400023</t>
  </si>
  <si>
    <t>F00214</t>
  </si>
  <si>
    <t>MON-SDE 77 - SDESM ENERGIES</t>
  </si>
  <si>
    <t>83167087200017</t>
  </si>
  <si>
    <t>F00217</t>
  </si>
  <si>
    <t>AVANTAGES SERVICES</t>
  </si>
  <si>
    <t>33950831900037</t>
  </si>
  <si>
    <t>F00218</t>
  </si>
  <si>
    <t>SIG IMAGE</t>
  </si>
  <si>
    <t>39182044600022</t>
  </si>
  <si>
    <t>F00220</t>
  </si>
  <si>
    <t>APAVE PARISIENNE (ne plus utiliser)</t>
  </si>
  <si>
    <t>39316827300299</t>
  </si>
  <si>
    <t>F00224</t>
  </si>
  <si>
    <t>TECHBAT SERVICES T.B.S</t>
  </si>
  <si>
    <t>53999821100020</t>
  </si>
  <si>
    <t>F00227</t>
  </si>
  <si>
    <t>CPO-E TOTEM</t>
  </si>
  <si>
    <t>53918816900038</t>
  </si>
  <si>
    <t>F00229</t>
  </si>
  <si>
    <t>PAYNEAU FRERES</t>
  </si>
  <si>
    <t>41985514300014</t>
  </si>
  <si>
    <t>F00230</t>
  </si>
  <si>
    <t>SMILE</t>
  </si>
  <si>
    <t>37861536300322</t>
  </si>
  <si>
    <t>F00231</t>
  </si>
  <si>
    <t>BUREAU VERITAS CONSTRUCTION</t>
  </si>
  <si>
    <t>79018278601529</t>
  </si>
  <si>
    <t>F00232</t>
  </si>
  <si>
    <t>RST GRAND EST</t>
  </si>
  <si>
    <t>84779489800027</t>
  </si>
  <si>
    <t>F00233</t>
  </si>
  <si>
    <t>ERI</t>
  </si>
  <si>
    <t>57207890500021</t>
  </si>
  <si>
    <t>F00234</t>
  </si>
  <si>
    <t>SDE 91 - SMOYS</t>
  </si>
  <si>
    <t>25910245700027</t>
  </si>
  <si>
    <t>F00235</t>
  </si>
  <si>
    <t>JARDINS DE L'ORANGERIE</t>
  </si>
  <si>
    <t>39859825000023</t>
  </si>
  <si>
    <t>F00236</t>
  </si>
  <si>
    <t>MIRMU</t>
  </si>
  <si>
    <t>F00237</t>
  </si>
  <si>
    <t>KUNBUS</t>
  </si>
  <si>
    <t>F00238</t>
  </si>
  <si>
    <t>TOKHEIM SERVICES FRANCE</t>
  </si>
  <si>
    <t>34535118300578</t>
  </si>
  <si>
    <t>F00239</t>
  </si>
  <si>
    <t>LINKEDIN IRELAND UNLIMITED COMPANY</t>
  </si>
  <si>
    <t>F00240</t>
  </si>
  <si>
    <t>CITEOS POITIERS (ANCELIN)</t>
  </si>
  <si>
    <t>77556323200104</t>
  </si>
  <si>
    <t>F00241</t>
  </si>
  <si>
    <t>CADACTUEL</t>
  </si>
  <si>
    <t>30544348300055</t>
  </si>
  <si>
    <t>F00242</t>
  </si>
  <si>
    <t>OSE</t>
  </si>
  <si>
    <t>43438024200017</t>
  </si>
  <si>
    <t>F00243</t>
  </si>
  <si>
    <t>TISSOT EDITIONS</t>
  </si>
  <si>
    <t>30658995300059</t>
  </si>
  <si>
    <t>F00244</t>
  </si>
  <si>
    <t>ROOM SAVEURS</t>
  </si>
  <si>
    <t>47929204700053</t>
  </si>
  <si>
    <t>F00245</t>
  </si>
  <si>
    <t>SD PACK</t>
  </si>
  <si>
    <t>80457525600024</t>
  </si>
  <si>
    <t>F00246</t>
  </si>
  <si>
    <t>DELL</t>
  </si>
  <si>
    <t>35152822900088</t>
  </si>
  <si>
    <t>F00249</t>
  </si>
  <si>
    <t>ENSIO SUD ANCIEN ETE RESEAUX</t>
  </si>
  <si>
    <t>43372511600118</t>
  </si>
  <si>
    <t>F00250</t>
  </si>
  <si>
    <t>SDEM 50</t>
  </si>
  <si>
    <t>25500288300023</t>
  </si>
  <si>
    <t>F00252</t>
  </si>
  <si>
    <t>SDE 29</t>
  </si>
  <si>
    <t>25290114500042</t>
  </si>
  <si>
    <t>F00253</t>
  </si>
  <si>
    <t>STACK EXCHANGE</t>
  </si>
  <si>
    <t>F00254</t>
  </si>
  <si>
    <t>LES ECHOS</t>
  </si>
  <si>
    <t>58207143700047</t>
  </si>
  <si>
    <t>F00255</t>
  </si>
  <si>
    <t>OBJETRAMA</t>
  </si>
  <si>
    <t>44818058800049</t>
  </si>
  <si>
    <t>F00256</t>
  </si>
  <si>
    <t>BENOMAD</t>
  </si>
  <si>
    <t>44276855200048</t>
  </si>
  <si>
    <t>F00258</t>
  </si>
  <si>
    <t>SCHNEIDER ELECTRIC SLOVAKIA, spol. s r.o.</t>
  </si>
  <si>
    <t>F00259</t>
  </si>
  <si>
    <t>SCHNEIDER ELECTRIC ESPAGNE</t>
  </si>
  <si>
    <t>F00260</t>
  </si>
  <si>
    <t>SCHNEIDER ELECTRIC ALLEMAGNE</t>
  </si>
  <si>
    <t>F00261</t>
  </si>
  <si>
    <t>HIGH GRAPH ARCHITECTURE</t>
  </si>
  <si>
    <t>43034739300042</t>
  </si>
  <si>
    <t>F00262</t>
  </si>
  <si>
    <t>FLORISA</t>
  </si>
  <si>
    <t>49492605800012</t>
  </si>
  <si>
    <t>F00263</t>
  </si>
  <si>
    <t>SOLUTION 30 HOLDING GMBH</t>
  </si>
  <si>
    <t>F00264</t>
  </si>
  <si>
    <t>NETLEGIS</t>
  </si>
  <si>
    <t>53279243900020</t>
  </si>
  <si>
    <t>F00266</t>
  </si>
  <si>
    <t>QUALINOVE</t>
  </si>
  <si>
    <t>39853578100049</t>
  </si>
  <si>
    <t>F00268</t>
  </si>
  <si>
    <t>SDEL RESEAUX AQUITAINE</t>
  </si>
  <si>
    <t>41392206300032</t>
  </si>
  <si>
    <t>F00269</t>
  </si>
  <si>
    <t>ACOZE FRANCE</t>
  </si>
  <si>
    <t>F00270</t>
  </si>
  <si>
    <t>CPO-SDE 44 - SYDELA</t>
  </si>
  <si>
    <t>20001492600030</t>
  </si>
  <si>
    <t>F00271</t>
  </si>
  <si>
    <t>INGENICO GROUP</t>
  </si>
  <si>
    <t>53860040400023</t>
  </si>
  <si>
    <t>F00278</t>
  </si>
  <si>
    <t>RESILIE - ORANGE BUSINESS - Contrat 6071 - PRELVT</t>
  </si>
  <si>
    <t>F00665</t>
  </si>
  <si>
    <t>LE BACKYARD</t>
  </si>
  <si>
    <t>81913087300022</t>
  </si>
  <si>
    <t>F00666</t>
  </si>
  <si>
    <t>SDEA (Syndicat Dép Energue Aube)</t>
  </si>
  <si>
    <t>25100188900012</t>
  </si>
  <si>
    <t>F00667</t>
  </si>
  <si>
    <t>CPO-TEVGO E-CHARGE 50</t>
  </si>
  <si>
    <t>F00668</t>
  </si>
  <si>
    <t>CPO-TEVGO SAEMES</t>
  </si>
  <si>
    <t>F00669</t>
  </si>
  <si>
    <t>STUDIO JOSEPHO</t>
  </si>
  <si>
    <t>81436886600038</t>
  </si>
  <si>
    <t>F00670</t>
  </si>
  <si>
    <t>SEGULA TECHNOLOGIES</t>
  </si>
  <si>
    <t>33058108300921</t>
  </si>
  <si>
    <t>F00674</t>
  </si>
  <si>
    <t>WECAP</t>
  </si>
  <si>
    <t>90011170900011</t>
  </si>
  <si>
    <t>F00675</t>
  </si>
  <si>
    <t>CPO-METROPOLIS</t>
  </si>
  <si>
    <t>88535486000029</t>
  </si>
  <si>
    <t>F00677</t>
  </si>
  <si>
    <t>QONEXIO</t>
  </si>
  <si>
    <t>90269312600010</t>
  </si>
  <si>
    <t>F00678</t>
  </si>
  <si>
    <t>FORMIND</t>
  </si>
  <si>
    <t>52493585500030</t>
  </si>
  <si>
    <t>F00679</t>
  </si>
  <si>
    <t>CPO-SHELL EV CHARGING NEUILLY</t>
  </si>
  <si>
    <t>81992668400021</t>
  </si>
  <si>
    <t>F00680</t>
  </si>
  <si>
    <t>SDE 10 - ENERGIE DE L'AUBE</t>
  </si>
  <si>
    <t>20009339100015</t>
  </si>
  <si>
    <t>F00681</t>
  </si>
  <si>
    <t>CITEOS Pont Evêque</t>
  </si>
  <si>
    <t>77811479300038</t>
  </si>
  <si>
    <t>F00682</t>
  </si>
  <si>
    <t>SARR SIGNALISATION ACCESS REVET REFLECTEU</t>
  </si>
  <si>
    <t>57585125800054</t>
  </si>
  <si>
    <t>F00683</t>
  </si>
  <si>
    <t>BUTTERFLY AERO TRAINING</t>
  </si>
  <si>
    <t>48206411000034</t>
  </si>
  <si>
    <t>F00684</t>
  </si>
  <si>
    <t>AD'MISSIONS ONE</t>
  </si>
  <si>
    <t>83752144200017</t>
  </si>
  <si>
    <t>F00685</t>
  </si>
  <si>
    <t>THE NEW MOTION B.V.</t>
  </si>
  <si>
    <t>F00687</t>
  </si>
  <si>
    <t>LANGLOIS</t>
  </si>
  <si>
    <t>38197309800019</t>
  </si>
  <si>
    <t>F00688</t>
  </si>
  <si>
    <t>MON-HOTRAVAIL</t>
  </si>
  <si>
    <t>39106361700024</t>
  </si>
  <si>
    <t>F00689</t>
  </si>
  <si>
    <t>VIPARIS</t>
  </si>
  <si>
    <t>32125506900031</t>
  </si>
  <si>
    <t>F00690</t>
  </si>
  <si>
    <t>Vinci Autoroutes ASF</t>
  </si>
  <si>
    <t>57213999603633</t>
  </si>
  <si>
    <t>F00691</t>
  </si>
  <si>
    <t>ECOVADIS</t>
  </si>
  <si>
    <t>49784291400051</t>
  </si>
  <si>
    <t>F00693</t>
  </si>
  <si>
    <t>ABB E-MOBILITY</t>
  </si>
  <si>
    <t>90265792300014</t>
  </si>
  <si>
    <t>F00698</t>
  </si>
  <si>
    <t>WMH Project</t>
  </si>
  <si>
    <t>40242342000072</t>
  </si>
  <si>
    <t>F00699</t>
  </si>
  <si>
    <t>ENESIS COMMUNICATION</t>
  </si>
  <si>
    <t>75147925400029</t>
  </si>
  <si>
    <t>F00701</t>
  </si>
  <si>
    <t>PRESTAPOSE</t>
  </si>
  <si>
    <t>49099919000039</t>
  </si>
  <si>
    <t>F00702</t>
  </si>
  <si>
    <t>LES LILY'S ROULENT</t>
  </si>
  <si>
    <t>F00703</t>
  </si>
  <si>
    <t>EUROP ELEC AUDIOVISUEL</t>
  </si>
  <si>
    <t>44281495000030</t>
  </si>
  <si>
    <t>F00704</t>
  </si>
  <si>
    <t>ANTIGONE COMMUNICATION</t>
  </si>
  <si>
    <t>49949558800026</t>
  </si>
  <si>
    <t>F00705</t>
  </si>
  <si>
    <t>ENSTO FRANCE</t>
  </si>
  <si>
    <t>66282100800080</t>
  </si>
  <si>
    <t>F00706</t>
  </si>
  <si>
    <t>CPO-NEW MOTION ALLEMAGNE DEVIENT SHELL EV CHARGING</t>
  </si>
  <si>
    <t>F00707</t>
  </si>
  <si>
    <t>LA BOUCLE</t>
  </si>
  <si>
    <t>79143071300036</t>
  </si>
  <si>
    <t>F00708</t>
  </si>
  <si>
    <t>ORANGE BUSINESS-Contrat 8446 - IG</t>
  </si>
  <si>
    <t>F00709</t>
  </si>
  <si>
    <t>ORANGE BUSINESS-contrat 4693 - IG</t>
  </si>
  <si>
    <t>F00710</t>
  </si>
  <si>
    <t>MISSION CONSEIL ASSISTANCE INGENIERIE (MCA)</t>
  </si>
  <si>
    <t>49087366800035</t>
  </si>
  <si>
    <t>F00711</t>
  </si>
  <si>
    <t>CPO-IONITY FRANCE</t>
  </si>
  <si>
    <t>43312753700036</t>
  </si>
  <si>
    <t>F00713</t>
  </si>
  <si>
    <t>EUROCOMPOSANT</t>
  </si>
  <si>
    <t>35187489600035</t>
  </si>
  <si>
    <t>F00714</t>
  </si>
  <si>
    <t>HOTEL PULLMAN</t>
  </si>
  <si>
    <t>52109624800021</t>
  </si>
  <si>
    <t>F00715</t>
  </si>
  <si>
    <t>HIDDEN HOTEL SAS PARIS ETOILE HOTEL  P E H</t>
  </si>
  <si>
    <t>40321488500010</t>
  </si>
  <si>
    <t>F00716</t>
  </si>
  <si>
    <t>DIMO GOODIES SAS LA DIFFUSION MODERNE</t>
  </si>
  <si>
    <t>F00717</t>
  </si>
  <si>
    <t>NAEMES</t>
  </si>
  <si>
    <t>48530878700046</t>
  </si>
  <si>
    <t>F00719</t>
  </si>
  <si>
    <t>GESTIVERT SAS GESTI-VERT</t>
  </si>
  <si>
    <t>48193571600045</t>
  </si>
  <si>
    <t>F00721</t>
  </si>
  <si>
    <t>MON-COMMUNE DE LA GARENNE COLOMBES</t>
  </si>
  <si>
    <t>21920035900012</t>
  </si>
  <si>
    <t>F00722</t>
  </si>
  <si>
    <t>LIDO</t>
  </si>
  <si>
    <t>66202905700020</t>
  </si>
  <si>
    <t>F00723</t>
  </si>
  <si>
    <t>Camping Sandaya Domaine du Verdon</t>
  </si>
  <si>
    <t>665009700014</t>
  </si>
  <si>
    <t>F00724</t>
  </si>
  <si>
    <t>MON-Sandaya Muides sur Loire chateau Marais</t>
  </si>
  <si>
    <t>80967554900038</t>
  </si>
  <si>
    <t>F00725</t>
  </si>
  <si>
    <t>camping sandaya camping les peneyrals Carlucet</t>
  </si>
  <si>
    <t>34153153100026</t>
  </si>
  <si>
    <t>F00726</t>
  </si>
  <si>
    <t>EG+ WORLDWIDE SNC TBWA PROD</t>
  </si>
  <si>
    <t>41505503700121</t>
  </si>
  <si>
    <t>F00727</t>
  </si>
  <si>
    <t>Camping Sandaya Atur LE GRAND DAGUE</t>
  </si>
  <si>
    <t>53367070900021</t>
  </si>
  <si>
    <t>F00728</t>
  </si>
  <si>
    <t>MON-Camping Sandaya Plein air des chênes Clapiers</t>
  </si>
  <si>
    <t>46780049600011</t>
  </si>
  <si>
    <t>F00729</t>
  </si>
  <si>
    <t>SFR BUSINESS DISTRIBUTION</t>
  </si>
  <si>
    <t>43181791501866</t>
  </si>
  <si>
    <t>F00730</t>
  </si>
  <si>
    <t>SBKG ET ASSOCIES</t>
  </si>
  <si>
    <t>79982795100044</t>
  </si>
  <si>
    <t>F00731</t>
  </si>
  <si>
    <t>CPO-IONITY BELGIQUE</t>
  </si>
  <si>
    <t>F00732</t>
  </si>
  <si>
    <t>RENAISSANCE PARIS HIPPODROME ST CLOUD</t>
  </si>
  <si>
    <t>32241745200016</t>
  </si>
  <si>
    <t>F00733</t>
  </si>
  <si>
    <t>LA BOITE A COCKTAILS SASU</t>
  </si>
  <si>
    <t>85028858000028</t>
  </si>
  <si>
    <t>F00734</t>
  </si>
  <si>
    <t>LA MAISON DU CHOCOLAT</t>
  </si>
  <si>
    <t>57215431800255</t>
  </si>
  <si>
    <t>F00735</t>
  </si>
  <si>
    <t>GLADY WEDOOGIFT</t>
  </si>
  <si>
    <t>79902523400144</t>
  </si>
  <si>
    <t>F00736</t>
  </si>
  <si>
    <t>CPO-SDE DE MAINE ET LOIRE - SDE 49</t>
  </si>
  <si>
    <t>22490001900015</t>
  </si>
  <si>
    <t>F00737</t>
  </si>
  <si>
    <t>Citelum - NE PLUS UTILISER-PRENDRE F00033</t>
  </si>
  <si>
    <t>38964385900918</t>
  </si>
  <si>
    <t>F00738</t>
  </si>
  <si>
    <t>LP-DS ISO 27001 LEAD IMPLEMENTER</t>
  </si>
  <si>
    <t>89346773800017</t>
  </si>
  <si>
    <t>F00740</t>
  </si>
  <si>
    <t>SYANE - SDE Haute Vienne</t>
  </si>
  <si>
    <t>25740008500078</t>
  </si>
  <si>
    <t>F00741</t>
  </si>
  <si>
    <t>MON-SEMECO</t>
  </si>
  <si>
    <t>33504263600035</t>
  </si>
  <si>
    <t>F00742</t>
  </si>
  <si>
    <t>COLOMBUS CONSULTING</t>
  </si>
  <si>
    <t>42299315400067</t>
  </si>
  <si>
    <t>F00743</t>
  </si>
  <si>
    <t>KOFAX FRANCE TECHNOLOGIES</t>
  </si>
  <si>
    <t>41108885900045</t>
  </si>
  <si>
    <t>F00744</t>
  </si>
  <si>
    <t>TAKIMA</t>
  </si>
  <si>
    <t>43270957400052</t>
  </si>
  <si>
    <t>F00745</t>
  </si>
  <si>
    <t>M LENOIR VINCENT OLIVIER MARIE</t>
  </si>
  <si>
    <t>51099281100024</t>
  </si>
  <si>
    <t>F00746</t>
  </si>
  <si>
    <t>MON-SANDAYA LUZAC</t>
  </si>
  <si>
    <t>41029978800019</t>
  </si>
  <si>
    <t>F00747</t>
  </si>
  <si>
    <t>MON-SANDAYA ST AUBIN SUR MER</t>
  </si>
  <si>
    <t>75117653800021</t>
  </si>
  <si>
    <t>F00748</t>
  </si>
  <si>
    <t>ORANGE BUSINESS - DES 2022 - VIRT</t>
  </si>
  <si>
    <t>F00749</t>
  </si>
  <si>
    <t>ORANGE -Virt- 6031/1113-2526-3704-8326</t>
  </si>
  <si>
    <t>F00751</t>
  </si>
  <si>
    <t>MariaDB Corporation</t>
  </si>
  <si>
    <t>F00752</t>
  </si>
  <si>
    <t>UPTIMIS</t>
  </si>
  <si>
    <t>33089208400022</t>
  </si>
  <si>
    <t>F00753</t>
  </si>
  <si>
    <t>CPO-IONITY ITALIE</t>
  </si>
  <si>
    <t>F00754</t>
  </si>
  <si>
    <t>CPO-IONITY ALLEMAGNE</t>
  </si>
  <si>
    <t>F00755</t>
  </si>
  <si>
    <t>DALKIA EN</t>
  </si>
  <si>
    <t>79802527600030</t>
  </si>
  <si>
    <t>F00756</t>
  </si>
  <si>
    <t>CPO-IONITY SUISSE</t>
  </si>
  <si>
    <t>F00757</t>
  </si>
  <si>
    <t>FNAC PRO</t>
  </si>
  <si>
    <t>37785353600086</t>
  </si>
  <si>
    <t>F00758</t>
  </si>
  <si>
    <t>CPR ASSET MANAGEMENT</t>
  </si>
  <si>
    <t>39939214100053</t>
  </si>
  <si>
    <t>F00759</t>
  </si>
  <si>
    <t>SDED 52</t>
  </si>
  <si>
    <t>20005561400057</t>
  </si>
  <si>
    <t>F00762</t>
  </si>
  <si>
    <t>MON-SIGEIF</t>
  </si>
  <si>
    <t>20005043300024</t>
  </si>
  <si>
    <t>F00764</t>
  </si>
  <si>
    <t>KENAA NETWORK CONSULTING</t>
  </si>
  <si>
    <t>45119229800037</t>
  </si>
  <si>
    <t>F00765</t>
  </si>
  <si>
    <t>BOOSTER ACADEMY</t>
  </si>
  <si>
    <t>45363531000122</t>
  </si>
  <si>
    <t>F00766</t>
  </si>
  <si>
    <t>SIPA PRESS</t>
  </si>
  <si>
    <t>79049076700031</t>
  </si>
  <si>
    <t>F00767</t>
  </si>
  <si>
    <t>EDF IMMOBILIER GROUPE</t>
  </si>
  <si>
    <t>49006880600044</t>
  </si>
  <si>
    <t>F00768</t>
  </si>
  <si>
    <t>SCOP COOP'MAG</t>
  </si>
  <si>
    <t>51177413500038</t>
  </si>
  <si>
    <t>F00769</t>
  </si>
  <si>
    <t>MON-AUTOGRILL COTE FRANCE</t>
  </si>
  <si>
    <t>39137823900258</t>
  </si>
  <si>
    <t>F00770</t>
  </si>
  <si>
    <t>MON-CABINET JURIDIQUE SAONE RHONE</t>
  </si>
  <si>
    <t>79018427900012</t>
  </si>
  <si>
    <t>F00771</t>
  </si>
  <si>
    <t>PONTS COUVERT</t>
  </si>
  <si>
    <t>77887024600031</t>
  </si>
  <si>
    <t>F00772</t>
  </si>
  <si>
    <t>MON-YZEE SERVICES</t>
  </si>
  <si>
    <t>40799716200042</t>
  </si>
  <si>
    <t>F00773</t>
  </si>
  <si>
    <t>MON-MARCHE SAVOYARD GRAND FRAIS</t>
  </si>
  <si>
    <t>44866547100018</t>
  </si>
  <si>
    <t>F00776</t>
  </si>
  <si>
    <t>VIPE GESTION</t>
  </si>
  <si>
    <t>42958456800027</t>
  </si>
  <si>
    <t>F00778</t>
  </si>
  <si>
    <t>LUDIMAG (Intermarché Anizy)</t>
  </si>
  <si>
    <t>37874446000015</t>
  </si>
  <si>
    <t>F00779</t>
  </si>
  <si>
    <t>MON-COMMUNE DE CHAPONOST</t>
  </si>
  <si>
    <t>21690043100018</t>
  </si>
  <si>
    <t>F00781</t>
  </si>
  <si>
    <t>MON-VILLE DE BISCHWILLER</t>
  </si>
  <si>
    <t>21670046800012</t>
  </si>
  <si>
    <t>F00782</t>
  </si>
  <si>
    <t>MON-TITI FLORIS</t>
  </si>
  <si>
    <t>48788417300104</t>
  </si>
  <si>
    <t>F00783</t>
  </si>
  <si>
    <t>QUERCY REFRIGERATION (Froid)</t>
  </si>
  <si>
    <t>49793393700060</t>
  </si>
  <si>
    <t>F00785</t>
  </si>
  <si>
    <t>AB MAISONS</t>
  </si>
  <si>
    <t>80534023900039</t>
  </si>
  <si>
    <t>F00786</t>
  </si>
  <si>
    <t>MON-HÔTEL RESTAURANT LA PERGOLA</t>
  </si>
  <si>
    <t>40175239900014</t>
  </si>
  <si>
    <t>F00787</t>
  </si>
  <si>
    <t>MON-EPSA</t>
  </si>
  <si>
    <t>78235409600037</t>
  </si>
  <si>
    <t>F00788</t>
  </si>
  <si>
    <t>MON-PARTOUCHE Hôtel &amp; Spa Le Pavillon</t>
  </si>
  <si>
    <t>45392946500020</t>
  </si>
  <si>
    <t>F00789</t>
  </si>
  <si>
    <t>MON-DOMAINE DE L'ESPERON</t>
  </si>
  <si>
    <t>33223564700010</t>
  </si>
  <si>
    <t>F00790</t>
  </si>
  <si>
    <t>MON-DERMOR</t>
  </si>
  <si>
    <t>39124817600029</t>
  </si>
  <si>
    <t>F00791</t>
  </si>
  <si>
    <t>MON-CTA CONSTRUCTION</t>
  </si>
  <si>
    <t>31052062200088</t>
  </si>
  <si>
    <t>F00792</t>
  </si>
  <si>
    <t>Val de Moder</t>
  </si>
  <si>
    <t>F00793</t>
  </si>
  <si>
    <t>MON-ECOLE D'INGENIEURS de PURPAN</t>
  </si>
  <si>
    <t>77694414200012</t>
  </si>
  <si>
    <t>F00794</t>
  </si>
  <si>
    <t>CHADOTEL OCEANO D'OR</t>
  </si>
  <si>
    <t>38833452600083</t>
  </si>
  <si>
    <t>F00795</t>
  </si>
  <si>
    <t>MON-LA PLAGE ARGELES</t>
  </si>
  <si>
    <t>84203246800014</t>
  </si>
  <si>
    <t>F00796</t>
  </si>
  <si>
    <t>MON-BLANCHON GROUPE</t>
  </si>
  <si>
    <t>39011288600085</t>
  </si>
  <si>
    <t>F00797</t>
  </si>
  <si>
    <t>MON-CAMPING DU LAVEDAN</t>
  </si>
  <si>
    <t>38106948300018</t>
  </si>
  <si>
    <t>F00798</t>
  </si>
  <si>
    <t>MON-COMMUNE DE SCHWEIGHOUSE SUR MODER</t>
  </si>
  <si>
    <t>21670458500019</t>
  </si>
  <si>
    <t>F00799</t>
  </si>
  <si>
    <t>MON-DOMOLANDES</t>
  </si>
  <si>
    <t>52446078900018</t>
  </si>
  <si>
    <t>F00800</t>
  </si>
  <si>
    <t>MON-CCI CALAIS</t>
  </si>
  <si>
    <t>13002271800071</t>
  </si>
  <si>
    <t>F00801</t>
  </si>
  <si>
    <t>CPO-IONITY ESPAGNE</t>
  </si>
  <si>
    <t>F00802</t>
  </si>
  <si>
    <t>MON-CHU SEMUR</t>
  </si>
  <si>
    <t>26210018300017</t>
  </si>
  <si>
    <t>F00803</t>
  </si>
  <si>
    <t>MON-CISBIO BIOASSAYS</t>
  </si>
  <si>
    <t>51995498600013</t>
  </si>
  <si>
    <t>F00804</t>
  </si>
  <si>
    <t>MON-COOP COFRA</t>
  </si>
  <si>
    <t>31484324400018</t>
  </si>
  <si>
    <t>F00805</t>
  </si>
  <si>
    <t>MON-CSP PARIS FASHION GROUP - PARIS</t>
  </si>
  <si>
    <t>41031726700038</t>
  </si>
  <si>
    <t>F00806</t>
  </si>
  <si>
    <t>MON-CASINO MUNICIPAL DE ROYAT - PARTOUCHE</t>
  </si>
  <si>
    <t>38438693400010</t>
  </si>
  <si>
    <t>F00807</t>
  </si>
  <si>
    <t>MON-MAISON PIERRE OTEIZA</t>
  </si>
  <si>
    <t>39195280100010</t>
  </si>
  <si>
    <t>F00808</t>
  </si>
  <si>
    <t>MON-MAIRIE DE FREVENT</t>
  </si>
  <si>
    <t>21620361200017</t>
  </si>
  <si>
    <t>F00809</t>
  </si>
  <si>
    <t>VINCI FACILITIES CEGELEC MAINTENANCE TER. SUD EST</t>
  </si>
  <si>
    <t>53791607400256</t>
  </si>
  <si>
    <t>F00810</t>
  </si>
  <si>
    <t>MON-CARIMA LA JARDINIERE BAOBAB</t>
  </si>
  <si>
    <t>44073177600017</t>
  </si>
  <si>
    <t>F00811</t>
  </si>
  <si>
    <t>Gault et Fremont</t>
  </si>
  <si>
    <t>54480085700028</t>
  </si>
  <si>
    <t>F00812</t>
  </si>
  <si>
    <t>MON-GROUPE INCA</t>
  </si>
  <si>
    <t>83085868400020</t>
  </si>
  <si>
    <t>F00813</t>
  </si>
  <si>
    <t>MON-KAFREMBO</t>
  </si>
  <si>
    <t>42467015600035</t>
  </si>
  <si>
    <t>F00814</t>
  </si>
  <si>
    <t>SAS AMELIE INVEST HOTEL</t>
  </si>
  <si>
    <t>31939280900012</t>
  </si>
  <si>
    <t>F00815</t>
  </si>
  <si>
    <t>MON-LA CHAMBRE D'AMIENS</t>
  </si>
  <si>
    <t>81181580200012</t>
  </si>
  <si>
    <t>F00816</t>
  </si>
  <si>
    <t>MON-NEOLIA</t>
  </si>
  <si>
    <t>30591873200010</t>
  </si>
  <si>
    <t>F00817</t>
  </si>
  <si>
    <t>MON-SEMVR- ville de Roubaix Parabole, Bl</t>
  </si>
  <si>
    <t>31869720800094</t>
  </si>
  <si>
    <t>F00818</t>
  </si>
  <si>
    <t>SEMVR EFFIA Roubaix SAS, Grande Rue, Gambetta,</t>
  </si>
  <si>
    <t>F00819</t>
  </si>
  <si>
    <t>SEMVR parkings de L’UNION SEMVR-Plaine Images</t>
  </si>
  <si>
    <t>F00820</t>
  </si>
  <si>
    <t>MON-CCI BAYONNE</t>
  </si>
  <si>
    <t>18640005700011</t>
  </si>
  <si>
    <t>F00821</t>
  </si>
  <si>
    <t>MON-Communauté de Communes du Pays de Wissembourg</t>
  </si>
  <si>
    <t>24670092600057</t>
  </si>
  <si>
    <t>F00822</t>
  </si>
  <si>
    <t>AEROPORTS DE PARIS (ADP)</t>
  </si>
  <si>
    <t>55201662800273</t>
  </si>
  <si>
    <t>F00823</t>
  </si>
  <si>
    <t>Camping Sandaya Paris Maisons-Laffitte</t>
  </si>
  <si>
    <t>65272086300024</t>
  </si>
  <si>
    <t>F00824</t>
  </si>
  <si>
    <t>CPO-ENOVOS LUXEMBOURG S.A.</t>
  </si>
  <si>
    <t>F00825</t>
  </si>
  <si>
    <t>ATROIS WELCOME AT WORK</t>
  </si>
  <si>
    <t>81336239900046</t>
  </si>
  <si>
    <t>F00826</t>
  </si>
  <si>
    <t>MON-UNIBAIL MARKETING ET MULTIMEDIA  SAS</t>
  </si>
  <si>
    <t>F00827</t>
  </si>
  <si>
    <t>DIGITAL RIVER IRELAND LIMITED - Lenovo</t>
  </si>
  <si>
    <t>48891739400014</t>
  </si>
  <si>
    <t>F00829</t>
  </si>
  <si>
    <t>SENTRY</t>
  </si>
  <si>
    <t>F00830</t>
  </si>
  <si>
    <t>ADOBE SYSTEMS SOFTWARE IRELAND LTD</t>
  </si>
  <si>
    <t>F00832</t>
  </si>
  <si>
    <t>CPO-DUFERCO ENERGIA</t>
  </si>
  <si>
    <t>F00833</t>
  </si>
  <si>
    <t>AE3-ALLIANCE ECOLE ENTREPRISE</t>
  </si>
  <si>
    <t>87991956100024</t>
  </si>
  <si>
    <t>F00834</t>
  </si>
  <si>
    <t>MON-U-LOGISTIQUE SAS</t>
  </si>
  <si>
    <t>81014656300020</t>
  </si>
  <si>
    <t>F00835</t>
  </si>
  <si>
    <t>MON-Super U Gemozac GEMODIAL</t>
  </si>
  <si>
    <t>31127491400028</t>
  </si>
  <si>
    <t>F00836</t>
  </si>
  <si>
    <t>BUSINESS CLASS LANGUAGE SOLUTIONS</t>
  </si>
  <si>
    <t>44910016300038</t>
  </si>
  <si>
    <t>F00837</t>
  </si>
  <si>
    <t>MON-Super U Limoges SOPACO</t>
  </si>
  <si>
    <t>42042812000026</t>
  </si>
  <si>
    <t>F00838</t>
  </si>
  <si>
    <t>MON-Super U Nieppe CHAMLYS</t>
  </si>
  <si>
    <t>42870238500025</t>
  </si>
  <si>
    <t>F00839</t>
  </si>
  <si>
    <t>MON-Super U Tranche sur mer SOTRANDIS</t>
  </si>
  <si>
    <t>40373146600013</t>
  </si>
  <si>
    <t>F00840</t>
  </si>
  <si>
    <t>MON-Super U LA GRANDE PRAIRIE Bougueil</t>
  </si>
  <si>
    <t>31872465500010</t>
  </si>
  <si>
    <t>F00841</t>
  </si>
  <si>
    <t>MON-Super U ChateauNeuf CHATEAUDIS</t>
  </si>
  <si>
    <t>32514732000015</t>
  </si>
  <si>
    <t>F00842</t>
  </si>
  <si>
    <t>MON-Super U Corbelin CORBEDIS</t>
  </si>
  <si>
    <t>80052830900027</t>
  </si>
  <si>
    <t>F00843</t>
  </si>
  <si>
    <t>MON-Super U GERTWILLER DISTRIBUTION</t>
  </si>
  <si>
    <t>34481464500018</t>
  </si>
  <si>
    <t>F00844</t>
  </si>
  <si>
    <t>MON-SUPER U HAZEBROUCK BAPRI</t>
  </si>
  <si>
    <t>31887006000015</t>
  </si>
  <si>
    <t>F00845</t>
  </si>
  <si>
    <t>Super U ONET SUDECO</t>
  </si>
  <si>
    <t>34887704400068 </t>
  </si>
  <si>
    <t>F00846</t>
  </si>
  <si>
    <t>MON-Super U SAUJON MELODIA</t>
  </si>
  <si>
    <t>37983377500024</t>
  </si>
  <si>
    <t>F00847</t>
  </si>
  <si>
    <t>MON-Super U Angresse PROLATZ SAS</t>
  </si>
  <si>
    <t>81780818100033</t>
  </si>
  <si>
    <t>F00848</t>
  </si>
  <si>
    <t>MON-Super U MAUVEZIN - GASCODIS</t>
  </si>
  <si>
    <t>34760462100024</t>
  </si>
  <si>
    <t>F00849</t>
  </si>
  <si>
    <t>MAGNISFY FRANCE</t>
  </si>
  <si>
    <t>90874655500014</t>
  </si>
  <si>
    <t>F00850</t>
  </si>
  <si>
    <t>IONITY AUTRICHE</t>
  </si>
  <si>
    <t>F00851</t>
  </si>
  <si>
    <t>CPO-IONITY AMSTERDAM</t>
  </si>
  <si>
    <t>F00852</t>
  </si>
  <si>
    <t>MON-KERALAN</t>
  </si>
  <si>
    <t>34409127700014</t>
  </si>
  <si>
    <t>F00858</t>
  </si>
  <si>
    <t>AGORA CLUBS</t>
  </si>
  <si>
    <t>48131904400030</t>
  </si>
  <si>
    <t>F00859</t>
  </si>
  <si>
    <t>SUBLIMATIO</t>
  </si>
  <si>
    <t>53411617300053</t>
  </si>
  <si>
    <t>F00862</t>
  </si>
  <si>
    <t>SASU FG CONSULTING</t>
  </si>
  <si>
    <t>81002906600026</t>
  </si>
  <si>
    <t>F00863</t>
  </si>
  <si>
    <t>PROVIRIDIS</t>
  </si>
  <si>
    <t>75093872200022</t>
  </si>
  <si>
    <t>F00865</t>
  </si>
  <si>
    <t>CPO-SHELL EV CHARGINS SOLUTIONS LONDRES</t>
  </si>
  <si>
    <t>F00866</t>
  </si>
  <si>
    <t>STATIONS-E</t>
  </si>
  <si>
    <t>83512428000016</t>
  </si>
  <si>
    <t>F00867</t>
  </si>
  <si>
    <t>EFFIA STATIONNEMENT</t>
  </si>
  <si>
    <t>43527259601970</t>
  </si>
  <si>
    <t>F00870</t>
  </si>
  <si>
    <t>LEGROS TP</t>
  </si>
  <si>
    <t>96850501600046</t>
  </si>
  <si>
    <t>F00875</t>
  </si>
  <si>
    <t>Delta Electricité Electronique Etudes</t>
  </si>
  <si>
    <t>32542126100067</t>
  </si>
  <si>
    <t>F00876</t>
  </si>
  <si>
    <t>MON-Q-PARK RECHARGE FRANCE</t>
  </si>
  <si>
    <t>91187951800015</t>
  </si>
  <si>
    <t>F00879</t>
  </si>
  <si>
    <t>SONEPAR ILE-DE-FRANCE</t>
  </si>
  <si>
    <t>57218698900180</t>
  </si>
  <si>
    <t>F00880</t>
  </si>
  <si>
    <t>CPO-IONITY LONDRES</t>
  </si>
  <si>
    <t>F00881</t>
  </si>
  <si>
    <t>MON-CITIZ</t>
  </si>
  <si>
    <t>45166825500024</t>
  </si>
  <si>
    <t>F00882</t>
  </si>
  <si>
    <t>CPO-ALLEGO B.V.</t>
  </si>
  <si>
    <t>F00884</t>
  </si>
  <si>
    <t>CPO-SYDEV</t>
  </si>
  <si>
    <t>20004248900019</t>
  </si>
  <si>
    <t>F00887</t>
  </si>
  <si>
    <t>TEVGO SDE61 ORNE</t>
  </si>
  <si>
    <t>F00888</t>
  </si>
  <si>
    <t>VISEO</t>
  </si>
  <si>
    <t>79328801000085</t>
  </si>
  <si>
    <t>F00889</t>
  </si>
  <si>
    <t>APPARELO</t>
  </si>
  <si>
    <t>42158976300026</t>
  </si>
  <si>
    <t>F00891</t>
  </si>
  <si>
    <t>ALFEN B.V.</t>
  </si>
  <si>
    <t>F00894</t>
  </si>
  <si>
    <t>INTER 2000</t>
  </si>
  <si>
    <t>39469901100075</t>
  </si>
  <si>
    <t>F00896</t>
  </si>
  <si>
    <t>SADE Telecom</t>
  </si>
  <si>
    <t>F00897</t>
  </si>
  <si>
    <t>SALESFORCE COM FRANCE</t>
  </si>
  <si>
    <t>48399322600057</t>
  </si>
  <si>
    <t>F00898</t>
  </si>
  <si>
    <t>FIRST FINANCE SAS</t>
  </si>
  <si>
    <t>48945558400032</t>
  </si>
  <si>
    <t>F00899</t>
  </si>
  <si>
    <t>TEAM ACTIVE GRAND SUD SAS</t>
  </si>
  <si>
    <t>43440046100118</t>
  </si>
  <si>
    <t>F00494</t>
  </si>
  <si>
    <t>CPO-GreenFlux Assets B.V</t>
  </si>
  <si>
    <t>F00495</t>
  </si>
  <si>
    <t>AVANGATE B.V.</t>
  </si>
  <si>
    <t>F00496</t>
  </si>
  <si>
    <t>METROPOLE NICE COTE D AZUR - REGIE</t>
  </si>
  <si>
    <t>20003019500115</t>
  </si>
  <si>
    <t>F00497</t>
  </si>
  <si>
    <t>ALDEIS</t>
  </si>
  <si>
    <t>44164214700033</t>
  </si>
  <si>
    <t>F00498</t>
  </si>
  <si>
    <t>OFA Attestation légale</t>
  </si>
  <si>
    <t>52773773800023</t>
  </si>
  <si>
    <t>F00499</t>
  </si>
  <si>
    <t>INGETEAM</t>
  </si>
  <si>
    <t>52208252800020</t>
  </si>
  <si>
    <t>F00500</t>
  </si>
  <si>
    <t>DELTA ELECTRONICS (NETHERLANDS) B.V.</t>
  </si>
  <si>
    <t>F00501</t>
  </si>
  <si>
    <t>CAISSE DES DEPOTS</t>
  </si>
  <si>
    <t>18002002601405</t>
  </si>
  <si>
    <t>F00505</t>
  </si>
  <si>
    <t>MANPOWER FRANCE</t>
  </si>
  <si>
    <t>42995529714918</t>
  </si>
  <si>
    <t>F00506</t>
  </si>
  <si>
    <t>ALFA.SAFETY.</t>
  </si>
  <si>
    <t>40510058700048</t>
  </si>
  <si>
    <t>F00507</t>
  </si>
  <si>
    <t>EIFFAGE GENIE CIVIL Rhône Alpes Auvergne</t>
  </si>
  <si>
    <t>35274574900759</t>
  </si>
  <si>
    <t>F00508</t>
  </si>
  <si>
    <t>Malt (Jonathan Hauët) - Ne plus utiliser (Cf Malt)</t>
  </si>
  <si>
    <t>F00509</t>
  </si>
  <si>
    <t>CEGOS</t>
  </si>
  <si>
    <t>55202467100091</t>
  </si>
  <si>
    <t>F00510</t>
  </si>
  <si>
    <t>BATIEV</t>
  </si>
  <si>
    <t>80827180300021</t>
  </si>
  <si>
    <t>F00511</t>
  </si>
  <si>
    <t>SAS JM. BRUNEAU</t>
  </si>
  <si>
    <t>34395813800012</t>
  </si>
  <si>
    <t>F00512</t>
  </si>
  <si>
    <t>CIRCONTROL</t>
  </si>
  <si>
    <t>F00513</t>
  </si>
  <si>
    <t>ECARTIP GROUPE FONDASOL</t>
  </si>
  <si>
    <t>82077220000102</t>
  </si>
  <si>
    <t>F00514</t>
  </si>
  <si>
    <t>GROLLEAU</t>
  </si>
  <si>
    <t>30527372400024</t>
  </si>
  <si>
    <t>F00515</t>
  </si>
  <si>
    <t>PITCHY</t>
  </si>
  <si>
    <t>79941601100036</t>
  </si>
  <si>
    <t>F00516</t>
  </si>
  <si>
    <t>Auditoire</t>
  </si>
  <si>
    <t>34213334500088</t>
  </si>
  <si>
    <t>F00517</t>
  </si>
  <si>
    <t>MON-Commune de Nemours</t>
  </si>
  <si>
    <t>21770333900135</t>
  </si>
  <si>
    <t>F00518</t>
  </si>
  <si>
    <t>OFII</t>
  </si>
  <si>
    <t>F00519</t>
  </si>
  <si>
    <t>HAGER SAS</t>
  </si>
  <si>
    <t>67598011400010</t>
  </si>
  <si>
    <t>F00520</t>
  </si>
  <si>
    <t>GOCARDLESS SAS IZIVIA</t>
  </si>
  <si>
    <t>83442218000036</t>
  </si>
  <si>
    <t>F00524</t>
  </si>
  <si>
    <t>DREAMUDATA</t>
  </si>
  <si>
    <t>84051653800039</t>
  </si>
  <si>
    <t>F00525</t>
  </si>
  <si>
    <t>CPO-COGELUM IDF-CITEOS LEMONWAY</t>
  </si>
  <si>
    <t>F00526</t>
  </si>
  <si>
    <t>ITANCIA</t>
  </si>
  <si>
    <t>43306197500036</t>
  </si>
  <si>
    <t>F00527</t>
  </si>
  <si>
    <t>CPO-TOTAL EV CHARGE SERVICES</t>
  </si>
  <si>
    <t>84419244300027</t>
  </si>
  <si>
    <t>F00528</t>
  </si>
  <si>
    <t>M GIRAUD JOHAN</t>
  </si>
  <si>
    <t>81232730200038</t>
  </si>
  <si>
    <t>F00530</t>
  </si>
  <si>
    <t>SUP DE PUB</t>
  </si>
  <si>
    <t>48088589600054</t>
  </si>
  <si>
    <t>F00531</t>
  </si>
  <si>
    <t>EFE FORMATION</t>
  </si>
  <si>
    <t>41280696000040</t>
  </si>
  <si>
    <t>F00533</t>
  </si>
  <si>
    <t>DREEV</t>
  </si>
  <si>
    <t>84432463200026</t>
  </si>
  <si>
    <t>F00534</t>
  </si>
  <si>
    <t>MONGODB LIMITED</t>
  </si>
  <si>
    <t>F00536</t>
  </si>
  <si>
    <t>DE NEUVILLE</t>
  </si>
  <si>
    <t>33795732800301</t>
  </si>
  <si>
    <t>F00537</t>
  </si>
  <si>
    <t>POLIER INGENIERIE</t>
  </si>
  <si>
    <t>32262574000038</t>
  </si>
  <si>
    <t>F00538</t>
  </si>
  <si>
    <t>EOLANE DOUARNENEZ</t>
  </si>
  <si>
    <t>75122210000016</t>
  </si>
  <si>
    <t>F00539</t>
  </si>
  <si>
    <t>CLEM</t>
  </si>
  <si>
    <t>51945020900019</t>
  </si>
  <si>
    <t>F00540</t>
  </si>
  <si>
    <t>POSWARE</t>
  </si>
  <si>
    <t>39937338000027</t>
  </si>
  <si>
    <t>F00541</t>
  </si>
  <si>
    <t>Gocardless Belib</t>
  </si>
  <si>
    <t>F00542</t>
  </si>
  <si>
    <t>SOFILO GROUPE EDF</t>
  </si>
  <si>
    <t>57218419000062</t>
  </si>
  <si>
    <t>F00543</t>
  </si>
  <si>
    <t>MON-TE 47 Mobive</t>
  </si>
  <si>
    <t>25470182400016</t>
  </si>
  <si>
    <t>F00544</t>
  </si>
  <si>
    <t>MON-SDEG 16 Mobive</t>
  </si>
  <si>
    <t>25160006000031</t>
  </si>
  <si>
    <t>F00545</t>
  </si>
  <si>
    <t>MON-SDEER 17 Mobive</t>
  </si>
  <si>
    <t>25170219700012</t>
  </si>
  <si>
    <t>F00546</t>
  </si>
  <si>
    <t>MON-FDEE 19 Mobive</t>
  </si>
  <si>
    <t>F00547</t>
  </si>
  <si>
    <t>MON-SDE 24 Mobive</t>
  </si>
  <si>
    <t>25240147600012</t>
  </si>
  <si>
    <t>F00548</t>
  </si>
  <si>
    <t>MON-SDEEG 33 Mobive</t>
  </si>
  <si>
    <t>25330347300057</t>
  </si>
  <si>
    <t>F00608</t>
  </si>
  <si>
    <t>Les éditions des cassines</t>
  </si>
  <si>
    <t>40224181400035</t>
  </si>
  <si>
    <t>F00609</t>
  </si>
  <si>
    <t>SOFRADI</t>
  </si>
  <si>
    <t>31146059600035</t>
  </si>
  <si>
    <t>F00610</t>
  </si>
  <si>
    <t>LEXNOVAE</t>
  </si>
  <si>
    <t>85264245300017</t>
  </si>
  <si>
    <t>F00612</t>
  </si>
  <si>
    <t>BUREAU VERITAS EXPLOITATION</t>
  </si>
  <si>
    <t>79018467501787</t>
  </si>
  <si>
    <t>F00613</t>
  </si>
  <si>
    <t>NE PLUS UTILISER APAVE SUDEUROPE remplacé par APAVE EXPLOITATION</t>
  </si>
  <si>
    <t>51872092500040</t>
  </si>
  <si>
    <t>F00615</t>
  </si>
  <si>
    <t>MON-COMMUNAUTE PARIS-SACLAY</t>
  </si>
  <si>
    <t>20005623200149</t>
  </si>
  <si>
    <t>F00616</t>
  </si>
  <si>
    <t>HUISSIERS SILCRET-JEZEQUEL-SIRI</t>
  </si>
  <si>
    <t>38418916300023</t>
  </si>
  <si>
    <t>F00618</t>
  </si>
  <si>
    <t>HUISSIERS BUND-PETIT-MULLER</t>
  </si>
  <si>
    <t>38980978100021</t>
  </si>
  <si>
    <t>F00619</t>
  </si>
  <si>
    <t>LEXLEGATI SCP YANNICK WAGNER ET JORD</t>
  </si>
  <si>
    <t>81764996500024</t>
  </si>
  <si>
    <t>F00620</t>
  </si>
  <si>
    <t>SCP CHANTAL CLINARD CLAIRE PASSET</t>
  </si>
  <si>
    <t>41813996000029</t>
  </si>
  <si>
    <t>F00621</t>
  </si>
  <si>
    <t>ABACA PRESS</t>
  </si>
  <si>
    <t>38968215400064</t>
  </si>
  <si>
    <t>F00623</t>
  </si>
  <si>
    <t>WEBINFO LTD</t>
  </si>
  <si>
    <t>F00624</t>
  </si>
  <si>
    <t>DACTYLO'S PRINT</t>
  </si>
  <si>
    <t>41437544400018</t>
  </si>
  <si>
    <t>F00625</t>
  </si>
  <si>
    <t>LES JOYEUX RECYCLEURS</t>
  </si>
  <si>
    <t>79508726100017</t>
  </si>
  <si>
    <t>F00626</t>
  </si>
  <si>
    <t>AGILITATION axeptio</t>
  </si>
  <si>
    <t>82194700900030</t>
  </si>
  <si>
    <t>F00627</t>
  </si>
  <si>
    <t>GIRONDE TRAVAUX PUBLICS ET PARTICULI</t>
  </si>
  <si>
    <t>48422584200034</t>
  </si>
  <si>
    <t>F00628</t>
  </si>
  <si>
    <t>PRELECT</t>
  </si>
  <si>
    <t>39822243000033</t>
  </si>
  <si>
    <t>F00629</t>
  </si>
  <si>
    <t>MME YALAP THERESE</t>
  </si>
  <si>
    <t>85105406400015</t>
  </si>
  <si>
    <t>F00631</t>
  </si>
  <si>
    <t>ESIGELEC</t>
  </si>
  <si>
    <t>41370111100028</t>
  </si>
  <si>
    <t>F00632</t>
  </si>
  <si>
    <t>ITIC (Centre d’Etudes de Recherche et de Formation</t>
  </si>
  <si>
    <t>41750187100020</t>
  </si>
  <si>
    <t>F00633</t>
  </si>
  <si>
    <t>DE VINCI - ESILV</t>
  </si>
  <si>
    <t>92319741200011</t>
  </si>
  <si>
    <t>F00634</t>
  </si>
  <si>
    <t>EDUCARE BY DBT</t>
  </si>
  <si>
    <t>82319530000012</t>
  </si>
  <si>
    <t>F00635</t>
  </si>
  <si>
    <t>POSIRIS</t>
  </si>
  <si>
    <t>81768060600016</t>
  </si>
  <si>
    <t>F00637</t>
  </si>
  <si>
    <t>CPO-MOBILYGREEN</t>
  </si>
  <si>
    <t>52254654800036</t>
  </si>
  <si>
    <t>F00638</t>
  </si>
  <si>
    <t>AP2R</t>
  </si>
  <si>
    <t>40860484100051</t>
  </si>
  <si>
    <t>F00639</t>
  </si>
  <si>
    <t>ALTEN</t>
  </si>
  <si>
    <t>34860741700055</t>
  </si>
  <si>
    <t>F00640</t>
  </si>
  <si>
    <t>MICHAUD</t>
  </si>
  <si>
    <t>31463433800037</t>
  </si>
  <si>
    <t>F00641</t>
  </si>
  <si>
    <t>GOLF DE L'ILE FLEURIE</t>
  </si>
  <si>
    <t>34529159500071</t>
  </si>
  <si>
    <t>F00643</t>
  </si>
  <si>
    <t>RAJA</t>
  </si>
  <si>
    <t>93708041400066</t>
  </si>
  <si>
    <t>F00644</t>
  </si>
  <si>
    <t>SODEXO DEVIENT PLUXEE</t>
  </si>
  <si>
    <t>F00645</t>
  </si>
  <si>
    <t>ATELIERS DE LA COMMUNICATION (ADLC)</t>
  </si>
  <si>
    <t>34310093900044</t>
  </si>
  <si>
    <t>F00646</t>
  </si>
  <si>
    <t>COOPERATIVE U ENSEIGNE</t>
  </si>
  <si>
    <t>30460295600142</t>
  </si>
  <si>
    <t>F00647</t>
  </si>
  <si>
    <t>AB ENERGIES</t>
  </si>
  <si>
    <t>49504187300037</t>
  </si>
  <si>
    <t>F00649</t>
  </si>
  <si>
    <t>M TOUATI KEVIN</t>
  </si>
  <si>
    <t>84517235200013</t>
  </si>
  <si>
    <t>F00650</t>
  </si>
  <si>
    <t>CPO-SEMOB</t>
  </si>
  <si>
    <t>84877842900011</t>
  </si>
  <si>
    <t>F00651</t>
  </si>
  <si>
    <t>WAVESTONE</t>
  </si>
  <si>
    <t>37755024900041</t>
  </si>
  <si>
    <t>F00652</t>
  </si>
  <si>
    <t>EUTELEC</t>
  </si>
  <si>
    <t>42962764900081</t>
  </si>
  <si>
    <t>F00653</t>
  </si>
  <si>
    <t>SYSTELCOM</t>
  </si>
  <si>
    <t>33436505300092</t>
  </si>
  <si>
    <t>F00654</t>
  </si>
  <si>
    <t>ROUQUETTE</t>
  </si>
  <si>
    <t>30499461900043</t>
  </si>
  <si>
    <t>F00655</t>
  </si>
  <si>
    <t>CPO-DRIVECO</t>
  </si>
  <si>
    <t>81894393800147</t>
  </si>
  <si>
    <t>F00656</t>
  </si>
  <si>
    <t>ECO-MOTION</t>
  </si>
  <si>
    <t>79880087600038</t>
  </si>
  <si>
    <t>F00657</t>
  </si>
  <si>
    <t>DOLFI FORMATION</t>
  </si>
  <si>
    <t>43809379100046</t>
  </si>
  <si>
    <t>F00658</t>
  </si>
  <si>
    <t>SIGNATURE</t>
  </si>
  <si>
    <t>96850237700664</t>
  </si>
  <si>
    <t>F00659</t>
  </si>
  <si>
    <t>TGGV HUISSIERS DE JUSTICE</t>
  </si>
  <si>
    <t>53342158200024</t>
  </si>
  <si>
    <t>F00660</t>
  </si>
  <si>
    <t>Ronan Algalarrondo Photographie</t>
  </si>
  <si>
    <t>82218469300023</t>
  </si>
  <si>
    <t>F00549</t>
  </si>
  <si>
    <t>MON-SYDEC 40 Mobive</t>
  </si>
  <si>
    <t>25400139900065</t>
  </si>
  <si>
    <t>F00550</t>
  </si>
  <si>
    <t>MON-SDEPA 64 MOBIVE</t>
  </si>
  <si>
    <t>25640204100014</t>
  </si>
  <si>
    <t>F00552</t>
  </si>
  <si>
    <t>MON-COMMUNE DE WISSEMBOURG</t>
  </si>
  <si>
    <t>21670544200012</t>
  </si>
  <si>
    <t>F00553</t>
  </si>
  <si>
    <t>COFIROUTE</t>
  </si>
  <si>
    <t>55211589100426</t>
  </si>
  <si>
    <t>F00554</t>
  </si>
  <si>
    <t>ESGCV</t>
  </si>
  <si>
    <t>75253547600325</t>
  </si>
  <si>
    <t>F00555</t>
  </si>
  <si>
    <t>SOCIETE DES PETROLES SHELL</t>
  </si>
  <si>
    <t>78013017514688</t>
  </si>
  <si>
    <t>F00556</t>
  </si>
  <si>
    <t>MON-PICOTY SAS AVIA PICOTY</t>
  </si>
  <si>
    <t>77734738600057</t>
  </si>
  <si>
    <t>F00557</t>
  </si>
  <si>
    <t>EG RETAIL  - EURO GARAGE</t>
  </si>
  <si>
    <t>43979381100035</t>
  </si>
  <si>
    <t>F00558</t>
  </si>
  <si>
    <t>DYNEFF</t>
  </si>
  <si>
    <t>30580099701000</t>
  </si>
  <si>
    <t>F00560</t>
  </si>
  <si>
    <t>MON-SEHV 87 - Mobive</t>
  </si>
  <si>
    <t>25870858500033</t>
  </si>
  <si>
    <t>F00561</t>
  </si>
  <si>
    <t>GREENWORKING SAS</t>
  </si>
  <si>
    <t>52828655200104</t>
  </si>
  <si>
    <t>F00562</t>
  </si>
  <si>
    <t>TALOGY CUBIKS (FRANCE) SAS</t>
  </si>
  <si>
    <t>43249885500035</t>
  </si>
  <si>
    <t>F00563</t>
  </si>
  <si>
    <t>PLEASE-AUTOSPHERE-LEASE</t>
  </si>
  <si>
    <t>38970774600068</t>
  </si>
  <si>
    <t>F00564</t>
  </si>
  <si>
    <t>CPO-ELECTRIC 55 CHARGING (E55C)</t>
  </si>
  <si>
    <t>83248980100015</t>
  </si>
  <si>
    <t>F00566</t>
  </si>
  <si>
    <t>RAMBOUILLET TERRITOIRES</t>
  </si>
  <si>
    <t>20007334400067</t>
  </si>
  <si>
    <t>F00568</t>
  </si>
  <si>
    <t>COIRO</t>
  </si>
  <si>
    <t>95950213900022</t>
  </si>
  <si>
    <t>F00569</t>
  </si>
  <si>
    <t>MON-SYDER</t>
  </si>
  <si>
    <t>20008972000011</t>
  </si>
  <si>
    <t>F00577</t>
  </si>
  <si>
    <t>SMART KEYBOX</t>
  </si>
  <si>
    <t>83303589200011</t>
  </si>
  <si>
    <t>F00578</t>
  </si>
  <si>
    <t>Ne plus utiliser - CITELUM Rhone Alpes-</t>
  </si>
  <si>
    <t>F00580</t>
  </si>
  <si>
    <t>Finances Public - Trésor publi</t>
  </si>
  <si>
    <t>F00581</t>
  </si>
  <si>
    <t>MCR CONSULTANTS</t>
  </si>
  <si>
    <t>39842215400037</t>
  </si>
  <si>
    <t>F00582</t>
  </si>
  <si>
    <t>CPO-TEVGO BELIB</t>
  </si>
  <si>
    <t>F00583</t>
  </si>
  <si>
    <t xml:space="preserve"> - SCOPELEC DEVIENT CIRCET</t>
  </si>
  <si>
    <t>78417602600721</t>
  </si>
  <si>
    <t>F00584</t>
  </si>
  <si>
    <t>PSA RETAIL FRANCE</t>
  </si>
  <si>
    <t>30247504102212</t>
  </si>
  <si>
    <t>F00585</t>
  </si>
  <si>
    <t>ATLAS (OPCO)</t>
  </si>
  <si>
    <t>F00586</t>
  </si>
  <si>
    <t>ADESATT</t>
  </si>
  <si>
    <t>F00587</t>
  </si>
  <si>
    <t>ASEFA</t>
  </si>
  <si>
    <t>40141837100019</t>
  </si>
  <si>
    <t>F00588</t>
  </si>
  <si>
    <t>FUTURMAP</t>
  </si>
  <si>
    <t>81264612300032</t>
  </si>
  <si>
    <t>F00590</t>
  </si>
  <si>
    <t>EVEYO B.V.</t>
  </si>
  <si>
    <t>F00591</t>
  </si>
  <si>
    <t>MON-IZIVIA FMET 1</t>
  </si>
  <si>
    <t>84479928800015</t>
  </si>
  <si>
    <t>F00592</t>
  </si>
  <si>
    <t>ASS CHAMBERSIGN FRANCE</t>
  </si>
  <si>
    <t>43370247900059</t>
  </si>
  <si>
    <t>F00593</t>
  </si>
  <si>
    <t>LS SERVICES</t>
  </si>
  <si>
    <t>40252500000343</t>
  </si>
  <si>
    <t>F00594</t>
  </si>
  <si>
    <t>FIMO FRANCE</t>
  </si>
  <si>
    <t>42101706200025</t>
  </si>
  <si>
    <t>F00595</t>
  </si>
  <si>
    <t>VESTEL FRANCE</t>
  </si>
  <si>
    <t>40924042100027</t>
  </si>
  <si>
    <t>F00596</t>
  </si>
  <si>
    <t>EFFIA STATIONNEMENT VINCENNES</t>
  </si>
  <si>
    <t>83397063500029</t>
  </si>
  <si>
    <t>F00597</t>
  </si>
  <si>
    <t>BELTRAMONE</t>
  </si>
  <si>
    <t>42059420200012</t>
  </si>
  <si>
    <t>F00598</t>
  </si>
  <si>
    <t>AGEFIPH</t>
  </si>
  <si>
    <t>F00599</t>
  </si>
  <si>
    <t>CSE</t>
  </si>
  <si>
    <t>41907018000080</t>
  </si>
  <si>
    <t>F00600</t>
  </si>
  <si>
    <t>CHEVALIER FRERES</t>
  </si>
  <si>
    <t>39783151200157</t>
  </si>
  <si>
    <t>F00601</t>
  </si>
  <si>
    <t>EGENCIA DEVIENT AMERICAN EXPRESS</t>
  </si>
  <si>
    <t>38061054300155</t>
  </si>
  <si>
    <t>F00602</t>
  </si>
  <si>
    <t>PCE SERVICES</t>
  </si>
  <si>
    <t>53019400000051</t>
  </si>
  <si>
    <t>F00603</t>
  </si>
  <si>
    <t>MON-SIXT</t>
  </si>
  <si>
    <t>41120701200013</t>
  </si>
  <si>
    <t>F00605</t>
  </si>
  <si>
    <t>RAVE AUTOMOBILES</t>
  </si>
  <si>
    <t>81491982500012</t>
  </si>
  <si>
    <t>F00606</t>
  </si>
  <si>
    <t>FSL CONSULTING</t>
  </si>
  <si>
    <t>89758699600018 </t>
  </si>
  <si>
    <t>F00607</t>
  </si>
  <si>
    <t>N GREEN MOBILITY PROJECT</t>
  </si>
  <si>
    <t>82988959100022</t>
  </si>
  <si>
    <t>F00952</t>
  </si>
  <si>
    <t>MON-SAS SPIRIDIS U Express PONT SAINT ESPRIT</t>
  </si>
  <si>
    <t>89246190600026</t>
  </si>
  <si>
    <t>F00953</t>
  </si>
  <si>
    <t>MON-SOLAIDIS-SUPER U PONT D'AIN</t>
  </si>
  <si>
    <t>33028384700037</t>
  </si>
  <si>
    <t>F00954</t>
  </si>
  <si>
    <t>MON-Super U Mirambeau</t>
  </si>
  <si>
    <t>32401853000018</t>
  </si>
  <si>
    <t>F00955</t>
  </si>
  <si>
    <t>MON-LYBEDIS SAS Super U Mondoubleau</t>
  </si>
  <si>
    <t>34846084100011</t>
  </si>
  <si>
    <t>F00956</t>
  </si>
  <si>
    <t>MON-SOLAIDIS-SUPER U LAIZ</t>
  </si>
  <si>
    <t>38081712200019</t>
  </si>
  <si>
    <t>F00957</t>
  </si>
  <si>
    <t>MON-EXPAN MALESTROIT SAS Super U</t>
  </si>
  <si>
    <t>45127061500045</t>
  </si>
  <si>
    <t>F00958</t>
  </si>
  <si>
    <t>MON-BISCADIS SAS Super U Biscarosse</t>
  </si>
  <si>
    <t>33779580100014</t>
  </si>
  <si>
    <t>F00959</t>
  </si>
  <si>
    <t>MON-FCDIS Utile Saint Hilaire De Bonneval</t>
  </si>
  <si>
    <t>89994315300010</t>
  </si>
  <si>
    <t>F00960</t>
  </si>
  <si>
    <t>MON-VILLE D'ARCACHON</t>
  </si>
  <si>
    <t>21330009800018</t>
  </si>
  <si>
    <t>F00961</t>
  </si>
  <si>
    <t>MON-EXAGONE SAS Hyper U LES HERBIERS</t>
  </si>
  <si>
    <t>79071075000015</t>
  </si>
  <si>
    <t>F00962</t>
  </si>
  <si>
    <t>MON-ETABLISSEMENTS VALLEE SAS Super U Villaines La Ju</t>
  </si>
  <si>
    <t>73555018800032</t>
  </si>
  <si>
    <t>F00963</t>
  </si>
  <si>
    <t>BIRD OFFICE</t>
  </si>
  <si>
    <t>79930625300060</t>
  </si>
  <si>
    <t>F00964</t>
  </si>
  <si>
    <t>ALTRAN TECHNOLOGIES (CAPGEMINI)</t>
  </si>
  <si>
    <t>70201295600935</t>
  </si>
  <si>
    <t>F00965</t>
  </si>
  <si>
    <t>MON-CINEVILLE</t>
  </si>
  <si>
    <t>47876419400013</t>
  </si>
  <si>
    <t>F00967</t>
  </si>
  <si>
    <t>VIRAGES</t>
  </si>
  <si>
    <t>39130109000042</t>
  </si>
  <si>
    <t>F00968</t>
  </si>
  <si>
    <t>AH MANAGEMENT</t>
  </si>
  <si>
    <t>51856391100016</t>
  </si>
  <si>
    <t>F00971</t>
  </si>
  <si>
    <t>CPO-TERRITOIRE D’ÉNERGIE MAYENNE</t>
  </si>
  <si>
    <t>20008247700015</t>
  </si>
  <si>
    <t>F00973</t>
  </si>
  <si>
    <t>CPO-IONITY DANEMARK</t>
  </si>
  <si>
    <t>F00974</t>
  </si>
  <si>
    <t>CPO-IONITY SUEDE</t>
  </si>
  <si>
    <t>F00976</t>
  </si>
  <si>
    <t>MON-CCAA</t>
  </si>
  <si>
    <t>F00977</t>
  </si>
  <si>
    <t>MON-ECAA</t>
  </si>
  <si>
    <t>20003531900108</t>
  </si>
  <si>
    <t>F00978</t>
  </si>
  <si>
    <t>CPO-QOVOLTIS</t>
  </si>
  <si>
    <t>85342003200023</t>
  </si>
  <si>
    <t>F00979</t>
  </si>
  <si>
    <t>MON-Camping sandaya soulac</t>
  </si>
  <si>
    <t>39444326100026</t>
  </si>
  <si>
    <t>F00980</t>
  </si>
  <si>
    <t>SATE</t>
  </si>
  <si>
    <t>82204541500053</t>
  </si>
  <si>
    <t>F00981</t>
  </si>
  <si>
    <t>(ne plus utiliser) APAVE ALSACIENNE</t>
  </si>
  <si>
    <t>30157044600015</t>
  </si>
  <si>
    <t>F00982</t>
  </si>
  <si>
    <t>PAYTER B.V.</t>
  </si>
  <si>
    <t>F00984</t>
  </si>
  <si>
    <t>MONSIEUR FREDERIC ISACESCO</t>
  </si>
  <si>
    <t>85079789500016</t>
  </si>
  <si>
    <t>F00986</t>
  </si>
  <si>
    <t>CPO-MEA ENERGIES</t>
  </si>
  <si>
    <t>89487859400015</t>
  </si>
  <si>
    <t>F00987</t>
  </si>
  <si>
    <t>SHELL Reporting Financier</t>
  </si>
  <si>
    <t>F00988</t>
  </si>
  <si>
    <t>MON-TRUCHTERSHEIM</t>
  </si>
  <si>
    <t>45048986900013</t>
  </si>
  <si>
    <t>F00989</t>
  </si>
  <si>
    <t>Mr Quentin HECIAK</t>
  </si>
  <si>
    <t>84818949400018</t>
  </si>
  <si>
    <t>F00991</t>
  </si>
  <si>
    <t>WANAMICS</t>
  </si>
  <si>
    <t>88873122100014</t>
  </si>
  <si>
    <t>F00993</t>
  </si>
  <si>
    <t>BUREAU DU COMMERCE INTERNATIONAL SASU</t>
  </si>
  <si>
    <t>79281737100026</t>
  </si>
  <si>
    <t>F00994</t>
  </si>
  <si>
    <t>GRAND OUEST 78 HUISSIERS DE JUSTIce</t>
  </si>
  <si>
    <t>82489689800015</t>
  </si>
  <si>
    <t>F00996</t>
  </si>
  <si>
    <t>2R RENOV SASU</t>
  </si>
  <si>
    <t>80902797200011</t>
  </si>
  <si>
    <t>F00997</t>
  </si>
  <si>
    <t>CEPIG</t>
  </si>
  <si>
    <t>66201107100070</t>
  </si>
  <si>
    <t>F00998</t>
  </si>
  <si>
    <t>BLANCCO - FRANCE SASU</t>
  </si>
  <si>
    <t>49127089800027</t>
  </si>
  <si>
    <t>F00999</t>
  </si>
  <si>
    <t>PARTOO</t>
  </si>
  <si>
    <t>80342540400040</t>
  </si>
  <si>
    <t>F01000</t>
  </si>
  <si>
    <t>MEDIALITY CONSULTING SASU</t>
  </si>
  <si>
    <t>81401402300018</t>
  </si>
  <si>
    <t>F01003</t>
  </si>
  <si>
    <t>CPO-SHELL EV CHARGING BELGIUM</t>
  </si>
  <si>
    <t>F01005</t>
  </si>
  <si>
    <t>EQUIPEMENT DE LA MAISON SAS</t>
  </si>
  <si>
    <t>38352733000013</t>
  </si>
  <si>
    <t>F01006</t>
  </si>
  <si>
    <t>BEAURAIN DISTRIBUTION SARL</t>
  </si>
  <si>
    <t>38307866400034</t>
  </si>
  <si>
    <t>F01007</t>
  </si>
  <si>
    <t>CPO-REGIE SERVICES ENERGIE</t>
  </si>
  <si>
    <t>43887287100019</t>
  </si>
  <si>
    <t>F01009</t>
  </si>
  <si>
    <t>3FGC</t>
  </si>
  <si>
    <t>82033230200018</t>
  </si>
  <si>
    <t>F01010</t>
  </si>
  <si>
    <t>CPO-Last Mile Solutions</t>
  </si>
  <si>
    <t>F01011</t>
  </si>
  <si>
    <t>CPO-Z-E-N</t>
  </si>
  <si>
    <t>90750265200015</t>
  </si>
  <si>
    <t>F01015</t>
  </si>
  <si>
    <t>COMU CC DU TERRITOIRE DE LUNEVILLE A BACC</t>
  </si>
  <si>
    <t>20007032400013</t>
  </si>
  <si>
    <t>F01016</t>
  </si>
  <si>
    <t>CPO-SAS LUMI'IN</t>
  </si>
  <si>
    <t>80794006900014</t>
  </si>
  <si>
    <t>F01018</t>
  </si>
  <si>
    <t>LOGISTIQUE MANUTENTION SERVICES SAS</t>
  </si>
  <si>
    <t>39963083900039</t>
  </si>
  <si>
    <t>F01019</t>
  </si>
  <si>
    <t>CORSAIR SYSTEM</t>
  </si>
  <si>
    <t>53969841500020</t>
  </si>
  <si>
    <t>F01022</t>
  </si>
  <si>
    <t>HAS-TO-BE</t>
  </si>
  <si>
    <t>F01023</t>
  </si>
  <si>
    <t>MON-CREDIT AGRICOLE - QUIMPER</t>
  </si>
  <si>
    <t>77813460100013</t>
  </si>
  <si>
    <t>F01024</t>
  </si>
  <si>
    <t>IFS FRANCE SAS</t>
  </si>
  <si>
    <t>32050822900160</t>
  </si>
  <si>
    <t>F01025</t>
  </si>
  <si>
    <t>SIGEIF - Pénalité (ne pas utiliser)</t>
  </si>
  <si>
    <t>F01026</t>
  </si>
  <si>
    <t>MON-Syndicat de la diège MBDG MOBIVE</t>
  </si>
  <si>
    <t>20007894700013</t>
  </si>
  <si>
    <t>F01027</t>
  </si>
  <si>
    <t>MON-SDEC 23 - MOBIVE</t>
  </si>
  <si>
    <t>25230964600054</t>
  </si>
  <si>
    <t>F01029</t>
  </si>
  <si>
    <t>POWERDALE</t>
  </si>
  <si>
    <t>F01033</t>
  </si>
  <si>
    <t>RELYANCES</t>
  </si>
  <si>
    <t>90867949100013</t>
  </si>
  <si>
    <t>F01034</t>
  </si>
  <si>
    <t>BRIO STUDIO</t>
  </si>
  <si>
    <t>87886921300016</t>
  </si>
  <si>
    <t>F01035</t>
  </si>
  <si>
    <t>POURRIERE SARL</t>
  </si>
  <si>
    <t>43375507100027</t>
  </si>
  <si>
    <t>F01036</t>
  </si>
  <si>
    <t>PETR DU PAYS DU LUNEVILLOIS</t>
  </si>
  <si>
    <t>20005113400043</t>
  </si>
  <si>
    <t>F01037</t>
  </si>
  <si>
    <t>CIRCET</t>
  </si>
  <si>
    <t>39007255100018</t>
  </si>
  <si>
    <t>F01041</t>
  </si>
  <si>
    <t>ARNOULD JOEL</t>
  </si>
  <si>
    <t>49230843200011</t>
  </si>
  <si>
    <t>F01042</t>
  </si>
  <si>
    <t>CONGA</t>
  </si>
  <si>
    <t>F01043</t>
  </si>
  <si>
    <t>KEEZE</t>
  </si>
  <si>
    <t>82307445500028</t>
  </si>
  <si>
    <t>F01044</t>
  </si>
  <si>
    <t>CPO-TEVGO 61 MOBILITY</t>
  </si>
  <si>
    <t>F01045</t>
  </si>
  <si>
    <t>LGP CONSEIL</t>
  </si>
  <si>
    <t>44217053600035</t>
  </si>
  <si>
    <t>F01046</t>
  </si>
  <si>
    <t>YASEMIN KITCHEN</t>
  </si>
  <si>
    <t>91967915900013</t>
  </si>
  <si>
    <t>F01047</t>
  </si>
  <si>
    <t>BING BING BING STRATEGIE</t>
  </si>
  <si>
    <t>75136972900049</t>
  </si>
  <si>
    <t>F01048</t>
  </si>
  <si>
    <t>APAVE Exploitation France</t>
  </si>
  <si>
    <t>90386961800012</t>
  </si>
  <si>
    <t>F01049</t>
  </si>
  <si>
    <t>SES SCOPELEC ENERGIES SERVICES</t>
  </si>
  <si>
    <t>81473649200210</t>
  </si>
  <si>
    <t>F01050</t>
  </si>
  <si>
    <t>QUALICONSULT</t>
  </si>
  <si>
    <t>F01051</t>
  </si>
  <si>
    <t>ZENON ET CO</t>
  </si>
  <si>
    <t>81872541800029</t>
  </si>
  <si>
    <t>F01052</t>
  </si>
  <si>
    <t>ARCWIDE FRANCE SAS</t>
  </si>
  <si>
    <t>90856948600016</t>
  </si>
  <si>
    <t>F01053</t>
  </si>
  <si>
    <t>NIJI</t>
  </si>
  <si>
    <t>43905527800162</t>
  </si>
  <si>
    <t>F01054</t>
  </si>
  <si>
    <t>SATELEC SAS</t>
  </si>
  <si>
    <t>97120154600043</t>
  </si>
  <si>
    <t>F01055</t>
  </si>
  <si>
    <t>UPLEAD CONSULTING</t>
  </si>
  <si>
    <t>83774240200022</t>
  </si>
  <si>
    <t>F01057</t>
  </si>
  <si>
    <t>SCOP STECO - SOCIETE DE TRAVAUX D'ELE</t>
  </si>
  <si>
    <t>31194568700045</t>
  </si>
  <si>
    <t>F01058</t>
  </si>
  <si>
    <t>MEOTEC</t>
  </si>
  <si>
    <t>48509621800055</t>
  </si>
  <si>
    <t>F01060</t>
  </si>
  <si>
    <t>M GALLERY NEST Paris La Défense (ALGONQUIN)</t>
  </si>
  <si>
    <t>41844123400055</t>
  </si>
  <si>
    <t>F01061</t>
  </si>
  <si>
    <t>RACCOPRO</t>
  </si>
  <si>
    <t>81972833800024</t>
  </si>
  <si>
    <t>F01064</t>
  </si>
  <si>
    <t>CPO-ALLEGO BELGIQUE</t>
  </si>
  <si>
    <t>F01066</t>
  </si>
  <si>
    <t>ENSIO (EX SADE TELECOM)</t>
  </si>
  <si>
    <t>31050577100272</t>
  </si>
  <si>
    <t>F01067</t>
  </si>
  <si>
    <t>L'ATELIER DES SENS</t>
  </si>
  <si>
    <t>45305572500015</t>
  </si>
  <si>
    <t>F01068</t>
  </si>
  <si>
    <t>AUSTRAL BY ADAMEO SAS</t>
  </si>
  <si>
    <t>50938525800033</t>
  </si>
  <si>
    <t>F01069</t>
  </si>
  <si>
    <t>LNE  LABORATOIRE NATIONAL DE METROLOGIE ET DESSAIS</t>
  </si>
  <si>
    <t>31332024400012</t>
  </si>
  <si>
    <t>F01070</t>
  </si>
  <si>
    <t>ITIC PARIS</t>
  </si>
  <si>
    <t>33874853600046</t>
  </si>
  <si>
    <t>F01072</t>
  </si>
  <si>
    <t>LE 3BIS PARIS</t>
  </si>
  <si>
    <t>87919400900038</t>
  </si>
  <si>
    <t>F01073</t>
  </si>
  <si>
    <t>THE GENTLEMAN BIKER SAS</t>
  </si>
  <si>
    <t>89882949400027</t>
  </si>
  <si>
    <t>F01074</t>
  </si>
  <si>
    <t>SOTRAP BLOIS SAS</t>
  </si>
  <si>
    <t>31531949100041</t>
  </si>
  <si>
    <t>F01075</t>
  </si>
  <si>
    <t>AUTOMOTIVE ADVISOR</t>
  </si>
  <si>
    <t>81808487300012</t>
  </si>
  <si>
    <t>F01076</t>
  </si>
  <si>
    <t>ARTKOM</t>
  </si>
  <si>
    <t>44795373800070</t>
  </si>
  <si>
    <t>F01077</t>
  </si>
  <si>
    <t>NEOVIGIE</t>
  </si>
  <si>
    <t>82423957800019</t>
  </si>
  <si>
    <t>F01078</t>
  </si>
  <si>
    <t>CPO-EV CARS</t>
  </si>
  <si>
    <t>89516360800030</t>
  </si>
  <si>
    <t>F01079</t>
  </si>
  <si>
    <t>HUISSIERS RENE-GABRIEL SAFFRE-THIERRY DUDANT</t>
  </si>
  <si>
    <t>33445523500047</t>
  </si>
  <si>
    <t>F01080</t>
  </si>
  <si>
    <t>T D-DISTRIBUTION THEVENIN DUCROT SASU</t>
  </si>
  <si>
    <t>35286063901858</t>
  </si>
  <si>
    <t>F01081</t>
  </si>
  <si>
    <t>APRIMELEC JBM41 SARL</t>
  </si>
  <si>
    <t>49453823400027</t>
  </si>
  <si>
    <t>F01083</t>
  </si>
  <si>
    <t>MON-IZIVIA EXPRESS</t>
  </si>
  <si>
    <t>88017566600010</t>
  </si>
  <si>
    <t>F01084</t>
  </si>
  <si>
    <t>MON-L'OCCITANE LABORATOIRE M&amp;L - LAGORCE</t>
  </si>
  <si>
    <t>30582329600077</t>
  </si>
  <si>
    <t>F01085</t>
  </si>
  <si>
    <t>MON-LISI AEROSPACE SA</t>
  </si>
  <si>
    <t>32015233300094</t>
  </si>
  <si>
    <t>F01086</t>
  </si>
  <si>
    <t>MON-Haguenau</t>
  </si>
  <si>
    <t>F01088</t>
  </si>
  <si>
    <t>PINKANOVA</t>
  </si>
  <si>
    <t>49984791100033</t>
  </si>
  <si>
    <t>F01090</t>
  </si>
  <si>
    <t>Groupe Partouche - Pasino Grand</t>
  </si>
  <si>
    <t>55162019800020</t>
  </si>
  <si>
    <t>F01091</t>
  </si>
  <si>
    <t>MON-RMA</t>
  </si>
  <si>
    <t>42991659600019</t>
  </si>
  <si>
    <t>F01092</t>
  </si>
  <si>
    <t>MON-PONT-L'ABBE DISTRIBUTION LECLERC</t>
  </si>
  <si>
    <t>37708031200020</t>
  </si>
  <si>
    <t>F01093</t>
  </si>
  <si>
    <t>MON-COMMUNE DE SAINT-FLOUR</t>
  </si>
  <si>
    <t>21150187900012</t>
  </si>
  <si>
    <t>F01094</t>
  </si>
  <si>
    <t>MON-INTERMARCHE - CLAUGINIE SAS</t>
  </si>
  <si>
    <t>39937271300012</t>
  </si>
  <si>
    <t>F01095</t>
  </si>
  <si>
    <t>MON-MAIF</t>
  </si>
  <si>
    <t>77570970201646</t>
  </si>
  <si>
    <t>F01096</t>
  </si>
  <si>
    <t>MON-AVERMES DISTRIBUTION</t>
  </si>
  <si>
    <t>52521574500049</t>
  </si>
  <si>
    <t>F01097</t>
  </si>
  <si>
    <t>MON-Hôtel IBIS DIJON SUD</t>
  </si>
  <si>
    <t>53487316100010</t>
  </si>
  <si>
    <t>F01098</t>
  </si>
  <si>
    <t>MON-VICAT</t>
  </si>
  <si>
    <t>30991846400160</t>
  </si>
  <si>
    <t>F01099</t>
  </si>
  <si>
    <t>MON-LE GOLF DES HAUTS DE NÎMES</t>
  </si>
  <si>
    <t>34281600600015</t>
  </si>
  <si>
    <t>F01100</t>
  </si>
  <si>
    <t>MON-LE VIEUX PORT</t>
  </si>
  <si>
    <t>43383917200015</t>
  </si>
  <si>
    <t>F01101</t>
  </si>
  <si>
    <t>MON-SARTORIUS STEDIM FMT</t>
  </si>
  <si>
    <t>53876012500012</t>
  </si>
  <si>
    <t>F01102</t>
  </si>
  <si>
    <t>MON-COMMUNE VAL D'ISÈRE</t>
  </si>
  <si>
    <t>21730304900019</t>
  </si>
  <si>
    <t>F01103</t>
  </si>
  <si>
    <t>MON-COMMUNE D OYONNAX</t>
  </si>
  <si>
    <t>21010283600017</t>
  </si>
  <si>
    <t>F01104</t>
  </si>
  <si>
    <t>MON-Le Ruisseau</t>
  </si>
  <si>
    <t>31664407900014</t>
  </si>
  <si>
    <t>F01105</t>
  </si>
  <si>
    <t>MON-DOLCE FREGATE - ST CYR SUR MER</t>
  </si>
  <si>
    <t>38368199600039</t>
  </si>
  <si>
    <t>F01106</t>
  </si>
  <si>
    <t>MON-PARTOUCHE - CASINO DE DIEPPE</t>
  </si>
  <si>
    <t>57275032100018</t>
  </si>
  <si>
    <t>F01107</t>
  </si>
  <si>
    <t>MON-Hotel CARCARILLE</t>
  </si>
  <si>
    <t>38380678300015</t>
  </si>
  <si>
    <t>F01108</t>
  </si>
  <si>
    <t>MON-FIROKA HOSPITALITY EZE</t>
  </si>
  <si>
    <t>82123614800028</t>
  </si>
  <si>
    <t>F01109</t>
  </si>
  <si>
    <t>MON-SANDAYA bloquer reversement reporting voir si reve</t>
  </si>
  <si>
    <t>52402745500038</t>
  </si>
  <si>
    <t>F01110</t>
  </si>
  <si>
    <t>MON-Leclerc Saint vincent</t>
  </si>
  <si>
    <t>31016241700086</t>
  </si>
  <si>
    <t>F01111</t>
  </si>
  <si>
    <t>MON-MEBACOM</t>
  </si>
  <si>
    <t>83929111900015</t>
  </si>
  <si>
    <t>F01112</t>
  </si>
  <si>
    <t>MON-LECLERC SAUMUR</t>
  </si>
  <si>
    <t>88273607700018</t>
  </si>
  <si>
    <t>F01113</t>
  </si>
  <si>
    <t>MON-PROSOL GESTION</t>
  </si>
  <si>
    <t>37810041600072</t>
  </si>
  <si>
    <t>F01114</t>
  </si>
  <si>
    <t>MON-CAMPING LA GARANGEOIRE</t>
  </si>
  <si>
    <t>30136532600018</t>
  </si>
  <si>
    <t>F01115</t>
  </si>
  <si>
    <t>MON-PRODUCTEURS PLAIMONT</t>
  </si>
  <si>
    <t>31768523800014</t>
  </si>
  <si>
    <t>F01116</t>
  </si>
  <si>
    <t>MON-CAMPING LES EMBRUNS</t>
  </si>
  <si>
    <t>39070017700038</t>
  </si>
  <si>
    <t>F01117</t>
  </si>
  <si>
    <t>MON-SNC CLEMENT ADER</t>
  </si>
  <si>
    <t>49438542000026</t>
  </si>
  <si>
    <t>F01118</t>
  </si>
  <si>
    <t>MON-COUZEDIS</t>
  </si>
  <si>
    <t>32279047800026</t>
  </si>
  <si>
    <t>F01119</t>
  </si>
  <si>
    <t>MON-CENTRE D'AFFAIRES LE CONCORDE</t>
  </si>
  <si>
    <t>44520850700019</t>
  </si>
  <si>
    <t>F01120</t>
  </si>
  <si>
    <t>MON-LES QUATRE SAISONS CAMPING LE TALOUCH</t>
  </si>
  <si>
    <t>44498344900018</t>
  </si>
  <si>
    <t>F01121</t>
  </si>
  <si>
    <t>MON-EPONA</t>
  </si>
  <si>
    <t>84129188300012</t>
  </si>
  <si>
    <t>F01122</t>
  </si>
  <si>
    <t>MON-MICRO-MEGA</t>
  </si>
  <si>
    <t>61282022500011</t>
  </si>
  <si>
    <t>F01123</t>
  </si>
  <si>
    <t>MON-CAMPING PARADIS LES ROCHELETS</t>
  </si>
  <si>
    <t>48094701900026</t>
  </si>
  <si>
    <t>F01124</t>
  </si>
  <si>
    <t>MON-CREDIT AGRICOLE DU MORBIHAN</t>
  </si>
  <si>
    <t>77790381600026</t>
  </si>
  <si>
    <t>F01125</t>
  </si>
  <si>
    <t>MON-FAIVELEY TRANSPORT TOURS</t>
  </si>
  <si>
    <t>48924388100013</t>
  </si>
  <si>
    <t>F01126</t>
  </si>
  <si>
    <t>MON-MC 2</t>
  </si>
  <si>
    <t>41789734500019</t>
  </si>
  <si>
    <t>F01127</t>
  </si>
  <si>
    <t>MON-CAMPING DU CRIN BLANC - ARLES</t>
  </si>
  <si>
    <t>48028030400019</t>
  </si>
  <si>
    <t>F01128</t>
  </si>
  <si>
    <t>MON-ACC Husse</t>
  </si>
  <si>
    <t>41113237600020</t>
  </si>
  <si>
    <t>F01129</t>
  </si>
  <si>
    <t>MON-MAIRIE DE COURRIERES</t>
  </si>
  <si>
    <t>21620250700010</t>
  </si>
  <si>
    <t>F01130</t>
  </si>
  <si>
    <t>MON-HOTEL ESTELOU</t>
  </si>
  <si>
    <t>80120585700023</t>
  </si>
  <si>
    <t>F01131</t>
  </si>
  <si>
    <t>MON-SA GARAGE TERRIEN</t>
  </si>
  <si>
    <t>35210799900018</t>
  </si>
  <si>
    <t>F01132</t>
  </si>
  <si>
    <t>MON-AGROPOLE</t>
  </si>
  <si>
    <t>35408102800020</t>
  </si>
  <si>
    <t>F01133</t>
  </si>
  <si>
    <t>MON-LEATWO-CAMPING MARQUETTE LEZ LILLE</t>
  </si>
  <si>
    <t>51485086600021</t>
  </si>
  <si>
    <t>F01134</t>
  </si>
  <si>
    <t>MON-ADVANCED COMFORT SYSTEMS FRANCE (ACS)</t>
  </si>
  <si>
    <t>65203961100049</t>
  </si>
  <si>
    <t>F01135</t>
  </si>
  <si>
    <t>MON-VILLE DE CHATILLON SUR CHALARONNE</t>
  </si>
  <si>
    <t>21010093900011</t>
  </si>
  <si>
    <t>F01136</t>
  </si>
  <si>
    <t>MON-HOTEL EN BOURGOGNE</t>
  </si>
  <si>
    <t>80390691600025</t>
  </si>
  <si>
    <t>F01137</t>
  </si>
  <si>
    <t>MON-CAMPING LE ROUGE GORGE</t>
  </si>
  <si>
    <t>52033304800012</t>
  </si>
  <si>
    <t>F01138</t>
  </si>
  <si>
    <t>MON-CAMPING DE FIEF MELIN</t>
  </si>
  <si>
    <t>32362217500020</t>
  </si>
  <si>
    <t>F01139</t>
  </si>
  <si>
    <t>MON-SABENA TECHNICS - MERGINAC</t>
  </si>
  <si>
    <t>48770604600025</t>
  </si>
  <si>
    <t>F01140</t>
  </si>
  <si>
    <t>MON-VARTELEC</t>
  </si>
  <si>
    <t>53922079800026</t>
  </si>
  <si>
    <t>F01141</t>
  </si>
  <si>
    <t>MON-SAV'HOTEL</t>
  </si>
  <si>
    <t>74984439500022</t>
  </si>
  <si>
    <t>F01142</t>
  </si>
  <si>
    <t>MON-KR EXPANSION AUBIERE</t>
  </si>
  <si>
    <t>39515040200034</t>
  </si>
  <si>
    <t>F01143</t>
  </si>
  <si>
    <t>MON-SCI VM DECOR</t>
  </si>
  <si>
    <t>39298889500018</t>
  </si>
  <si>
    <t>F01144</t>
  </si>
  <si>
    <t>Heineken Entreprise</t>
  </si>
  <si>
    <t>41484206200138</t>
  </si>
  <si>
    <t>F01145</t>
  </si>
  <si>
    <t>MON-STE UBAUD - LES PENNES MIRABEAU-</t>
  </si>
  <si>
    <t>35263844900020</t>
  </si>
  <si>
    <t>F01146</t>
  </si>
  <si>
    <t>MON-ROGADIA</t>
  </si>
  <si>
    <t>80214423800028</t>
  </si>
  <si>
    <t>F01147</t>
  </si>
  <si>
    <t>MON-CAVE COOP DE VINIFICATION - POMEROLS</t>
  </si>
  <si>
    <t>77606946000017</t>
  </si>
  <si>
    <t>F01148</t>
  </si>
  <si>
    <t>MON-IBIS AIX EN PROVENCE SNC BARO</t>
  </si>
  <si>
    <t>34910156800013</t>
  </si>
  <si>
    <t>F01149</t>
  </si>
  <si>
    <t>MON-NETTO GIMA</t>
  </si>
  <si>
    <t>45234627300017</t>
  </si>
  <si>
    <t>F01150</t>
  </si>
  <si>
    <t>MON-LEBAL SAS</t>
  </si>
  <si>
    <t>33784962400016</t>
  </si>
  <si>
    <t>F01151</t>
  </si>
  <si>
    <t>MON-CAMPING LES RESPOUNCHOUS</t>
  </si>
  <si>
    <t>50458874000010</t>
  </si>
  <si>
    <t>F01152</t>
  </si>
  <si>
    <t>MON-PATISMATIQUE</t>
  </si>
  <si>
    <t>50337024900016</t>
  </si>
  <si>
    <t>F01153</t>
  </si>
  <si>
    <t>MON-DAGANE SAS</t>
  </si>
  <si>
    <t>80824170700013</t>
  </si>
  <si>
    <t>F01154</t>
  </si>
  <si>
    <t>MON-DEVERT SAS</t>
  </si>
  <si>
    <t>40318469000028</t>
  </si>
  <si>
    <t>F01155</t>
  </si>
  <si>
    <t>MON-SWISS KRONO</t>
  </si>
  <si>
    <t>33949483300025</t>
  </si>
  <si>
    <t>F01156</t>
  </si>
  <si>
    <t>MON-CHATEAU GISCOURS TDG</t>
  </si>
  <si>
    <t>47220071600018</t>
  </si>
  <si>
    <t>F01157</t>
  </si>
  <si>
    <t>MON-KESE SAS</t>
  </si>
  <si>
    <t>81753529700011</t>
  </si>
  <si>
    <t>F01158</t>
  </si>
  <si>
    <t>MON-SAS SABLONNIERE DISTRIBUTION</t>
  </si>
  <si>
    <t>32049818100025</t>
  </si>
  <si>
    <t>F01159</t>
  </si>
  <si>
    <t>MON-NEUILLY CHATEAU</t>
  </si>
  <si>
    <t>57205373400040</t>
  </si>
  <si>
    <t>F01160</t>
  </si>
  <si>
    <t>MON-AINCIA SAS</t>
  </si>
  <si>
    <t>40155657600015</t>
  </si>
  <si>
    <t>F01161</t>
  </si>
  <si>
    <t>MON-LAMPROIE SAS</t>
  </si>
  <si>
    <t>43347333700015</t>
  </si>
  <si>
    <t>F01162</t>
  </si>
  <si>
    <t>MON-LICARON SAS</t>
  </si>
  <si>
    <t>38134619600011</t>
  </si>
  <si>
    <t>F01163</t>
  </si>
  <si>
    <t>MON-ALINEA - BEAUMONT DE LOMAGNE</t>
  </si>
  <si>
    <t>33266315200046</t>
  </si>
  <si>
    <t>F01164</t>
  </si>
  <si>
    <t>MON-SERCEL carquefou</t>
  </si>
  <si>
    <t>37804049700026</t>
  </si>
  <si>
    <t>F01662</t>
  </si>
  <si>
    <t>SDEI SYNDICAT DEPARTEMENTAL D'ENERGIES DE</t>
  </si>
  <si>
    <t>20003198700031</t>
  </si>
  <si>
    <t>F01664</t>
  </si>
  <si>
    <t>SNCTP</t>
  </si>
  <si>
    <t>F01665</t>
  </si>
  <si>
    <t>LANGUAGEWIRE FRANCE</t>
  </si>
  <si>
    <t>34777536300042</t>
  </si>
  <si>
    <t>F01666</t>
  </si>
  <si>
    <t>FACEO FM CENTRE EST</t>
  </si>
  <si>
    <t>53525804000067</t>
  </si>
  <si>
    <t>F01667</t>
  </si>
  <si>
    <t>CAMPING MUNICIPAL LES SABLERES</t>
  </si>
  <si>
    <t>21400328700015</t>
  </si>
  <si>
    <t>F01668</t>
  </si>
  <si>
    <t>MECANIQUE TOLERIE SERRURERIE SASU</t>
  </si>
  <si>
    <t>30176885900037</t>
  </si>
  <si>
    <t>F01669</t>
  </si>
  <si>
    <t>FERRINI JEAN ET FILS</t>
  </si>
  <si>
    <t>63725003600034</t>
  </si>
  <si>
    <t>F01670</t>
  </si>
  <si>
    <t>DETERGENCE INDUSTRIELLE FRANCAISE SAS</t>
  </si>
  <si>
    <t>30255522200033</t>
  </si>
  <si>
    <t>F01671</t>
  </si>
  <si>
    <t>GPT EUROPEEN TRAITEMENTS CHIMIQUES SAS</t>
  </si>
  <si>
    <t>30554448800037</t>
  </si>
  <si>
    <t>F01672</t>
  </si>
  <si>
    <t>REGELTEX SAS</t>
  </si>
  <si>
    <t>30718078600047</t>
  </si>
  <si>
    <t>F01673</t>
  </si>
  <si>
    <t>PAROT VI</t>
  </si>
  <si>
    <t>30946788400073</t>
  </si>
  <si>
    <t>F01674</t>
  </si>
  <si>
    <t>MON-DRAGER FRANCE SAS</t>
  </si>
  <si>
    <t>32396168000044</t>
  </si>
  <si>
    <t>F01675</t>
  </si>
  <si>
    <t>MON-SAS HORIBA ABX SAS</t>
  </si>
  <si>
    <t>32803104200042</t>
  </si>
  <si>
    <t>F01676</t>
  </si>
  <si>
    <t>ALROC SAS</t>
  </si>
  <si>
    <t>34105098700013</t>
  </si>
  <si>
    <t>F01677</t>
  </si>
  <si>
    <t>MON-SMC FRANCE</t>
  </si>
  <si>
    <t>34454304600041</t>
  </si>
  <si>
    <t>F01678</t>
  </si>
  <si>
    <t>MON-SEDEL SAS</t>
  </si>
  <si>
    <t>34475096300011</t>
  </si>
  <si>
    <t>F01679</t>
  </si>
  <si>
    <t>MON-SARL MAILLOT SABLONS</t>
  </si>
  <si>
    <t>34769726000045</t>
  </si>
  <si>
    <t>F01680</t>
  </si>
  <si>
    <t>SAS GALTY</t>
  </si>
  <si>
    <t>F01681</t>
  </si>
  <si>
    <t>MON-SAS LES ARCADES</t>
  </si>
  <si>
    <t>35065680700020</t>
  </si>
  <si>
    <t>F01682</t>
  </si>
  <si>
    <t>SAS INTELCIA FRANCE</t>
  </si>
  <si>
    <t>35394409300122</t>
  </si>
  <si>
    <t>F01683</t>
  </si>
  <si>
    <t>SIGNALISATION ET PUBLICITE SAS</t>
  </si>
  <si>
    <t>37320026000017</t>
  </si>
  <si>
    <t>F01684</t>
  </si>
  <si>
    <t>MON-SAS SAVOIDIS</t>
  </si>
  <si>
    <t>F01685</t>
  </si>
  <si>
    <t>SAS PAPREC GRAND-OUEST - AGENCE SAINT NAZAIRE</t>
  </si>
  <si>
    <t>38183085000198</t>
  </si>
  <si>
    <t>F01686</t>
  </si>
  <si>
    <t>MON-LA NORMANDISE</t>
  </si>
  <si>
    <t>38261641500024</t>
  </si>
  <si>
    <t>F01687</t>
  </si>
  <si>
    <t>IMMUNEO</t>
  </si>
  <si>
    <t>49931601600025</t>
  </si>
  <si>
    <t>F01688</t>
  </si>
  <si>
    <t>MON-SAS VALEX</t>
  </si>
  <si>
    <t>38446139800016</t>
  </si>
  <si>
    <t>F01689</t>
  </si>
  <si>
    <t>MON-SOCHADIS SAS</t>
  </si>
  <si>
    <t>30202017700036</t>
  </si>
  <si>
    <t>F01690</t>
  </si>
  <si>
    <t>BRUNET Cognac</t>
  </si>
  <si>
    <t>F01691</t>
  </si>
  <si>
    <t>MON-SAS VACANCES BLEUES HOTELS</t>
  </si>
  <si>
    <t>39112787500097</t>
  </si>
  <si>
    <t>F01692</t>
  </si>
  <si>
    <t>FAMECA SASU</t>
  </si>
  <si>
    <t>39333260600010</t>
  </si>
  <si>
    <t>F01693</t>
  </si>
  <si>
    <t>SAS PEZALI</t>
  </si>
  <si>
    <t>39811335700014</t>
  </si>
  <si>
    <t>F01694</t>
  </si>
  <si>
    <t>MON-SAS CONUCA</t>
  </si>
  <si>
    <t>40805953300021</t>
  </si>
  <si>
    <t>F01695</t>
  </si>
  <si>
    <t>MON-CERMIX</t>
  </si>
  <si>
    <t>41489730600018</t>
  </si>
  <si>
    <t>F01696</t>
  </si>
  <si>
    <t>MON-GEA PROCESS ENGINEERING SAS</t>
  </si>
  <si>
    <t>42085622100015</t>
  </si>
  <si>
    <t>F01697</t>
  </si>
  <si>
    <t>MON-SAS PAPREC GRAND ILE DE FRANCE-AGENCE VILLEUNEUVE</t>
  </si>
  <si>
    <t>42171646500081</t>
  </si>
  <si>
    <t>F01698</t>
  </si>
  <si>
    <t>MON-FOREST STYLE SERVICES</t>
  </si>
  <si>
    <t>42358913400059</t>
  </si>
  <si>
    <t>F01699</t>
  </si>
  <si>
    <t>MON-CHAUDELPH SAS</t>
  </si>
  <si>
    <t>43178446100011</t>
  </si>
  <si>
    <t>F01700</t>
  </si>
  <si>
    <t>MON-SA DUTO</t>
  </si>
  <si>
    <t>43785771700015</t>
  </si>
  <si>
    <t>F01238</t>
  </si>
  <si>
    <t>MON-TRIUMPH INTERNATIONAL</t>
  </si>
  <si>
    <t>66850062200026</t>
  </si>
  <si>
    <t>F01239</t>
  </si>
  <si>
    <t>MON-Restaurant au Pont de l'Ill</t>
  </si>
  <si>
    <t>F01240</t>
  </si>
  <si>
    <t>MON-PARCUS</t>
  </si>
  <si>
    <t>F01241</t>
  </si>
  <si>
    <t>MON-COMMUNE DE GOUGENHEIM</t>
  </si>
  <si>
    <t>F01242</t>
  </si>
  <si>
    <t>MON-MÉGAREX</t>
  </si>
  <si>
    <t>F01243</t>
  </si>
  <si>
    <t>MON-EGELHOF HOLDING</t>
  </si>
  <si>
    <t>F01244</t>
  </si>
  <si>
    <t>MOBILEESE</t>
  </si>
  <si>
    <t>81976157800031</t>
  </si>
  <si>
    <t>F01245</t>
  </si>
  <si>
    <t>COMMUNAUTE URBAINE DU GRAND REIMS</t>
  </si>
  <si>
    <t>20006721300013</t>
  </si>
  <si>
    <t>F01246</t>
  </si>
  <si>
    <t>MON-FRAMADIS SAS (QUENTHIS)</t>
  </si>
  <si>
    <t>34960432200017</t>
  </si>
  <si>
    <t>F00661</t>
  </si>
  <si>
    <t>ROULE MARCEL</t>
  </si>
  <si>
    <t>82489759900034</t>
  </si>
  <si>
    <t>F00662</t>
  </si>
  <si>
    <t>LYRECO FRANCE SAS</t>
  </si>
  <si>
    <t>57172266900264</t>
  </si>
  <si>
    <t>F00663</t>
  </si>
  <si>
    <t>(ne plus utiliser)  - CITELUM</t>
  </si>
  <si>
    <t>38964385901056</t>
  </si>
  <si>
    <t>F00664</t>
  </si>
  <si>
    <t>TASQ COMPIEGNE TECHNIQUES AVANCEES S</t>
  </si>
  <si>
    <t>34877666700084</t>
  </si>
  <si>
    <t>F01165</t>
  </si>
  <si>
    <t>MON-DURTANGES SAS</t>
  </si>
  <si>
    <t>43230184400036</t>
  </si>
  <si>
    <t>F01166</t>
  </si>
  <si>
    <t>MON-KONTRON MODULAR COMPUTERS</t>
  </si>
  <si>
    <t>33936170100024</t>
  </si>
  <si>
    <t>F01167</t>
  </si>
  <si>
    <t>MON-REAL BLUE PROPERTY MANAG MEDITERRANEE</t>
  </si>
  <si>
    <t>83896197700017</t>
  </si>
  <si>
    <t>F01168</t>
  </si>
  <si>
    <t>MON-K+S FRANCE SITE DE DOMBASLE</t>
  </si>
  <si>
    <t>41498294200024</t>
  </si>
  <si>
    <t>F01169</t>
  </si>
  <si>
    <t>MON-MICHRIS</t>
  </si>
  <si>
    <t>38162704100019</t>
  </si>
  <si>
    <t>F01170</t>
  </si>
  <si>
    <t>MON-LABORATOIRES DES PYRENEES ET DES LANDES</t>
  </si>
  <si>
    <t>41881405900014</t>
  </si>
  <si>
    <t>F01171</t>
  </si>
  <si>
    <t>MON-FROMAGERIE HENRI HUTIN</t>
  </si>
  <si>
    <t>48592022700033</t>
  </si>
  <si>
    <t>F01172</t>
  </si>
  <si>
    <t>MON-COULEUR SUD / HÔTEL LE BELVEDERE</t>
  </si>
  <si>
    <t>51258551400015</t>
  </si>
  <si>
    <t>F01173</t>
  </si>
  <si>
    <t>MON-DRAZAH - CCE NETTO</t>
  </si>
  <si>
    <t>41505077200029</t>
  </si>
  <si>
    <t>F01174</t>
  </si>
  <si>
    <t>MON-JOKEFLO</t>
  </si>
  <si>
    <t>88323882600035</t>
  </si>
  <si>
    <t>F01175</t>
  </si>
  <si>
    <t>MON-COVIVIO</t>
  </si>
  <si>
    <t>43938146800024</t>
  </si>
  <si>
    <t>F01176</t>
  </si>
  <si>
    <t>MON-EDENIS EPHAD LES 3 FONTAINES - LE MURET</t>
  </si>
  <si>
    <t>33479505100237</t>
  </si>
  <si>
    <t>F01177</t>
  </si>
  <si>
    <t>MON-DISNATH</t>
  </si>
  <si>
    <t>79799262500013</t>
  </si>
  <si>
    <t>F01178</t>
  </si>
  <si>
    <t>MON-GENFIT</t>
  </si>
  <si>
    <t>42434190700022</t>
  </si>
  <si>
    <t>F01179</t>
  </si>
  <si>
    <t>MON-SOBAG</t>
  </si>
  <si>
    <t>78967391000020</t>
  </si>
  <si>
    <t>F01180</t>
  </si>
  <si>
    <t>MON-CAVE ROBERT ET MARCEL</t>
  </si>
  <si>
    <t>78619585900016</t>
  </si>
  <si>
    <t>F01181</t>
  </si>
  <si>
    <t>MON-REINE DE DIJON</t>
  </si>
  <si>
    <t>39425627500022</t>
  </si>
  <si>
    <t>F01182</t>
  </si>
  <si>
    <t>MON-BOISAMAX</t>
  </si>
  <si>
    <t>82231632900017</t>
  </si>
  <si>
    <t>F01183</t>
  </si>
  <si>
    <t>MON-NARDELLE SAS</t>
  </si>
  <si>
    <t>83472033600017</t>
  </si>
  <si>
    <t>F01184</t>
  </si>
  <si>
    <t>MON-HUHTAMAKI</t>
  </si>
  <si>
    <t>54645045300016</t>
  </si>
  <si>
    <t>F01185</t>
  </si>
  <si>
    <t>MON-IBIS VITROLLES - SNC TRAVEL INN MARIGNANE</t>
  </si>
  <si>
    <t>34822495700046</t>
  </si>
  <si>
    <t>F01186</t>
  </si>
  <si>
    <t>MON-ARANEA</t>
  </si>
  <si>
    <t>38949630800013</t>
  </si>
  <si>
    <t>F01187</t>
  </si>
  <si>
    <t>MON-SAS ELVILIA</t>
  </si>
  <si>
    <t>44395119900027</t>
  </si>
  <si>
    <t>F01188</t>
  </si>
  <si>
    <t>MON-BRIDECAR SAS</t>
  </si>
  <si>
    <t>33210749900029</t>
  </si>
  <si>
    <t>F01189</t>
  </si>
  <si>
    <t>MON-Hyper U - Gujan Mestras</t>
  </si>
  <si>
    <t>31822697400026</t>
  </si>
  <si>
    <t>F01190</t>
  </si>
  <si>
    <t>MON-ULENE</t>
  </si>
  <si>
    <t>38895607000014</t>
  </si>
  <si>
    <t>F01191</t>
  </si>
  <si>
    <t>MON-COLLÈGE CHABROUX</t>
  </si>
  <si>
    <t>20004697700019</t>
  </si>
  <si>
    <t>F01192</t>
  </si>
  <si>
    <t>MON-CAMPING DE KERSENTIC</t>
  </si>
  <si>
    <t>52190357500012</t>
  </si>
  <si>
    <t>F01193</t>
  </si>
  <si>
    <t>MON-EGADIS SAS</t>
  </si>
  <si>
    <t>85373163600025</t>
  </si>
  <si>
    <t>F01194</t>
  </si>
  <si>
    <t>MON-KERLYPH SAS</t>
  </si>
  <si>
    <t>82015072000010</t>
  </si>
  <si>
    <t>F01195</t>
  </si>
  <si>
    <t>MON-SEGEO</t>
  </si>
  <si>
    <t>87914902900016</t>
  </si>
  <si>
    <t>F01196</t>
  </si>
  <si>
    <t>MON-CALPE SASU</t>
  </si>
  <si>
    <t>52897182300018</t>
  </si>
  <si>
    <t>F01197</t>
  </si>
  <si>
    <t>MON-LAFUMA MOBILIER SAS - ANNEYRON</t>
  </si>
  <si>
    <t>79868925300010</t>
  </si>
  <si>
    <t>F01198</t>
  </si>
  <si>
    <t>MON-Saint-Symphorien d'ozon</t>
  </si>
  <si>
    <t>21690291600016</t>
  </si>
  <si>
    <t>F01199</t>
  </si>
  <si>
    <t>MON-SIMON SAS - AVALLON</t>
  </si>
  <si>
    <t>44272142900011</t>
  </si>
  <si>
    <t>F01200</t>
  </si>
  <si>
    <t>MON-CAMBANGE SAS</t>
  </si>
  <si>
    <t>48821294500015</t>
  </si>
  <si>
    <t>F01201</t>
  </si>
  <si>
    <t>MON-LOGIS TRAVAUX</t>
  </si>
  <si>
    <t>80449563800020</t>
  </si>
  <si>
    <t>F01202</t>
  </si>
  <si>
    <t>MON-SARL CANTAL REPROGRAPHIE</t>
  </si>
  <si>
    <t>40956408500119</t>
  </si>
  <si>
    <t>F01203</t>
  </si>
  <si>
    <t>MON-INEO SYSTRANS C/O EQUANS BUSINESS SUPPORT</t>
  </si>
  <si>
    <t>42115915300061</t>
  </si>
  <si>
    <t>F01204</t>
  </si>
  <si>
    <t>MON-ELECTRIC VEHICULES MOBILITY</t>
  </si>
  <si>
    <t>89988695600015</t>
  </si>
  <si>
    <t>F01205</t>
  </si>
  <si>
    <t>MON-JEUXEYBRI SAS</t>
  </si>
  <si>
    <t>84396586400021</t>
  </si>
  <si>
    <t>F01206</t>
  </si>
  <si>
    <t>MON-FROMAGERIE MILLERET</t>
  </si>
  <si>
    <t>42625002300014</t>
  </si>
  <si>
    <t>F01207</t>
  </si>
  <si>
    <t>MON-HELI-DRIVE</t>
  </si>
  <si>
    <t>34266719300037</t>
  </si>
  <si>
    <t>F01208</t>
  </si>
  <si>
    <t>CINELAND</t>
  </si>
  <si>
    <t>87805429500018</t>
  </si>
  <si>
    <t>F01210</t>
  </si>
  <si>
    <t>MON-SA ETABLISSEMENT FLANDRE</t>
  </si>
  <si>
    <t>72172029000031</t>
  </si>
  <si>
    <t>F01211</t>
  </si>
  <si>
    <t>MON-RF  FEDERATION FRANCAISE FOOTBALL - FFF</t>
  </si>
  <si>
    <t>30374248000047</t>
  </si>
  <si>
    <t>F01212</t>
  </si>
  <si>
    <t>MON-CAP ESTEREL</t>
  </si>
  <si>
    <t>91225116200018</t>
  </si>
  <si>
    <t>F01213</t>
  </si>
  <si>
    <t>MON-A reclasser compte pour reportings</t>
  </si>
  <si>
    <t>F01214</t>
  </si>
  <si>
    <t>SCP CALVO - OSCUNEGARAY  HUISSIERS DE JU</t>
  </si>
  <si>
    <t>34968714500012</t>
  </si>
  <si>
    <t>F01215</t>
  </si>
  <si>
    <t>MON-EDF SA - Monétique</t>
  </si>
  <si>
    <t>F01216</t>
  </si>
  <si>
    <t>SA DALKIA - monétique</t>
  </si>
  <si>
    <t>45650053704812</t>
  </si>
  <si>
    <t>F01217</t>
  </si>
  <si>
    <t>SAS FRAMATOME - Monétique</t>
  </si>
  <si>
    <t>37904139500052</t>
  </si>
  <si>
    <t>F01218</t>
  </si>
  <si>
    <t>ES - monétique</t>
  </si>
  <si>
    <t>F01219</t>
  </si>
  <si>
    <t>MON-ES ENERGIES STRASBOURG</t>
  </si>
  <si>
    <t>50119317100029</t>
  </si>
  <si>
    <t>F01220</t>
  </si>
  <si>
    <t>MON-AMSON HABITAT</t>
  </si>
  <si>
    <t>31566741000015</t>
  </si>
  <si>
    <t>F01221</t>
  </si>
  <si>
    <t>PLASSERAUD IP</t>
  </si>
  <si>
    <t>78440424600141</t>
  </si>
  <si>
    <t>F01225</t>
  </si>
  <si>
    <t>AMARIS ENERGIE</t>
  </si>
  <si>
    <t>42378810800029</t>
  </si>
  <si>
    <t>F01226</t>
  </si>
  <si>
    <t>RENAULT RETAIL GROUP</t>
  </si>
  <si>
    <t>31221230102001</t>
  </si>
  <si>
    <t>F01227</t>
  </si>
  <si>
    <t>FMP GROUPE</t>
  </si>
  <si>
    <t>88162852300014</t>
  </si>
  <si>
    <t>F01228</t>
  </si>
  <si>
    <t>L'ATELIER DES CHEFS</t>
  </si>
  <si>
    <t>45190631700214</t>
  </si>
  <si>
    <t>F01229</t>
  </si>
  <si>
    <t>MADIC</t>
  </si>
  <si>
    <t>87180007400282</t>
  </si>
  <si>
    <t>F01230</t>
  </si>
  <si>
    <t>RESONANCE</t>
  </si>
  <si>
    <t>82400752000011</t>
  </si>
  <si>
    <t>F01231</t>
  </si>
  <si>
    <t>MON-CAMPING LOU SEURROTS</t>
  </si>
  <si>
    <t>98722001900036</t>
  </si>
  <si>
    <t>F01232</t>
  </si>
  <si>
    <t>MON-Provencia - Annecy-le-Vieux</t>
  </si>
  <si>
    <t>32652100200302</t>
  </si>
  <si>
    <t>F01233</t>
  </si>
  <si>
    <t>MON-Résidentiel Collectif</t>
  </si>
  <si>
    <t>F01234</t>
  </si>
  <si>
    <t>MON-EKOSPORT - 2F -FRASTEYA</t>
  </si>
  <si>
    <t>49531461900059</t>
  </si>
  <si>
    <t>F01235</t>
  </si>
  <si>
    <t>NOVARC</t>
  </si>
  <si>
    <t>38076513100020</t>
  </si>
  <si>
    <t>F01236</t>
  </si>
  <si>
    <t>MON-COMMUNAUTÉ DE COMMUNES DU PAYS RHÉNAN</t>
  </si>
  <si>
    <t>F01237</t>
  </si>
  <si>
    <t>MON-LILLY FRANCE</t>
  </si>
  <si>
    <t>F01406</t>
  </si>
  <si>
    <t>ECOLOGIC</t>
  </si>
  <si>
    <t>48774196900041</t>
  </si>
  <si>
    <t>F01407</t>
  </si>
  <si>
    <t>ECONOCOM PRODUCTS ET SOLUTIONS SAS</t>
  </si>
  <si>
    <t>33156643000384</t>
  </si>
  <si>
    <t>F01408</t>
  </si>
  <si>
    <t>ELECTRO PJP SAS</t>
  </si>
  <si>
    <t>31608582800036</t>
  </si>
  <si>
    <t>F01409</t>
  </si>
  <si>
    <t>Cancé</t>
  </si>
  <si>
    <t>9728023400010</t>
  </si>
  <si>
    <t>F01410</t>
  </si>
  <si>
    <t>MON-EURONAT - GRAYAN ET L'HOPITAL</t>
  </si>
  <si>
    <t>30247640300027</t>
  </si>
  <si>
    <t>F01411</t>
  </si>
  <si>
    <t>EUROPCAR FRANCE</t>
  </si>
  <si>
    <t>F01412</t>
  </si>
  <si>
    <t>FAMECA ELECTRONICS SASU</t>
  </si>
  <si>
    <t>79913002600021</t>
  </si>
  <si>
    <t>F01413</t>
  </si>
  <si>
    <t>MON-FAIVELEY TRANSPORT AMIENS SAS</t>
  </si>
  <si>
    <t>70980607900022</t>
  </si>
  <si>
    <t>F01414</t>
  </si>
  <si>
    <t>MON-FINISTERE HABITAT</t>
  </si>
  <si>
    <t>39530185600013</t>
  </si>
  <si>
    <t>F01415</t>
  </si>
  <si>
    <t>MON-FLEURY MICHON POUZAUGES</t>
  </si>
  <si>
    <t>57205832900093</t>
  </si>
  <si>
    <t>F01416</t>
  </si>
  <si>
    <t>MON-FPEE INDUSTRIES</t>
  </si>
  <si>
    <t>32348006100015</t>
  </si>
  <si>
    <t>F01417</t>
  </si>
  <si>
    <t>Garage la Lanterne</t>
  </si>
  <si>
    <t>79191503600010</t>
  </si>
  <si>
    <t>F01418</t>
  </si>
  <si>
    <t>MON-GAZZELLA ATLANTIQUE</t>
  </si>
  <si>
    <t>53776728700015</t>
  </si>
  <si>
    <t>F01419</t>
  </si>
  <si>
    <t>GEORG FISCHER</t>
  </si>
  <si>
    <t>58214405100049</t>
  </si>
  <si>
    <t>F01420</t>
  </si>
  <si>
    <t>MON-GRECA SAS</t>
  </si>
  <si>
    <t>32875930300014</t>
  </si>
  <si>
    <t>F01421</t>
  </si>
  <si>
    <t>GROUP ESI</t>
  </si>
  <si>
    <t>33094312700069</t>
  </si>
  <si>
    <t>F01422</t>
  </si>
  <si>
    <t>MON-GEIMSA - VIDICHRI</t>
  </si>
  <si>
    <t>31952840200047</t>
  </si>
  <si>
    <t>F01423</t>
  </si>
  <si>
    <t>MON-SAS GRUPO ANTOLIN CAMBRAI</t>
  </si>
  <si>
    <t>43871230900030</t>
  </si>
  <si>
    <t>F01424</t>
  </si>
  <si>
    <t>LES HAUTS DE MONTROUGE</t>
  </si>
  <si>
    <t>77702372200013</t>
  </si>
  <si>
    <t>F01425</t>
  </si>
  <si>
    <t>HAVEA REAL ESTATE SAS</t>
  </si>
  <si>
    <t>37863786200038</t>
  </si>
  <si>
    <t>F01426</t>
  </si>
  <si>
    <t>HDC</t>
  </si>
  <si>
    <t>48996985700015</t>
  </si>
  <si>
    <t>F01427</t>
  </si>
  <si>
    <t>MON-SASU KOPSTER COLOMBES</t>
  </si>
  <si>
    <t>84317334500011</t>
  </si>
  <si>
    <t>F01428</t>
  </si>
  <si>
    <t>Hotel OLATUA-MAEVA</t>
  </si>
  <si>
    <t>88128875700019</t>
  </si>
  <si>
    <t>F01429</t>
  </si>
  <si>
    <t>MON-SARL IBIPEX</t>
  </si>
  <si>
    <t>53527338700022</t>
  </si>
  <si>
    <t>F01430</t>
  </si>
  <si>
    <t>MON-INNATE PHARMA - MARSEILLE</t>
  </si>
  <si>
    <t>42436533600041</t>
  </si>
  <si>
    <t>F01431</t>
  </si>
  <si>
    <t>MON-INSTITUT CADENELLE MARSEILLE PROVENCE</t>
  </si>
  <si>
    <t>78294740200023</t>
  </si>
  <si>
    <t>F01432</t>
  </si>
  <si>
    <t>MON-SAS ANTHORIMEL</t>
  </si>
  <si>
    <t>50876699500015</t>
  </si>
  <si>
    <t>F01433</t>
  </si>
  <si>
    <t>MON-ALOHA SAS</t>
  </si>
  <si>
    <t>38865702500010</t>
  </si>
  <si>
    <t>F01434</t>
  </si>
  <si>
    <t>MON-SABOURG SA</t>
  </si>
  <si>
    <t>40120504200013</t>
  </si>
  <si>
    <t>F01435</t>
  </si>
  <si>
    <t>MON-SOLVI SAS</t>
  </si>
  <si>
    <t>40044789200011</t>
  </si>
  <si>
    <t>F01436</t>
  </si>
  <si>
    <t>MON-SOCIETE DE DISTRIBUTION DU PERCHE SAS</t>
  </si>
  <si>
    <t>99785860000023</t>
  </si>
  <si>
    <t>F01437</t>
  </si>
  <si>
    <t>MON-LARY</t>
  </si>
  <si>
    <t>41179865500014</t>
  </si>
  <si>
    <t>F01438</t>
  </si>
  <si>
    <t>MON-SAS PATHYVELLE</t>
  </si>
  <si>
    <t>88288975100021</t>
  </si>
  <si>
    <t>F01439</t>
  </si>
  <si>
    <t>MON-SAINT MARCEL DISTRIBUTION SA</t>
  </si>
  <si>
    <t>31635996700015</t>
  </si>
  <si>
    <t>F01440</t>
  </si>
  <si>
    <t>MON-ARCANDE SAS</t>
  </si>
  <si>
    <t>34204342900014</t>
  </si>
  <si>
    <t>F01441</t>
  </si>
  <si>
    <t>MON-VICAL SAS</t>
  </si>
  <si>
    <t>35315215000028</t>
  </si>
  <si>
    <t>F01442</t>
  </si>
  <si>
    <t>MON-GLEIZE DISTRIBUTION SAS</t>
  </si>
  <si>
    <t>90012018900015</t>
  </si>
  <si>
    <t>F01443</t>
  </si>
  <si>
    <t>MON-ETABLISSEMENTS HARTMANN- COMESU SAS</t>
  </si>
  <si>
    <t>94595026900049</t>
  </si>
  <si>
    <t>F01444</t>
  </si>
  <si>
    <t>MON-HENNEBIHAN SAS</t>
  </si>
  <si>
    <t>79057022000026</t>
  </si>
  <si>
    <t>F01445</t>
  </si>
  <si>
    <t>MON-SAS ATACLA</t>
  </si>
  <si>
    <t>35261167700019</t>
  </si>
  <si>
    <t>F01446</t>
  </si>
  <si>
    <t>MON-MAELYA SAS</t>
  </si>
  <si>
    <t>51806816800013</t>
  </si>
  <si>
    <t>F01447</t>
  </si>
  <si>
    <t>MON-PERA SA</t>
  </si>
  <si>
    <t>40121337600015</t>
  </si>
  <si>
    <t>F01448</t>
  </si>
  <si>
    <t>MON-ROPHIDINA SA</t>
  </si>
  <si>
    <t>39044366100017</t>
  </si>
  <si>
    <t>F01449</t>
  </si>
  <si>
    <t>MON-LUCIANNE SAS</t>
  </si>
  <si>
    <t>39041290600013</t>
  </si>
  <si>
    <t>F01450</t>
  </si>
  <si>
    <t>MON-ALIENOR SAS</t>
  </si>
  <si>
    <t>48010623600015</t>
  </si>
  <si>
    <t>F01451</t>
  </si>
  <si>
    <t>MON-TOCAPRE SA</t>
  </si>
  <si>
    <t>42945907600015</t>
  </si>
  <si>
    <t>F01452</t>
  </si>
  <si>
    <t>MON-INTERPOL - LYON</t>
  </si>
  <si>
    <t>78544746700024</t>
  </si>
  <si>
    <t>F01453</t>
  </si>
  <si>
    <t>MON-SAS JANADA</t>
  </si>
  <si>
    <t>32552822200012</t>
  </si>
  <si>
    <t>F01454</t>
  </si>
  <si>
    <t>MON-KIAGIS - GISORS</t>
  </si>
  <si>
    <t>51030056900017</t>
  </si>
  <si>
    <t>F01455</t>
  </si>
  <si>
    <t>KONE</t>
  </si>
  <si>
    <t>59205230201860</t>
  </si>
  <si>
    <t>F01456</t>
  </si>
  <si>
    <t>MON-EUROPE 1 IMMOBILIER - LAGARDERE NEWS</t>
  </si>
  <si>
    <t>53886506400025</t>
  </si>
  <si>
    <t>F01457</t>
  </si>
  <si>
    <t>Lyon Marriott Hôtel LAVOREL</t>
  </si>
  <si>
    <t>48328188700032</t>
  </si>
  <si>
    <t>F01458</t>
  </si>
  <si>
    <t>MON-HOTEL HYATT CHANTILLY</t>
  </si>
  <si>
    <t>79353275500014</t>
  </si>
  <si>
    <t>F01459</t>
  </si>
  <si>
    <t>MON-Confiserie du Roy René</t>
  </si>
  <si>
    <t>62162092100075</t>
  </si>
  <si>
    <t>F01460</t>
  </si>
  <si>
    <t>RESTAURANT BRAS LE SUQUET</t>
  </si>
  <si>
    <t>45158090600019</t>
  </si>
  <si>
    <t>F01461</t>
  </si>
  <si>
    <t>LES CARS MOREAU</t>
  </si>
  <si>
    <t>31504319000034</t>
  </si>
  <si>
    <t>F01462</t>
  </si>
  <si>
    <t>MON-COOP LES VIGNERONS DE FLORENSAC</t>
  </si>
  <si>
    <t>77599714100012</t>
  </si>
  <si>
    <t>F01463</t>
  </si>
  <si>
    <t>MON-LIMAGRAIN INGREDIENTS</t>
  </si>
  <si>
    <t>35142992300045</t>
  </si>
  <si>
    <t>F01464</t>
  </si>
  <si>
    <t>MON-MACIF SAM</t>
  </si>
  <si>
    <t>78145251100814</t>
  </si>
  <si>
    <t>F01465</t>
  </si>
  <si>
    <t>MON-MAIRIE DE ST LAURENT BLANGUY</t>
  </si>
  <si>
    <t>21620753000017</t>
  </si>
  <si>
    <t>F01466</t>
  </si>
  <si>
    <t>MON-HEXAOM - MAISONS FRANCE CONFORT</t>
  </si>
  <si>
    <t>9572031400012</t>
  </si>
  <si>
    <t>F01467</t>
  </si>
  <si>
    <t>MON-MAISON TERRES D'OC</t>
  </si>
  <si>
    <t>84520631700024</t>
  </si>
  <si>
    <t>F01468</t>
  </si>
  <si>
    <t>MON-MASSILLY FRANCE</t>
  </si>
  <si>
    <t>40358545800017</t>
  </si>
  <si>
    <t>F01469</t>
  </si>
  <si>
    <t>SAS METTLER TOLEDO SAS</t>
  </si>
  <si>
    <t>31037075400023</t>
  </si>
  <si>
    <t>F01470</t>
  </si>
  <si>
    <t>MON-MIPIOL INTERMARCHE</t>
  </si>
  <si>
    <t>33895972900017</t>
  </si>
  <si>
    <t>F01471</t>
  </si>
  <si>
    <t>MOLEX BV</t>
  </si>
  <si>
    <t>40239081900017</t>
  </si>
  <si>
    <t>F01472</t>
  </si>
  <si>
    <t>MOS INDUSTRIE</t>
  </si>
  <si>
    <t>34152233200061</t>
  </si>
  <si>
    <t>F01473</t>
  </si>
  <si>
    <t>MON-MTB - CAMPING PLAGE DES AIGRETTES - SANGUINET</t>
  </si>
  <si>
    <t>45218397300018</t>
  </si>
  <si>
    <t>F01474</t>
  </si>
  <si>
    <t>MON-NETTO</t>
  </si>
  <si>
    <t>79458154600015</t>
  </si>
  <si>
    <t>F01475</t>
  </si>
  <si>
    <t>NETTO DAMPIERRE-LES-BLOIS</t>
  </si>
  <si>
    <t>48026432400017</t>
  </si>
  <si>
    <t>F01476</t>
  </si>
  <si>
    <t>MON-SAS PAULEO</t>
  </si>
  <si>
    <t>91280424200010</t>
  </si>
  <si>
    <t>F01477</t>
  </si>
  <si>
    <t>MALTEP SASU</t>
  </si>
  <si>
    <t>45154565100015</t>
  </si>
  <si>
    <t>F01478</t>
  </si>
  <si>
    <t>MON-OCEANE DISTRIBUTION SAS</t>
  </si>
  <si>
    <t>81015173800012</t>
  </si>
  <si>
    <t>F01479</t>
  </si>
  <si>
    <t>MON-OLEON SAS</t>
  </si>
  <si>
    <t>40318080500018</t>
  </si>
  <si>
    <t>F01480</t>
  </si>
  <si>
    <t>ET P OFFICE PUBLIC DE L'HABITAT DU DEPART</t>
  </si>
  <si>
    <t>77985929700383</t>
  </si>
  <si>
    <t>F01481</t>
  </si>
  <si>
    <t>MON-ORECO - TREILLIERES</t>
  </si>
  <si>
    <t>31274483200089</t>
  </si>
  <si>
    <t>F01482</t>
  </si>
  <si>
    <t>MON-GIE ORTEC SERVICES</t>
  </si>
  <si>
    <t>35355093200027</t>
  </si>
  <si>
    <t>F01483</t>
  </si>
  <si>
    <t>ORTEC ENVIRONNEMENT SASU</t>
  </si>
  <si>
    <t>38967501800151</t>
  </si>
  <si>
    <t>F01484</t>
  </si>
  <si>
    <t>ORTEC INDUSTRIE SASU</t>
  </si>
  <si>
    <t>6080139600155</t>
  </si>
  <si>
    <t>F01485</t>
  </si>
  <si>
    <t>MON-PANPHARMA LUITRE</t>
  </si>
  <si>
    <t>32829784100012</t>
  </si>
  <si>
    <t>F01486</t>
  </si>
  <si>
    <t>MON-PAPREC FRANCE SAS</t>
  </si>
  <si>
    <t>33305028400186</t>
  </si>
  <si>
    <t>F01487</t>
  </si>
  <si>
    <t>MON-PAUL BOYE TECHNOLOGIES</t>
  </si>
  <si>
    <t>34976091800137</t>
  </si>
  <si>
    <t>F01488</t>
  </si>
  <si>
    <t>PALETTES GESTION SERVICES</t>
  </si>
  <si>
    <t>39120828700022</t>
  </si>
  <si>
    <t>F01489</t>
  </si>
  <si>
    <t>MON-Gendarmerie AURA</t>
  </si>
  <si>
    <t>11000201100044</t>
  </si>
  <si>
    <t>F01490</t>
  </si>
  <si>
    <t>PROTEOR</t>
  </si>
  <si>
    <t>54208370400198</t>
  </si>
  <si>
    <t>F01491</t>
  </si>
  <si>
    <t>RCV - VANNES</t>
  </si>
  <si>
    <t>82120600000019</t>
  </si>
  <si>
    <t>F01492</t>
  </si>
  <si>
    <t>ASS RESILIENCE ACCITANIE</t>
  </si>
  <si>
    <t>77558124200341</t>
  </si>
  <si>
    <t>F01493</t>
  </si>
  <si>
    <t>MON-ROSET</t>
  </si>
  <si>
    <t>54592007600068</t>
  </si>
  <si>
    <t>F01494</t>
  </si>
  <si>
    <t>SA D'HLM LES CHALETS</t>
  </si>
  <si>
    <t>66080284400028</t>
  </si>
  <si>
    <t>F01495</t>
  </si>
  <si>
    <t>MON-SA SANOFI-AVENTIS RECHERCHE ET DEVELOPP</t>
  </si>
  <si>
    <t>71300226900049</t>
  </si>
  <si>
    <t>F01496</t>
  </si>
  <si>
    <t>MON-SAS SAPAGE</t>
  </si>
  <si>
    <t>38246470900023</t>
  </si>
  <si>
    <t>F01497</t>
  </si>
  <si>
    <t>MON-SARL PARMENTIER LOISIRS</t>
  </si>
  <si>
    <t>43536850100019</t>
  </si>
  <si>
    <t>F01498</t>
  </si>
  <si>
    <t>MON-CAMPING LE PARADIS</t>
  </si>
  <si>
    <t>38498638600017</t>
  </si>
  <si>
    <t>F01499</t>
  </si>
  <si>
    <t>MON-SAS CHAMVYLE SA</t>
  </si>
  <si>
    <t>32639755100010</t>
  </si>
  <si>
    <t>F01500</t>
  </si>
  <si>
    <t>MON-COTILAS SAS</t>
  </si>
  <si>
    <t>38836283200023</t>
  </si>
  <si>
    <t>F01501</t>
  </si>
  <si>
    <t>MON-GICUR SAS</t>
  </si>
  <si>
    <t>34126026300023</t>
  </si>
  <si>
    <t>F01502</t>
  </si>
  <si>
    <t>MON-JAFRA SAS</t>
  </si>
  <si>
    <t>42991393200027</t>
  </si>
  <si>
    <t>F01503</t>
  </si>
  <si>
    <t>MON-CARREFOUR CAUDAN - SARL JERNAT</t>
  </si>
  <si>
    <t>45040813300012</t>
  </si>
  <si>
    <t>F01504</t>
  </si>
  <si>
    <t>MON-SAS JIBLA</t>
  </si>
  <si>
    <t>50004723800018</t>
  </si>
  <si>
    <t>F01505</t>
  </si>
  <si>
    <t>MON-FARMEL SAS</t>
  </si>
  <si>
    <t>44851754000044</t>
  </si>
  <si>
    <t>F01506</t>
  </si>
  <si>
    <t>MON-SAS ROCHEX</t>
  </si>
  <si>
    <t>34529353400011</t>
  </si>
  <si>
    <t>F01507</t>
  </si>
  <si>
    <t>MON-SAS STEPHE</t>
  </si>
  <si>
    <t>35175826300013</t>
  </si>
  <si>
    <t>F01508</t>
  </si>
  <si>
    <t>SUD TERRAINS</t>
  </si>
  <si>
    <t>49244230600022</t>
  </si>
  <si>
    <t>F01509</t>
  </si>
  <si>
    <t>MON-SAS VORLY</t>
  </si>
  <si>
    <t>38828071100010</t>
  </si>
  <si>
    <t>F01510</t>
  </si>
  <si>
    <t>MON-SCI CROIX DE CHAVAUX</t>
  </si>
  <si>
    <t>38425438900024</t>
  </si>
  <si>
    <t>F01511</t>
  </si>
  <si>
    <t>SEINE ET YVELINES NUMERIQUE (SYN)</t>
  </si>
  <si>
    <t>20006224800048</t>
  </si>
  <si>
    <t>F01512</t>
  </si>
  <si>
    <t>MON-SELIA SA</t>
  </si>
  <si>
    <t>30186188600150</t>
  </si>
  <si>
    <t>F01513</t>
  </si>
  <si>
    <t>SFDPI SAS</t>
  </si>
  <si>
    <t>32364845100033</t>
  </si>
  <si>
    <t>F01514</t>
  </si>
  <si>
    <t>SIBILLE OUTILLAGE SAS</t>
  </si>
  <si>
    <t>43967878000024</t>
  </si>
  <si>
    <t>F01515</t>
  </si>
  <si>
    <t>SMURFIT BAG IN BOX SA</t>
  </si>
  <si>
    <t>38373542000044</t>
  </si>
  <si>
    <t>F01516</t>
  </si>
  <si>
    <t>Smurfit Kappa Dore Emballage</t>
  </si>
  <si>
    <t>31322137600012</t>
  </si>
  <si>
    <t>F01517</t>
  </si>
  <si>
    <t>Smurfit Kappa Central pac</t>
  </si>
  <si>
    <t>49325490800244</t>
  </si>
  <si>
    <t>F01518</t>
  </si>
  <si>
    <t>Smurfit Kappa Papcart Gétigné</t>
  </si>
  <si>
    <t>87080048900011</t>
  </si>
  <si>
    <t>F01519</t>
  </si>
  <si>
    <t>Smurfit Kappa Mortagne</t>
  </si>
  <si>
    <t>F01520</t>
  </si>
  <si>
    <t>SMURFIT KAPPA POITOU CARTONS SASU</t>
  </si>
  <si>
    <t>31899412600023</t>
  </si>
  <si>
    <t>F01521</t>
  </si>
  <si>
    <t>MON-LALLEMAND SAS</t>
  </si>
  <si>
    <t>40572019400068</t>
  </si>
  <si>
    <t>F01522</t>
  </si>
  <si>
    <t>Société DU PONT DE BOIS</t>
  </si>
  <si>
    <t>40317469100010</t>
  </si>
  <si>
    <t>F01523</t>
  </si>
  <si>
    <t>MON-SA SPC CONSULTANTS</t>
  </si>
  <si>
    <t>34376230800033</t>
  </si>
  <si>
    <t>F01524</t>
  </si>
  <si>
    <t>MON-SASU ALGI</t>
  </si>
  <si>
    <t>79754225500014</t>
  </si>
  <si>
    <t>F01525</t>
  </si>
  <si>
    <t>MON-CEMUBA SAS</t>
  </si>
  <si>
    <t>43183560200027</t>
  </si>
  <si>
    <t>F01526</t>
  </si>
  <si>
    <t>MON-SAS NGC DISTRIBUTION</t>
  </si>
  <si>
    <t>40449921200029</t>
  </si>
  <si>
    <t>F01527</t>
  </si>
  <si>
    <t>MON-SARL JUTIN - Super U JOUE LES TOURS</t>
  </si>
  <si>
    <t>53107256900019</t>
  </si>
  <si>
    <t>F01528</t>
  </si>
  <si>
    <t>MON-CAUDIS EXPLOITATION SAS</t>
  </si>
  <si>
    <t>49187888000021</t>
  </si>
  <si>
    <t>F01529</t>
  </si>
  <si>
    <t>MON-SA SUPERSONIC IMAGINE</t>
  </si>
  <si>
    <t>48158189000037</t>
  </si>
  <si>
    <t>F01530</t>
  </si>
  <si>
    <t>SUZUKI FRANCE</t>
  </si>
  <si>
    <t>33006637400043</t>
  </si>
  <si>
    <t>F01531</t>
  </si>
  <si>
    <t>MON-SAS SYGNATURES-BOURDIL</t>
  </si>
  <si>
    <t>30136756100059</t>
  </si>
  <si>
    <t>F01532</t>
  </si>
  <si>
    <t>TATA STEEL</t>
  </si>
  <si>
    <t>44572029500010</t>
  </si>
  <si>
    <t>F01533</t>
  </si>
  <si>
    <t>TEGOMETALL FRANCE</t>
  </si>
  <si>
    <t>39509944300057</t>
  </si>
  <si>
    <t>F01534</t>
  </si>
  <si>
    <t>MON-TEREOS PARTICIPATIONS</t>
  </si>
  <si>
    <t>44441305800017</t>
  </si>
  <si>
    <t>F01535</t>
  </si>
  <si>
    <t>MON-TESTO INDUSTRIAL SERVICES SARL</t>
  </si>
  <si>
    <t>50136585200026</t>
  </si>
  <si>
    <t>F01536</t>
  </si>
  <si>
    <t>TRANSVINS</t>
  </si>
  <si>
    <t>40224437000134</t>
  </si>
  <si>
    <t>F01537</t>
  </si>
  <si>
    <t>MON-ASS KER AR MOR</t>
  </si>
  <si>
    <t>38147951800015</t>
  </si>
  <si>
    <t>F01538</t>
  </si>
  <si>
    <t>MON-VIRBAC SA</t>
  </si>
  <si>
    <t>41735031100011</t>
  </si>
  <si>
    <t>F01539</t>
  </si>
  <si>
    <t>MON-VISHAY SA</t>
  </si>
  <si>
    <t>61204132700034</t>
  </si>
  <si>
    <t>F01540</t>
  </si>
  <si>
    <t>VPK FRANCE</t>
  </si>
  <si>
    <t>32015361200058</t>
  </si>
  <si>
    <t>F01541</t>
  </si>
  <si>
    <t>WATERROWER</t>
  </si>
  <si>
    <t>49983887800035</t>
  </si>
  <si>
    <t>F01542</t>
  </si>
  <si>
    <t>MON-ZOOPARC DE BEAUVAL</t>
  </si>
  <si>
    <t>38357843200015</t>
  </si>
  <si>
    <t>F01543</t>
  </si>
  <si>
    <t>MON-CAMPING LEZ-EAUX</t>
  </si>
  <si>
    <t>38413671900018</t>
  </si>
  <si>
    <t>F01544</t>
  </si>
  <si>
    <t>TESTO FORBACH</t>
  </si>
  <si>
    <t>31503063500066</t>
  </si>
  <si>
    <t>F01545</t>
  </si>
  <si>
    <t>CPO-ZEPHYRE</t>
  </si>
  <si>
    <t>82841465600011</t>
  </si>
  <si>
    <t>F01548</t>
  </si>
  <si>
    <t>EVBOX B.V.</t>
  </si>
  <si>
    <t>F01549</t>
  </si>
  <si>
    <t>CESI ECOLE D'INGENIEURS NANTERRE</t>
  </si>
  <si>
    <t>77572257201109</t>
  </si>
  <si>
    <t>F01550</t>
  </si>
  <si>
    <t>ASS GROUPE ESIEA</t>
  </si>
  <si>
    <t>31134913800017</t>
  </si>
  <si>
    <t>F01551</t>
  </si>
  <si>
    <t>CPO-WENEA</t>
  </si>
  <si>
    <t>F01552</t>
  </si>
  <si>
    <t>CPO-ALLEGO SPAIN</t>
  </si>
  <si>
    <t>F01553</t>
  </si>
  <si>
    <t>COMET SASU MAIL</t>
  </si>
  <si>
    <t>83883532000014</t>
  </si>
  <si>
    <t>F01554</t>
  </si>
  <si>
    <t>WOLSOME INFRA ET FERROV</t>
  </si>
  <si>
    <t>90779453100018</t>
  </si>
  <si>
    <t>F01555</t>
  </si>
  <si>
    <t>CADRES EN MISSION</t>
  </si>
  <si>
    <t>42415167800051</t>
  </si>
  <si>
    <t>F01557</t>
  </si>
  <si>
    <t>WORLDLINE MS FRANCE</t>
  </si>
  <si>
    <t>53860040400064</t>
  </si>
  <si>
    <t>F01558</t>
  </si>
  <si>
    <t>MON-SCI LA MONTAGNE</t>
  </si>
  <si>
    <t>34032519000015</t>
  </si>
  <si>
    <t>F01559</t>
  </si>
  <si>
    <t>MON-SAS EMBDIS</t>
  </si>
  <si>
    <t>48032322900017</t>
  </si>
  <si>
    <t>F01560</t>
  </si>
  <si>
    <t>SYSTRA FRANCE</t>
  </si>
  <si>
    <t>88008272200013</t>
  </si>
  <si>
    <t>F01561</t>
  </si>
  <si>
    <t>MON-YOCAM</t>
  </si>
  <si>
    <t>38027121300015</t>
  </si>
  <si>
    <t>F01562</t>
  </si>
  <si>
    <t>MON-DITHIL SAS</t>
  </si>
  <si>
    <t>40497837100015</t>
  </si>
  <si>
    <t>F01563</t>
  </si>
  <si>
    <t>MON-SAS ANTERINEL</t>
  </si>
  <si>
    <t>38399585900014</t>
  </si>
  <si>
    <t>F01564</t>
  </si>
  <si>
    <t>MON-TRELADIS SAS</t>
  </si>
  <si>
    <t>53165298000040</t>
  </si>
  <si>
    <t>F01565</t>
  </si>
  <si>
    <t>MON-REPORAMA</t>
  </si>
  <si>
    <t>61722036300015</t>
  </si>
  <si>
    <t>F01566</t>
  </si>
  <si>
    <t>TECNIFIBRE</t>
  </si>
  <si>
    <t>31576565100015</t>
  </si>
  <si>
    <t>F01567</t>
  </si>
  <si>
    <t>CPO-SASU COGELUM IDF</t>
  </si>
  <si>
    <t>F01568</t>
  </si>
  <si>
    <t>MON-THERM PARK</t>
  </si>
  <si>
    <t>41076664600013</t>
  </si>
  <si>
    <t>F01569</t>
  </si>
  <si>
    <t>MON-BONNEDIS SASU</t>
  </si>
  <si>
    <t>34093620200019</t>
  </si>
  <si>
    <t>F01570</t>
  </si>
  <si>
    <t>MON-CHALODIS SAS</t>
  </si>
  <si>
    <t>33471926700034</t>
  </si>
  <si>
    <t>F01571</t>
  </si>
  <si>
    <t>MON-GUERMAR SAS</t>
  </si>
  <si>
    <t>34920463600022</t>
  </si>
  <si>
    <t>F01572</t>
  </si>
  <si>
    <t>MON-SAS LA MARANDAISE</t>
  </si>
  <si>
    <t>66178015500056</t>
  </si>
  <si>
    <t>F01573</t>
  </si>
  <si>
    <t>SAS JONADIS</t>
  </si>
  <si>
    <t>33822288800020</t>
  </si>
  <si>
    <t>F01574</t>
  </si>
  <si>
    <t>MON-SAS LES ETIERS II - SUPER U NOIRMOUTIER</t>
  </si>
  <si>
    <t>43925649600019</t>
  </si>
  <si>
    <t>F01575</t>
  </si>
  <si>
    <t>MON-PLEYBERIENNE DISTRIBUTION SAS</t>
  </si>
  <si>
    <t>33864748000049</t>
  </si>
  <si>
    <t>F01576</t>
  </si>
  <si>
    <t>MON-SOPODI OUEST SAS</t>
  </si>
  <si>
    <t>49391834600013</t>
  </si>
  <si>
    <t>F01577</t>
  </si>
  <si>
    <t>MON-SOCIETE D'ALIMENTATION MEVENNAISE SAS</t>
  </si>
  <si>
    <t>31173227500038</t>
  </si>
  <si>
    <t>F01578</t>
  </si>
  <si>
    <t>TREDIS SAS</t>
  </si>
  <si>
    <t>39195898000024</t>
  </si>
  <si>
    <t>F01579</t>
  </si>
  <si>
    <t>MON-STEPADIS SAS</t>
  </si>
  <si>
    <t>79819180500018</t>
  </si>
  <si>
    <t>F01580</t>
  </si>
  <si>
    <t>MON-SYMPADIS SAS</t>
  </si>
  <si>
    <t>52925653900014</t>
  </si>
  <si>
    <t>F01581</t>
  </si>
  <si>
    <t>MON-DANIEL MOUTON SAINT MALO</t>
  </si>
  <si>
    <t>48198155300029</t>
  </si>
  <si>
    <t>F01582</t>
  </si>
  <si>
    <t>MON-DANIEL MOUTON VITRE - FOUGERE</t>
  </si>
  <si>
    <t>32723673300033</t>
  </si>
  <si>
    <t>F01583</t>
  </si>
  <si>
    <t>FISACESCO</t>
  </si>
  <si>
    <t>97903768600016</t>
  </si>
  <si>
    <t>F01584</t>
  </si>
  <si>
    <t>MON-SAS CERAG  SA</t>
  </si>
  <si>
    <t>32773179000017</t>
  </si>
  <si>
    <t>F01585</t>
  </si>
  <si>
    <t>MON-SAS SOBOLA</t>
  </si>
  <si>
    <t>40875040400027</t>
  </si>
  <si>
    <t>F01586</t>
  </si>
  <si>
    <t>PRAXY</t>
  </si>
  <si>
    <t>42357403700036</t>
  </si>
  <si>
    <t>F01587</t>
  </si>
  <si>
    <t>FAC  ASS FEDERATION FRANCAISE FOOTBALL - FFF</t>
  </si>
  <si>
    <t>F01588</t>
  </si>
  <si>
    <t>MON-SIEG DU PUY DE DOME</t>
  </si>
  <si>
    <t>25630014600030</t>
  </si>
  <si>
    <t>F01590</t>
  </si>
  <si>
    <t>MON-CLUB DU DOMAINE DES HTS DE VAUGRENIER</t>
  </si>
  <si>
    <t>31915023100011</t>
  </si>
  <si>
    <t>F01591</t>
  </si>
  <si>
    <t>MON-SAS CREYNAUVE</t>
  </si>
  <si>
    <t>80098833900027</t>
  </si>
  <si>
    <t>F01592</t>
  </si>
  <si>
    <t>MON-SAS MOTHRACE</t>
  </si>
  <si>
    <t>35220880500015</t>
  </si>
  <si>
    <t>F01593</t>
  </si>
  <si>
    <t>MON-KENVIN SAS</t>
  </si>
  <si>
    <t>40789377500046</t>
  </si>
  <si>
    <t>F01594</t>
  </si>
  <si>
    <t>LA MOTTE SARL</t>
  </si>
  <si>
    <t>38240263400010</t>
  </si>
  <si>
    <t>F01595</t>
  </si>
  <si>
    <t>HAGER CONTROLS</t>
  </si>
  <si>
    <t>F01596</t>
  </si>
  <si>
    <t>MON-COMM COMMUNE DE FROESCHWILLER</t>
  </si>
  <si>
    <t>21670147400019</t>
  </si>
  <si>
    <t>F01597</t>
  </si>
  <si>
    <t>MON-Meubles IKEA France (MIF)</t>
  </si>
  <si>
    <t>35174572400317</t>
  </si>
  <si>
    <t>F01598</t>
  </si>
  <si>
    <t>MON-Distribution Services IKEA France (DSIF)</t>
  </si>
  <si>
    <t>35170529800021</t>
  </si>
  <si>
    <t>F01600</t>
  </si>
  <si>
    <t>HYNAMICS</t>
  </si>
  <si>
    <t>84425497900033</t>
  </si>
  <si>
    <t>F01601</t>
  </si>
  <si>
    <t>MON-IZIVIA FAST SAS</t>
  </si>
  <si>
    <t>95147843700019</t>
  </si>
  <si>
    <t>F01602</t>
  </si>
  <si>
    <t>MAILTRAP BY RAILSWARE</t>
  </si>
  <si>
    <t>F01603</t>
  </si>
  <si>
    <t>IONITY PORTUGAL</t>
  </si>
  <si>
    <t>F01607</t>
  </si>
  <si>
    <t>SPIE INDUSTRIE</t>
  </si>
  <si>
    <t>84460672300022</t>
  </si>
  <si>
    <t>F01608</t>
  </si>
  <si>
    <t>LAFUMA SAS - ANNEYRON</t>
  </si>
  <si>
    <t>38019280700234</t>
  </si>
  <si>
    <t>F01609</t>
  </si>
  <si>
    <t>MON-SA Libre Service Les Marronniers</t>
  </si>
  <si>
    <t>33104771200012</t>
  </si>
  <si>
    <t>F01610</t>
  </si>
  <si>
    <t>EY ERNST ET YOUNG ADVISORY</t>
  </si>
  <si>
    <t>34800644600234</t>
  </si>
  <si>
    <t>F01611</t>
  </si>
  <si>
    <t>SOGEFIQ</t>
  </si>
  <si>
    <t>40889756900021</t>
  </si>
  <si>
    <t>F01612</t>
  </si>
  <si>
    <t>CPO-ZUNDER</t>
  </si>
  <si>
    <t>F01613</t>
  </si>
  <si>
    <t>ESPOT</t>
  </si>
  <si>
    <t>88239385300024</t>
  </si>
  <si>
    <t>F01614</t>
  </si>
  <si>
    <t>CPO-POWER DOT FRANCE</t>
  </si>
  <si>
    <t>89111847300018</t>
  </si>
  <si>
    <t>F01615</t>
  </si>
  <si>
    <t>CPO-IONITY POLOGNE</t>
  </si>
  <si>
    <t>F01616</t>
  </si>
  <si>
    <t>CPO-IONITY IRISH</t>
  </si>
  <si>
    <t>F01617</t>
  </si>
  <si>
    <t>MON-CREDIT AGRICOLE CENTRE EST</t>
  </si>
  <si>
    <t>39997382500017</t>
  </si>
  <si>
    <t>F01618</t>
  </si>
  <si>
    <t>PLAYPLAY</t>
  </si>
  <si>
    <t>F01619</t>
  </si>
  <si>
    <t>ETS UNIVERSITE SAVOIE MONT BLANC</t>
  </si>
  <si>
    <t>19730858800015</t>
  </si>
  <si>
    <t>F01620</t>
  </si>
  <si>
    <t>JULHIET STERWEN</t>
  </si>
  <si>
    <t>67204089600074</t>
  </si>
  <si>
    <t>F01621</t>
  </si>
  <si>
    <t>A L'HEURE DES METS</t>
  </si>
  <si>
    <t>52359527000019</t>
  </si>
  <si>
    <t>F01622</t>
  </si>
  <si>
    <t>MODENA</t>
  </si>
  <si>
    <t>52309904200047</t>
  </si>
  <si>
    <t>F01623</t>
  </si>
  <si>
    <t>NE PLUS UTILISER DALKIA ELECTROTECHNICS</t>
  </si>
  <si>
    <t>89238003100427</t>
  </si>
  <si>
    <t>F01624</t>
  </si>
  <si>
    <t>CYBERWATCH</t>
  </si>
  <si>
    <t>80951431800017</t>
  </si>
  <si>
    <t>F01625</t>
  </si>
  <si>
    <t>INEO RHONE ALPES AUVERGNE</t>
  </si>
  <si>
    <t>40989912700370</t>
  </si>
  <si>
    <t>F01626</t>
  </si>
  <si>
    <t>HE AMENAGEMENT</t>
  </si>
  <si>
    <t>92060582100015</t>
  </si>
  <si>
    <t>F01627</t>
  </si>
  <si>
    <t>CPO-ATLANTE FRANCE S.A.S.</t>
  </si>
  <si>
    <t>91148262800011</t>
  </si>
  <si>
    <t>F01628</t>
  </si>
  <si>
    <t>LUCHARD DECALCOLUX</t>
  </si>
  <si>
    <t>32852476400052</t>
  </si>
  <si>
    <t>F01629</t>
  </si>
  <si>
    <t>BIANUCCI ET FILS</t>
  </si>
  <si>
    <t>F01631</t>
  </si>
  <si>
    <t>FAR</t>
  </si>
  <si>
    <t>34455849900044</t>
  </si>
  <si>
    <t>F01632</t>
  </si>
  <si>
    <t>EUROVIA ALPES</t>
  </si>
  <si>
    <t>43388867400150</t>
  </si>
  <si>
    <t>F01633</t>
  </si>
  <si>
    <t>GROUP SUPPORT SERVICES</t>
  </si>
  <si>
    <t>F01635</t>
  </si>
  <si>
    <t>ARPEGE/ELIOR RESTAURATION FRANCE</t>
  </si>
  <si>
    <t>F01636</t>
  </si>
  <si>
    <t>BFCME ASS BOURGOGNE FRANCHE COMTE MOBILITE ELE</t>
  </si>
  <si>
    <t>F01637</t>
  </si>
  <si>
    <t>RG FRANCE</t>
  </si>
  <si>
    <t>44227845300141</t>
  </si>
  <si>
    <t>F01638</t>
  </si>
  <si>
    <t>SAUVAGER TP</t>
  </si>
  <si>
    <t>86980114200017</t>
  </si>
  <si>
    <t>F01639</t>
  </si>
  <si>
    <t>MON-SAS LHOSPITAL ET FILS</t>
  </si>
  <si>
    <t>30652352300042</t>
  </si>
  <si>
    <t>F01640</t>
  </si>
  <si>
    <t>EDTAKE</t>
  </si>
  <si>
    <t>85396277700019</t>
  </si>
  <si>
    <t>F01641</t>
  </si>
  <si>
    <t>EXELYA</t>
  </si>
  <si>
    <t>80918925100022</t>
  </si>
  <si>
    <t>F01642</t>
  </si>
  <si>
    <t>MON-SAS AGILAUTO PARTAGE</t>
  </si>
  <si>
    <t>95146154000019</t>
  </si>
  <si>
    <t>F01643</t>
  </si>
  <si>
    <t>DELTA ELECTRONICS FRANCE</t>
  </si>
  <si>
    <t>66278016200027</t>
  </si>
  <si>
    <t>F01644</t>
  </si>
  <si>
    <t>CPO-PUNTO RECARGAS SL</t>
  </si>
  <si>
    <t>F01645</t>
  </si>
  <si>
    <t>SFEIR</t>
  </si>
  <si>
    <t>35014207100074</t>
  </si>
  <si>
    <t>F01646</t>
  </si>
  <si>
    <t>DALKIA FROID SERVICES</t>
  </si>
  <si>
    <t>F01647</t>
  </si>
  <si>
    <t>ASSOCIATION GIDE LOYRETTE NOUEL</t>
  </si>
  <si>
    <t>78435550500057</t>
  </si>
  <si>
    <t>F01651</t>
  </si>
  <si>
    <t>MON-SAS MAROUAN</t>
  </si>
  <si>
    <t>41019285000015</t>
  </si>
  <si>
    <t>F01653</t>
  </si>
  <si>
    <t>MOBILYNK</t>
  </si>
  <si>
    <t>F01654</t>
  </si>
  <si>
    <t>ALTERYX UK LTD</t>
  </si>
  <si>
    <t>F01655</t>
  </si>
  <si>
    <t>THE ONE ESCAPE</t>
  </si>
  <si>
    <t>88926417200012</t>
  </si>
  <si>
    <t>F01656</t>
  </si>
  <si>
    <t>IZI SOLUTIONS - Izi By EDF</t>
  </si>
  <si>
    <t>F01658</t>
  </si>
  <si>
    <t>SYMAPS SAS</t>
  </si>
  <si>
    <t>82402486300055</t>
  </si>
  <si>
    <t>F01659</t>
  </si>
  <si>
    <t>GREEN TEAM ENERGIE</t>
  </si>
  <si>
    <t>91040414400024</t>
  </si>
  <si>
    <t>F01661</t>
  </si>
  <si>
    <t>CPO-Enel X Way Italia</t>
  </si>
  <si>
    <t>F01758</t>
  </si>
  <si>
    <t>L'ENTREPRISE ELECTRIQUE</t>
  </si>
  <si>
    <t>86220001100016</t>
  </si>
  <si>
    <t>F01759</t>
  </si>
  <si>
    <t>SAS TEXA GLOBAL SOLUTIONS</t>
  </si>
  <si>
    <t>F01760</t>
  </si>
  <si>
    <t>SAS AZALEO</t>
  </si>
  <si>
    <t>88160494600023</t>
  </si>
  <si>
    <t>F01761</t>
  </si>
  <si>
    <t>ABDOULAYE SALL GREEN ENERGY</t>
  </si>
  <si>
    <t>F01763</t>
  </si>
  <si>
    <t>EDF SMART SLDE</t>
  </si>
  <si>
    <t>F01764</t>
  </si>
  <si>
    <t>BUREAU ALPES CONTROLES</t>
  </si>
  <si>
    <t>F01765</t>
  </si>
  <si>
    <t>Grande Côte</t>
  </si>
  <si>
    <t>89754111600017</t>
  </si>
  <si>
    <t>F01766</t>
  </si>
  <si>
    <t>CPO-BUMP</t>
  </si>
  <si>
    <t>89784992300023</t>
  </si>
  <si>
    <t>F01767</t>
  </si>
  <si>
    <t>L'HUM-IERES</t>
  </si>
  <si>
    <t>88961249500016</t>
  </si>
  <si>
    <t>F01768</t>
  </si>
  <si>
    <t>MON-SAS LES JONQUILLES</t>
  </si>
  <si>
    <t>38118286400029</t>
  </si>
  <si>
    <t>F01769</t>
  </si>
  <si>
    <t>MON-VILLAGE CORSAIRE 2 PLAGES</t>
  </si>
  <si>
    <t>47920470300017</t>
  </si>
  <si>
    <t>F01770</t>
  </si>
  <si>
    <t>SARL PLB CONSULTANT</t>
  </si>
  <si>
    <t>42169477900057</t>
  </si>
  <si>
    <t>F01771</t>
  </si>
  <si>
    <t>CPO-LichtBlick eMobility</t>
  </si>
  <si>
    <t>F01772</t>
  </si>
  <si>
    <t>DELTA PROCESS</t>
  </si>
  <si>
    <t>39262112400032</t>
  </si>
  <si>
    <t>F01774</t>
  </si>
  <si>
    <t>TECHMINDS SLIMANE RAHMOUNE</t>
  </si>
  <si>
    <t>97843137700016</t>
  </si>
  <si>
    <t>F01775</t>
  </si>
  <si>
    <t>SUPALIA</t>
  </si>
  <si>
    <t>38767911100022</t>
  </si>
  <si>
    <t>F01776</t>
  </si>
  <si>
    <t>INSTITUT LEONARD DE VINCI</t>
  </si>
  <si>
    <t>F90328</t>
  </si>
  <si>
    <t>Parc Astérix</t>
  </si>
  <si>
    <t>F90330</t>
  </si>
  <si>
    <t>SIRETEC INGENIERIE</t>
  </si>
  <si>
    <t>F90331</t>
  </si>
  <si>
    <t>QUALICONSULT EXPLOITATION Antilles</t>
  </si>
  <si>
    <t>F90332</t>
  </si>
  <si>
    <t>OREO</t>
  </si>
  <si>
    <t>F90337</t>
  </si>
  <si>
    <t>BRAGER ET ASSOCIES  COMMISSAIRES DE</t>
  </si>
  <si>
    <t>F90339</t>
  </si>
  <si>
    <t>SIEMENS GAMESA RENEWABLE ENERGY S A</t>
  </si>
  <si>
    <t>F90342</t>
  </si>
  <si>
    <t>AFCOR</t>
  </si>
  <si>
    <t>F90343</t>
  </si>
  <si>
    <t>GEOSAT</t>
  </si>
  <si>
    <t>F90345</t>
  </si>
  <si>
    <t>BILLIOT</t>
  </si>
  <si>
    <t>F90346</t>
  </si>
  <si>
    <t>ENTREPRISE DE BATIMENTS PRATDESSUS</t>
  </si>
  <si>
    <t>F90347</t>
  </si>
  <si>
    <t>MADELEC TECHNOLOGIES</t>
  </si>
  <si>
    <t>F90348</t>
  </si>
  <si>
    <t>AMI2S</t>
  </si>
  <si>
    <t>F90349</t>
  </si>
  <si>
    <t>SDE65</t>
  </si>
  <si>
    <t>F90351</t>
  </si>
  <si>
    <t>HARNELEC MULTI SERVICES</t>
  </si>
  <si>
    <t>F90352</t>
  </si>
  <si>
    <t>BE GREEN MOBILITY</t>
  </si>
  <si>
    <t>F90357</t>
  </si>
  <si>
    <t>SKILLEC</t>
  </si>
  <si>
    <t>F90362</t>
  </si>
  <si>
    <t>KS MACONNERIE</t>
  </si>
  <si>
    <t>F90363</t>
  </si>
  <si>
    <t>TT75</t>
  </si>
  <si>
    <t>91234529500014</t>
  </si>
  <si>
    <t>F90364</t>
  </si>
  <si>
    <t>BINI</t>
  </si>
  <si>
    <t>F90368</t>
  </si>
  <si>
    <t>EDF ENR</t>
  </si>
  <si>
    <t>F90369</t>
  </si>
  <si>
    <t>DALKIA ELECTROTECHNICS IG</t>
  </si>
  <si>
    <t>F90372</t>
  </si>
  <si>
    <t>DATANUMIA</t>
  </si>
  <si>
    <t>F90375</t>
  </si>
  <si>
    <t>BATIMARK ENVIRONNEMENT</t>
  </si>
  <si>
    <t>F90376</t>
  </si>
  <si>
    <t>REVOLTE</t>
  </si>
  <si>
    <t>F90377</t>
  </si>
  <si>
    <t>CHANTIERS D'AQUITAINE</t>
  </si>
  <si>
    <t>F90001</t>
  </si>
  <si>
    <t>CREDIPAR</t>
  </si>
  <si>
    <t>31742598100972</t>
  </si>
  <si>
    <t>F90002</t>
  </si>
  <si>
    <t>EDF</t>
  </si>
  <si>
    <t>F90004</t>
  </si>
  <si>
    <t>OVERLEASE</t>
  </si>
  <si>
    <t>32989236800021</t>
  </si>
  <si>
    <t>F90007</t>
  </si>
  <si>
    <t>FM AUTO</t>
  </si>
  <si>
    <t>74998636000024</t>
  </si>
  <si>
    <t>F90009</t>
  </si>
  <si>
    <t>GREEN TECHNOLOGIE DEVIENT EZDRIVE</t>
  </si>
  <si>
    <t>89373769200010</t>
  </si>
  <si>
    <t>F90010</t>
  </si>
  <si>
    <t>JOHNSON CONTROLS FRANCE</t>
  </si>
  <si>
    <t>81801971300010</t>
  </si>
  <si>
    <t>F90104</t>
  </si>
  <si>
    <t>EIFFAGE BASSE-NORMANDIE</t>
  </si>
  <si>
    <t>F90105</t>
  </si>
  <si>
    <t>EIFFAGE POITOU-CHARENTES</t>
  </si>
  <si>
    <t>F90109</t>
  </si>
  <si>
    <t>EIFFAGE NOUVELLE AQUITAINE</t>
  </si>
  <si>
    <t>F90120</t>
  </si>
  <si>
    <t>CITEOS BOURBON LUMIERE</t>
  </si>
  <si>
    <t>F90121</t>
  </si>
  <si>
    <t>GENERGIES</t>
  </si>
  <si>
    <t>F90122</t>
  </si>
  <si>
    <t>ALPI</t>
  </si>
  <si>
    <t>F90124</t>
  </si>
  <si>
    <t>CITELUM IG</t>
  </si>
  <si>
    <t>F90130</t>
  </si>
  <si>
    <t>QUALICONSULT IMMOBILIER</t>
  </si>
  <si>
    <t>F90132</t>
  </si>
  <si>
    <t>SCHNEIDER ELECTRIC INTERNATIONAL</t>
  </si>
  <si>
    <t>F90135</t>
  </si>
  <si>
    <t>ELEXENT(SOLSTYCE)</t>
  </si>
  <si>
    <t>F90136</t>
  </si>
  <si>
    <t>HEURTAUX</t>
  </si>
  <si>
    <t>F90139</t>
  </si>
  <si>
    <t>EUROVIA DROME ARDECHE LOIRE AUVERGNE</t>
  </si>
  <si>
    <t>F90143</t>
  </si>
  <si>
    <t>GUINTOLI</t>
  </si>
  <si>
    <t>F90145</t>
  </si>
  <si>
    <t>ESPACIO RHONE ALPES</t>
  </si>
  <si>
    <t>F90149</t>
  </si>
  <si>
    <t>COREM</t>
  </si>
  <si>
    <t>F90152</t>
  </si>
  <si>
    <t>ACO SECURITE</t>
  </si>
  <si>
    <t>F90155</t>
  </si>
  <si>
    <t>APAVE SUDEUROPE remplacé par F00307</t>
  </si>
  <si>
    <t>F90157</t>
  </si>
  <si>
    <t>ABMI GROUPE</t>
  </si>
  <si>
    <t>F90158</t>
  </si>
  <si>
    <t>IN-GEO</t>
  </si>
  <si>
    <t>F90160</t>
  </si>
  <si>
    <t>ANCV</t>
  </si>
  <si>
    <t>F90161</t>
  </si>
  <si>
    <t>SOCOTEC ENVIRONNEMENT</t>
  </si>
  <si>
    <t>F90162</t>
  </si>
  <si>
    <t>VRI V R INGENIERIE</t>
  </si>
  <si>
    <t>F90163</t>
  </si>
  <si>
    <t>PIERRON Martine</t>
  </si>
  <si>
    <t>F90165</t>
  </si>
  <si>
    <t>ENBTP</t>
  </si>
  <si>
    <t>F90167</t>
  </si>
  <si>
    <t>BIENMANGER.COM</t>
  </si>
  <si>
    <t>F90169</t>
  </si>
  <si>
    <t>ESPACIO ILE DE FRANCE</t>
  </si>
  <si>
    <t>F90171</t>
  </si>
  <si>
    <t>ESPACIO NORD</t>
  </si>
  <si>
    <t>F90174</t>
  </si>
  <si>
    <t>APTHEA</t>
  </si>
  <si>
    <t>F90176</t>
  </si>
  <si>
    <t>SIM</t>
  </si>
  <si>
    <t>F90180</t>
  </si>
  <si>
    <t>VOITURE PARIS GRENELLE</t>
  </si>
  <si>
    <t>F90181</t>
  </si>
  <si>
    <t>APAVE SUDEUROPE  - Agence Guyane</t>
  </si>
  <si>
    <t>F90183</t>
  </si>
  <si>
    <t>ATLAS (OPCO) cheque</t>
  </si>
  <si>
    <t>F90198</t>
  </si>
  <si>
    <t>LESENS ACTEA - OMEXOM</t>
  </si>
  <si>
    <t>F90200</t>
  </si>
  <si>
    <t>TEMPO COORDINATION</t>
  </si>
  <si>
    <t>F90205</t>
  </si>
  <si>
    <t>FORMASUP ARL</t>
  </si>
  <si>
    <t>F90207</t>
  </si>
  <si>
    <t>COMPAGNIE DES BALADES RALLYES</t>
  </si>
  <si>
    <t>F90208</t>
  </si>
  <si>
    <t>ICARD Maîtrise d'oeuvre et orga IMEO</t>
  </si>
  <si>
    <t>F90209</t>
  </si>
  <si>
    <t>M GHESQUIERE LAURENT</t>
  </si>
  <si>
    <t>F90211</t>
  </si>
  <si>
    <t>DALKIA SA</t>
  </si>
  <si>
    <t>F90213</t>
  </si>
  <si>
    <t>IDEX ENERGIES</t>
  </si>
  <si>
    <t>31587164000662</t>
  </si>
  <si>
    <t>F90215</t>
  </si>
  <si>
    <t>QUARK INGENIERIE</t>
  </si>
  <si>
    <t>F90217</t>
  </si>
  <si>
    <t>EIFFAGE ENERGIE SYSTEMES IDF</t>
  </si>
  <si>
    <t>F90219</t>
  </si>
  <si>
    <t>JAMEN</t>
  </si>
  <si>
    <t>F90222</t>
  </si>
  <si>
    <t>ACHETERMIEUX</t>
  </si>
  <si>
    <t>F90223</t>
  </si>
  <si>
    <t>EDF DIVISION ASSURANCE</t>
  </si>
  <si>
    <t>F90228</t>
  </si>
  <si>
    <t>SAMSIC SECURITE</t>
  </si>
  <si>
    <t>F90229</t>
  </si>
  <si>
    <t>EIFFAGE ENERGIE SYSTEMES-CLEMESSY</t>
  </si>
  <si>
    <t>94575213700212</t>
  </si>
  <si>
    <t>F90231</t>
  </si>
  <si>
    <t>TRASEG - CITEOS</t>
  </si>
  <si>
    <t>F90234</t>
  </si>
  <si>
    <t>CDC BIODIVERSITE</t>
  </si>
  <si>
    <t>F90237</t>
  </si>
  <si>
    <t>PUDDING</t>
  </si>
  <si>
    <t>F90238</t>
  </si>
  <si>
    <t>SOPEMEA</t>
  </si>
  <si>
    <t>70980255700013</t>
  </si>
  <si>
    <t>F90242</t>
  </si>
  <si>
    <t>AE3</t>
  </si>
  <si>
    <t>F90243</t>
  </si>
  <si>
    <t>HYPROMAT FRANCE</t>
  </si>
  <si>
    <t>F90244</t>
  </si>
  <si>
    <t>GOODYEAR FRANCE - 4Fleet Group</t>
  </si>
  <si>
    <t>F90245</t>
  </si>
  <si>
    <t>FULLMARK</t>
  </si>
  <si>
    <t>F90246</t>
  </si>
  <si>
    <t>ETS DUPONT</t>
  </si>
  <si>
    <t>F90247</t>
  </si>
  <si>
    <t>SUPADISCO</t>
  </si>
  <si>
    <t>F90248</t>
  </si>
  <si>
    <t>SOCOTEC ANTILLES GUYANE</t>
  </si>
  <si>
    <t>F90255</t>
  </si>
  <si>
    <t>DERICHEBOURG ENERGIE</t>
  </si>
  <si>
    <t>F90256</t>
  </si>
  <si>
    <t>YPSOFAKTO</t>
  </si>
  <si>
    <t>F90257</t>
  </si>
  <si>
    <t>BUREAU VERITAS SOLUTIONS</t>
  </si>
  <si>
    <t>F90258</t>
  </si>
  <si>
    <t>FONDATION LEOPOLD BELLAN</t>
  </si>
  <si>
    <t>F90259</t>
  </si>
  <si>
    <t>PERENNE</t>
  </si>
  <si>
    <t>F90260</t>
  </si>
  <si>
    <t>ELECTRICITE INDUSTRIELLE JP  FAUCHE</t>
  </si>
  <si>
    <t>F90261</t>
  </si>
  <si>
    <t>2EM</t>
  </si>
  <si>
    <t>F90262</t>
  </si>
  <si>
    <t>ETHI'KDO</t>
  </si>
  <si>
    <t>F90267</t>
  </si>
  <si>
    <t>REGIE MUNICIPALE D'ELECTRICITE DE TARASCON</t>
  </si>
  <si>
    <t>F90268</t>
  </si>
  <si>
    <t>SODEXO ENERGIE ET MAINTENANCE</t>
  </si>
  <si>
    <t>F90269</t>
  </si>
  <si>
    <t>SDE09</t>
  </si>
  <si>
    <t>F90270</t>
  </si>
  <si>
    <t>EUROVIA STR</t>
  </si>
  <si>
    <t>F90273</t>
  </si>
  <si>
    <t>PROVENCE MAINTENANCE SERVICES VINCI FACILITIES</t>
  </si>
  <si>
    <t>F90274</t>
  </si>
  <si>
    <t>DAUPHINE SAVOIE MAINTENANCE SERVICES</t>
  </si>
  <si>
    <t>F90278</t>
  </si>
  <si>
    <t>SYNDICAT DEPARTEMENTAL  D'ENERGIES 09</t>
  </si>
  <si>
    <t>F90279</t>
  </si>
  <si>
    <t>LAURAGAIS MARQUAGE</t>
  </si>
  <si>
    <t>F90280</t>
  </si>
  <si>
    <t>JDR CONSULTING</t>
  </si>
  <si>
    <t>F90281</t>
  </si>
  <si>
    <t>ECLAIR INDUSTRIELS SA</t>
  </si>
  <si>
    <t>F90283</t>
  </si>
  <si>
    <t>CIRCET (Scopolec Energies Sces)</t>
  </si>
  <si>
    <t>F90284</t>
  </si>
  <si>
    <t>AXIMUM</t>
  </si>
  <si>
    <t>F90285</t>
  </si>
  <si>
    <t>OUTILS OCEANS</t>
  </si>
  <si>
    <t>F90289</t>
  </si>
  <si>
    <t>MARRAUD INGENIERIE</t>
  </si>
  <si>
    <t>F90290</t>
  </si>
  <si>
    <t>SIRUN</t>
  </si>
  <si>
    <t>F90291</t>
  </si>
  <si>
    <t>TANIT</t>
  </si>
  <si>
    <t>F90292</t>
  </si>
  <si>
    <t>Café BARBES</t>
  </si>
  <si>
    <t>F90294</t>
  </si>
  <si>
    <t>SENSAS</t>
  </si>
  <si>
    <t>F90295</t>
  </si>
  <si>
    <t>SERIC LYON</t>
  </si>
  <si>
    <t>F90297</t>
  </si>
  <si>
    <t>SODI-OSIS (VEOLIA)</t>
  </si>
  <si>
    <t>F90299</t>
  </si>
  <si>
    <t>ROIRET SERVICES</t>
  </si>
  <si>
    <t>F90301</t>
  </si>
  <si>
    <t>BIGSOOL</t>
  </si>
  <si>
    <t>F90302</t>
  </si>
  <si>
    <t>CSE IZIVIA</t>
  </si>
  <si>
    <t>F90303</t>
  </si>
  <si>
    <t>ETOILE DAVIDSUN</t>
  </si>
  <si>
    <t>F90309</t>
  </si>
  <si>
    <t>ZILE</t>
  </si>
  <si>
    <t>F90310</t>
  </si>
  <si>
    <t>ENTREPRISE MARC</t>
  </si>
  <si>
    <t>F90312</t>
  </si>
  <si>
    <t>SA DALKIA</t>
  </si>
  <si>
    <t>F90314</t>
  </si>
  <si>
    <t>PROGECAT</t>
  </si>
  <si>
    <t>F90315</t>
  </si>
  <si>
    <t>83409669500574</t>
  </si>
  <si>
    <t>F90316</t>
  </si>
  <si>
    <t>APAVE INFRASTRUCTURES ET CONSTRUCTIO</t>
  </si>
  <si>
    <t>F90318</t>
  </si>
  <si>
    <t>DIMCAP</t>
  </si>
  <si>
    <t>F90324</t>
  </si>
  <si>
    <t>EZ DRIVE</t>
  </si>
  <si>
    <t>F01247</t>
  </si>
  <si>
    <t>MON-ASS LIGUE DE FOOTBALL NOUVELLE-AQUITAINE</t>
  </si>
  <si>
    <t>78184360200041</t>
  </si>
  <si>
    <t>F01248</t>
  </si>
  <si>
    <t>MON-ASS LIGUE DE FOOTBALL DES PAYS DE LA LOI</t>
  </si>
  <si>
    <t>78601603000029</t>
  </si>
  <si>
    <t>F01249</t>
  </si>
  <si>
    <t>MON-DISTRICT VAL OISE FOOTBALL</t>
  </si>
  <si>
    <t>32303771300035</t>
  </si>
  <si>
    <t>F01251</t>
  </si>
  <si>
    <t>GCC SAS</t>
  </si>
  <si>
    <t>40779455100231</t>
  </si>
  <si>
    <t>F01253</t>
  </si>
  <si>
    <t>DEGETEL</t>
  </si>
  <si>
    <t>42380688400114</t>
  </si>
  <si>
    <t>F01256</t>
  </si>
  <si>
    <t>BRADY GROUPE SIGNALS</t>
  </si>
  <si>
    <t>38306455700119</t>
  </si>
  <si>
    <t>F01257</t>
  </si>
  <si>
    <t>VERLEYEN TERRASSEMENT SAS</t>
  </si>
  <si>
    <t>53104991400025</t>
  </si>
  <si>
    <t>F01258</t>
  </si>
  <si>
    <t>EPA SORBONNE UNIVERSITE</t>
  </si>
  <si>
    <t>13002338500011</t>
  </si>
  <si>
    <t>F01259</t>
  </si>
  <si>
    <t>CAMELIA TECH</t>
  </si>
  <si>
    <t>81156582900033</t>
  </si>
  <si>
    <t>F01263</t>
  </si>
  <si>
    <t>AUTRET TRAITEUR</t>
  </si>
  <si>
    <t>33198219900035</t>
  </si>
  <si>
    <t>F01264</t>
  </si>
  <si>
    <t>LEXTENSO</t>
  </si>
  <si>
    <t>F01269</t>
  </si>
  <si>
    <t>CPO-TOTALENERGIES MARKETING NEDERLAND</t>
  </si>
  <si>
    <t>F01273</t>
  </si>
  <si>
    <t>CCI GRENOBLE ECOLE MANAGMT</t>
  </si>
  <si>
    <t>81738914100018</t>
  </si>
  <si>
    <t>F01274</t>
  </si>
  <si>
    <t>CPO-CHARGEPOINT NETWORK (NETHERLANDS) B.V.</t>
  </si>
  <si>
    <t>F01275</t>
  </si>
  <si>
    <t>DOMAFRAIS</t>
  </si>
  <si>
    <t>96220158800085</t>
  </si>
  <si>
    <t>F01276</t>
  </si>
  <si>
    <t>STEF WILLKIE FARR ET GALLAGHER</t>
  </si>
  <si>
    <t>77575880800015</t>
  </si>
  <si>
    <t>F01278</t>
  </si>
  <si>
    <t>CPO-ALLEGO FRANCE</t>
  </si>
  <si>
    <t>84271851200036</t>
  </si>
  <si>
    <t>F01279</t>
  </si>
  <si>
    <t>CPO-ALLEGO GERMANY</t>
  </si>
  <si>
    <t>F01281</t>
  </si>
  <si>
    <t>MON-CAMPING LES 3 VALLEES</t>
  </si>
  <si>
    <t>49148523100014</t>
  </si>
  <si>
    <t>F01282</t>
  </si>
  <si>
    <t>REALITY AGENCY</t>
  </si>
  <si>
    <t>83097542100025</t>
  </si>
  <si>
    <t>F01283</t>
  </si>
  <si>
    <t>LOCKSELF</t>
  </si>
  <si>
    <t>80003404300045</t>
  </si>
  <si>
    <t>F01284</t>
  </si>
  <si>
    <t>VANBERG PREVENTION</t>
  </si>
  <si>
    <t>87781782500020</t>
  </si>
  <si>
    <t>F01285</t>
  </si>
  <si>
    <t>BALIBART PANOPLI</t>
  </si>
  <si>
    <t>79049354800024</t>
  </si>
  <si>
    <t>F01287</t>
  </si>
  <si>
    <t>CPO-TEVGO INTERPARKING</t>
  </si>
  <si>
    <t>F01289</t>
  </si>
  <si>
    <t>COMMUNE HEILLECOURT</t>
  </si>
  <si>
    <t>21540257900019</t>
  </si>
  <si>
    <t>F01291</t>
  </si>
  <si>
    <t>COMMUNE DU PAYS DE COLOMBEY TOULOIS</t>
  </si>
  <si>
    <t>24540051000013</t>
  </si>
  <si>
    <t>F01292</t>
  </si>
  <si>
    <t>COMMUNE DE PULNOY</t>
  </si>
  <si>
    <t>21540439300062</t>
  </si>
  <si>
    <t>F01293</t>
  </si>
  <si>
    <t>COMMUNE COEUR DU PAYS HAUT</t>
  </si>
  <si>
    <t>20007029000016</t>
  </si>
  <si>
    <t>F01294</t>
  </si>
  <si>
    <t>COMMUNE DU BASSIN DE POMPEY</t>
  </si>
  <si>
    <t>24540060100101</t>
  </si>
  <si>
    <t>F01295</t>
  </si>
  <si>
    <t>COMMUNAUTE DE COMMUNES MOSELLE ET MA</t>
  </si>
  <si>
    <t>24540017100048</t>
  </si>
  <si>
    <t>F01296</t>
  </si>
  <si>
    <t>COMMUNE DE NANCY</t>
  </si>
  <si>
    <t>21540395700016</t>
  </si>
  <si>
    <t>F01297</t>
  </si>
  <si>
    <t>DEPARTEMENT DE MEURTHE ET MOSELLE</t>
  </si>
  <si>
    <t>22540001900785</t>
  </si>
  <si>
    <t>F01299</t>
  </si>
  <si>
    <t>ATGROUP</t>
  </si>
  <si>
    <t>88457184500012</t>
  </si>
  <si>
    <t>F01300</t>
  </si>
  <si>
    <t>SEE YOU SUN</t>
  </si>
  <si>
    <t>82464129400056</t>
  </si>
  <si>
    <t>F01301</t>
  </si>
  <si>
    <t>PREVENCO</t>
  </si>
  <si>
    <t>50087182700035</t>
  </si>
  <si>
    <t>F01303</t>
  </si>
  <si>
    <t>NEUBAUER Distributeur</t>
  </si>
  <si>
    <t>49336034100215</t>
  </si>
  <si>
    <t>F01307</t>
  </si>
  <si>
    <t>MON-IZIVIA METROPOLES SAS</t>
  </si>
  <si>
    <t>91204367600010</t>
  </si>
  <si>
    <t>F01308</t>
  </si>
  <si>
    <t>ENSIO EST</t>
  </si>
  <si>
    <t>F01309</t>
  </si>
  <si>
    <t>MON-CC des Vallons du Lyonnais (CCVL)</t>
  </si>
  <si>
    <t>24690072400146</t>
  </si>
  <si>
    <t>F01310</t>
  </si>
  <si>
    <t>MON-CAMPING LE LITTORAL SNC</t>
  </si>
  <si>
    <t>37875643100029</t>
  </si>
  <si>
    <t>F01311</t>
  </si>
  <si>
    <t>MON-BLUE BAYOU SNC</t>
  </si>
  <si>
    <t>34481757200045</t>
  </si>
  <si>
    <t>F01312</t>
  </si>
  <si>
    <t>DOMAINE DU MIDI SCS</t>
  </si>
  <si>
    <t>83358190300014</t>
  </si>
  <si>
    <t>F01313</t>
  </si>
  <si>
    <t>MON-CAMPING DU KEROU SAS</t>
  </si>
  <si>
    <t>37831025400016</t>
  </si>
  <si>
    <t>F01314</t>
  </si>
  <si>
    <t>MON-L OREE DU BOIS SNC</t>
  </si>
  <si>
    <t>32776535000019</t>
  </si>
  <si>
    <t>F01315</t>
  </si>
  <si>
    <t>MON-CAMPING LE RANOLIEN SCS</t>
  </si>
  <si>
    <t>59202846800045</t>
  </si>
  <si>
    <t>F01316</t>
  </si>
  <si>
    <t>Camping Le Moulin de l'Eclis</t>
  </si>
  <si>
    <t>49504022200012</t>
  </si>
  <si>
    <t>F01317</t>
  </si>
  <si>
    <t>Camping Séquoia Parc SNC</t>
  </si>
  <si>
    <t>F01318</t>
  </si>
  <si>
    <t>Camping Riviera d'Azur</t>
  </si>
  <si>
    <t>37801286800022</t>
  </si>
  <si>
    <t>F01319</t>
  </si>
  <si>
    <t>MON-Camping Sanguinet Plage SAS</t>
  </si>
  <si>
    <t>33806819000010</t>
  </si>
  <si>
    <t>F01320</t>
  </si>
  <si>
    <t>MON-Camping Les Tamaris SAS</t>
  </si>
  <si>
    <t>38785440900019</t>
  </si>
  <si>
    <t>F01321</t>
  </si>
  <si>
    <t>MON-Camping Douce Quiétude SNC</t>
  </si>
  <si>
    <t>31558995200011</t>
  </si>
  <si>
    <t>F01322</t>
  </si>
  <si>
    <t>MON-Camping Les Deux Fontaines SAS</t>
  </si>
  <si>
    <t>34481757200037</t>
  </si>
  <si>
    <t>F01323</t>
  </si>
  <si>
    <t>MON-Camping Les Vagues</t>
  </si>
  <si>
    <t>33028832500047</t>
  </si>
  <si>
    <t>F01324</t>
  </si>
  <si>
    <t>Blenod</t>
  </si>
  <si>
    <t>F01325</t>
  </si>
  <si>
    <t>COMM COMMUNE DE DIEULOUARD</t>
  </si>
  <si>
    <t>21540157100017</t>
  </si>
  <si>
    <t>F01326</t>
  </si>
  <si>
    <t>EUROPOLY</t>
  </si>
  <si>
    <t>42352812400047</t>
  </si>
  <si>
    <t>F01327</t>
  </si>
  <si>
    <t>MON-METR METROPOLE NICE COTE D AZUR</t>
  </si>
  <si>
    <t>F01328</t>
  </si>
  <si>
    <t>MON-HERDIS SAS</t>
  </si>
  <si>
    <t>34885809300035</t>
  </si>
  <si>
    <t>F01329</t>
  </si>
  <si>
    <t>LEDUC CLEMENT</t>
  </si>
  <si>
    <t>90110152700017</t>
  </si>
  <si>
    <t>F01330</t>
  </si>
  <si>
    <t>IB CEGOS</t>
  </si>
  <si>
    <t>33392819000045</t>
  </si>
  <si>
    <t>F01331</t>
  </si>
  <si>
    <t>TECHNOCITY</t>
  </si>
  <si>
    <t>84940326600018</t>
  </si>
  <si>
    <t>F01332</t>
  </si>
  <si>
    <t>M2I FORMATION</t>
  </si>
  <si>
    <t>F01333</t>
  </si>
  <si>
    <t>MON-JONATHAN EVENEMENTS</t>
  </si>
  <si>
    <t>35185839400130</t>
  </si>
  <si>
    <t>F01334</t>
  </si>
  <si>
    <t>SAINT-GOBAIN EXPERTISE ET SERVICE</t>
  </si>
  <si>
    <t>31761213300056</t>
  </si>
  <si>
    <t>F01335</t>
  </si>
  <si>
    <t>FRANFINANCE</t>
  </si>
  <si>
    <t>71980740600884</t>
  </si>
  <si>
    <t>F01336</t>
  </si>
  <si>
    <t>INETUM - MANAO CONSULTING</t>
  </si>
  <si>
    <t>84451834000022</t>
  </si>
  <si>
    <t>F01337</t>
  </si>
  <si>
    <t>BELKAS MEHDI</t>
  </si>
  <si>
    <t>84075830400017</t>
  </si>
  <si>
    <t>F01338</t>
  </si>
  <si>
    <t>VENI VERDI</t>
  </si>
  <si>
    <t>52978846500043</t>
  </si>
  <si>
    <t>F01339</t>
  </si>
  <si>
    <t>VALIANCE</t>
  </si>
  <si>
    <t>40937773600064</t>
  </si>
  <si>
    <t>F01342</t>
  </si>
  <si>
    <t>M BESSAT THOMAS</t>
  </si>
  <si>
    <t>80406082000029</t>
  </si>
  <si>
    <t>F01344</t>
  </si>
  <si>
    <t>ANM AREP</t>
  </si>
  <si>
    <t>30448709300094</t>
  </si>
  <si>
    <t>F01345</t>
  </si>
  <si>
    <t>CPO-VIRTA</t>
  </si>
  <si>
    <t>F01346</t>
  </si>
  <si>
    <t>LEGAVOTE</t>
  </si>
  <si>
    <t>87818817600019</t>
  </si>
  <si>
    <t>F01347</t>
  </si>
  <si>
    <t>IGE (remplace ALPI)</t>
  </si>
  <si>
    <t>39973700600078</t>
  </si>
  <si>
    <t>F01348</t>
  </si>
  <si>
    <t>ESPACE EXPANSION</t>
  </si>
  <si>
    <t>32399869000461</t>
  </si>
  <si>
    <t>F01350</t>
  </si>
  <si>
    <t>HUBJECT</t>
  </si>
  <si>
    <t>F01353</t>
  </si>
  <si>
    <t>CPO-WAAT</t>
  </si>
  <si>
    <t>84022706000018</t>
  </si>
  <si>
    <t>F01354</t>
  </si>
  <si>
    <t>CFA CCIR</t>
  </si>
  <si>
    <t>13001727000013</t>
  </si>
  <si>
    <t>F01355</t>
  </si>
  <si>
    <t>CPO-MOBILITY BY SEVDEC NOVA BORNE</t>
  </si>
  <si>
    <t>38064471600017</t>
  </si>
  <si>
    <t>F01356</t>
  </si>
  <si>
    <t>MON-ROMAX SAS</t>
  </si>
  <si>
    <t>81360204200018</t>
  </si>
  <si>
    <t>F01357</t>
  </si>
  <si>
    <t>3M BRICOLAGE ET BATIMENT</t>
  </si>
  <si>
    <t>37962216000024</t>
  </si>
  <si>
    <t>F01358</t>
  </si>
  <si>
    <t>MON-ALIVE GROUPE</t>
  </si>
  <si>
    <t>83297399400029</t>
  </si>
  <si>
    <t>F01359</t>
  </si>
  <si>
    <t>AMAZONE SA</t>
  </si>
  <si>
    <t>57980003800054</t>
  </si>
  <si>
    <t>F01360</t>
  </si>
  <si>
    <t>AMBULANCES CHATEAU LA VALLIERE</t>
  </si>
  <si>
    <t>50448386800023</t>
  </si>
  <si>
    <t>F01361</t>
  </si>
  <si>
    <t>APOGEI 94 – FAM de la Pointe du Lac</t>
  </si>
  <si>
    <t>77573764600395</t>
  </si>
  <si>
    <t>F01362</t>
  </si>
  <si>
    <t>MON-ASSOCIATION LE BOIS NOIR / ELORN</t>
  </si>
  <si>
    <t>41955227800055</t>
  </si>
  <si>
    <t>F01363</t>
  </si>
  <si>
    <t>MON-AUCHAN ENERGIES SNC</t>
  </si>
  <si>
    <t>31700734200015</t>
  </si>
  <si>
    <t>F01364</t>
  </si>
  <si>
    <t>MON-SARL AURAN LES PLANS</t>
  </si>
  <si>
    <t>40161020900017</t>
  </si>
  <si>
    <t>F01365</t>
  </si>
  <si>
    <t>BACACIER ATLANTIQUE</t>
  </si>
  <si>
    <t>38456442300018</t>
  </si>
  <si>
    <t>F01366</t>
  </si>
  <si>
    <t>BACACIER GASCOGNE</t>
  </si>
  <si>
    <t>53115611500036</t>
  </si>
  <si>
    <t>F01367</t>
  </si>
  <si>
    <t>MON-SAS ASTRA PLASTIQUE SAS</t>
  </si>
  <si>
    <t>64378038000017</t>
  </si>
  <si>
    <t>F01368</t>
  </si>
  <si>
    <t>MON-ZELLER PLASTIK FRANCE SAS</t>
  </si>
  <si>
    <t>31966519600014</t>
  </si>
  <si>
    <t>F01369</t>
  </si>
  <si>
    <t>BETON VICAT</t>
  </si>
  <si>
    <t>30991846401630</t>
  </si>
  <si>
    <t>F01370</t>
  </si>
  <si>
    <t>MON-BILLON BRICOLAGE SAS</t>
  </si>
  <si>
    <t>43884374000020</t>
  </si>
  <si>
    <t>F01371</t>
  </si>
  <si>
    <t>MON-BOXAUTO</t>
  </si>
  <si>
    <t>78453894400017</t>
  </si>
  <si>
    <t>F01372</t>
  </si>
  <si>
    <t>MON-SAS RAVINE</t>
  </si>
  <si>
    <t>41288044500025</t>
  </si>
  <si>
    <t>F01373</t>
  </si>
  <si>
    <t>MON-MAYENA SAS</t>
  </si>
  <si>
    <t>40376158800017</t>
  </si>
  <si>
    <t>F01374</t>
  </si>
  <si>
    <t>MON-IBEVIANE BRICOMARCHE SAS</t>
  </si>
  <si>
    <t>39168161600010</t>
  </si>
  <si>
    <t>F01375</t>
  </si>
  <si>
    <t>MON-SAS ESORMA</t>
  </si>
  <si>
    <t>35159739800012</t>
  </si>
  <si>
    <t>F01376</t>
  </si>
  <si>
    <t>MON-LINAFAGE SAS</t>
  </si>
  <si>
    <t>34179650600010</t>
  </si>
  <si>
    <t>F01377</t>
  </si>
  <si>
    <t>MON-SA JICEES</t>
  </si>
  <si>
    <t>38062252200023</t>
  </si>
  <si>
    <t>F01378</t>
  </si>
  <si>
    <t>MON-SERDANES SAS</t>
  </si>
  <si>
    <t>48128126900011</t>
  </si>
  <si>
    <t>F01379</t>
  </si>
  <si>
    <t>SAS BREQUIN</t>
  </si>
  <si>
    <t>43006924500016</t>
  </si>
  <si>
    <t>F01380</t>
  </si>
  <si>
    <t>MON-SAS SOVEBRIC</t>
  </si>
  <si>
    <t>88875531100022</t>
  </si>
  <si>
    <t>F01381</t>
  </si>
  <si>
    <t>MON-SASEB SAS</t>
  </si>
  <si>
    <t>87851306800022</t>
  </si>
  <si>
    <t>F01382</t>
  </si>
  <si>
    <t>MON-SAS HOTEL RESTAURANT DE GRANVILLE</t>
  </si>
  <si>
    <t>38151573300032</t>
  </si>
  <si>
    <t>F01383</t>
  </si>
  <si>
    <t>MON-CAISSE D'EPARGNE ET DE PRÉVOYANCE DES HTS DE FRANC</t>
  </si>
  <si>
    <t>38300069204873</t>
  </si>
  <si>
    <t>F01384</t>
  </si>
  <si>
    <t>CAMPING DE L'OCEAN</t>
  </si>
  <si>
    <t>39872601800011</t>
  </si>
  <si>
    <t>F01385</t>
  </si>
  <si>
    <t>MON-CAMPING D'INLY</t>
  </si>
  <si>
    <t>43496747700010</t>
  </si>
  <si>
    <t>F01386</t>
  </si>
  <si>
    <t>MON-CAMPING ELEOVIC</t>
  </si>
  <si>
    <t>51806911700019</t>
  </si>
  <si>
    <t>F01387</t>
  </si>
  <si>
    <t>MON-CAMPING LA PERLE</t>
  </si>
  <si>
    <t>81208997700019</t>
  </si>
  <si>
    <t>F01388</t>
  </si>
  <si>
    <t>MON-CAMPING UR ONEA -BIDART</t>
  </si>
  <si>
    <t>34060580700015</t>
  </si>
  <si>
    <t>F01389</t>
  </si>
  <si>
    <t>CAPSUM</t>
  </si>
  <si>
    <t>50880608000042</t>
  </si>
  <si>
    <t>F01390</t>
  </si>
  <si>
    <t>MON-CREDIT AGRICOLE TECHNOLOGIES ET SERVICES</t>
  </si>
  <si>
    <t>52132040800060</t>
  </si>
  <si>
    <t>F01391</t>
  </si>
  <si>
    <t>MON-CAVE DE LA BARGEMONE SAS</t>
  </si>
  <si>
    <t>49285309800027</t>
  </si>
  <si>
    <t>F01392</t>
  </si>
  <si>
    <t>MON-SAS CECLAMA</t>
  </si>
  <si>
    <t>35184247100028</t>
  </si>
  <si>
    <t>F01393</t>
  </si>
  <si>
    <t>CEGID</t>
  </si>
  <si>
    <t>41021801000032</t>
  </si>
  <si>
    <t>F01394</t>
  </si>
  <si>
    <t>ETS CENTRE HOSPITALIER GENERAL</t>
  </si>
  <si>
    <t>26630786700017</t>
  </si>
  <si>
    <t>F01395</t>
  </si>
  <si>
    <t>CHÂTEAU CHEVAL BLANC</t>
  </si>
  <si>
    <t>78198575900013</t>
  </si>
  <si>
    <t>F01396</t>
  </si>
  <si>
    <t>MON-LE BUREAU - CLABODIS SUPER U</t>
  </si>
  <si>
    <t>34971132500028</t>
  </si>
  <si>
    <t>F01397</t>
  </si>
  <si>
    <t>MOBILIANS</t>
  </si>
  <si>
    <t>77568845002769</t>
  </si>
  <si>
    <t>F01399</t>
  </si>
  <si>
    <t>COMMUNE DE SAINT JUNIEN (MAIRIE)</t>
  </si>
  <si>
    <t>21871540700019</t>
  </si>
  <si>
    <t>F01400</t>
  </si>
  <si>
    <t>MON-CREPS DE POITIERS</t>
  </si>
  <si>
    <t>45271408200016</t>
  </si>
  <si>
    <t>F01401</t>
  </si>
  <si>
    <t>MON-DEP Industrie</t>
  </si>
  <si>
    <t>39242144200022</t>
  </si>
  <si>
    <t>F01402</t>
  </si>
  <si>
    <t>SAS DESAUTEL</t>
  </si>
  <si>
    <t>F01403</t>
  </si>
  <si>
    <t>DEVELOPPEMENT ACTIVITES CHIMIQUES DI SAS</t>
  </si>
  <si>
    <t>45323156500046</t>
  </si>
  <si>
    <t>F01404</t>
  </si>
  <si>
    <t>DIR INTER REG DES DOUANES RHONE-ALPE ETP</t>
  </si>
  <si>
    <t>17690230200015</t>
  </si>
  <si>
    <t>F01405</t>
  </si>
  <si>
    <t>MON-SASU DOCONE</t>
  </si>
  <si>
    <t>31881180900041</t>
  </si>
  <si>
    <t>F01701</t>
  </si>
  <si>
    <t>MON-LABORATOIRE UNITHER</t>
  </si>
  <si>
    <t>44011008800018</t>
  </si>
  <si>
    <t>F01702</t>
  </si>
  <si>
    <t>MON-SAS POLYTOUL</t>
  </si>
  <si>
    <t>44282539400012</t>
  </si>
  <si>
    <t>F01703</t>
  </si>
  <si>
    <t>MON-UNION FROMAGERE JEUNE MONTAGNE - LAGUIOLE</t>
  </si>
  <si>
    <t>77675830200041</t>
  </si>
  <si>
    <t>F01704</t>
  </si>
  <si>
    <t>MON-DUACOM</t>
  </si>
  <si>
    <t>F01705</t>
  </si>
  <si>
    <t>MON-SAS VADEMA</t>
  </si>
  <si>
    <t>48926329300016</t>
  </si>
  <si>
    <t>F01706</t>
  </si>
  <si>
    <t>GELMER</t>
  </si>
  <si>
    <t>49108756500025</t>
  </si>
  <si>
    <t>F01707</t>
  </si>
  <si>
    <t>MON-SAS SERTHISA</t>
  </si>
  <si>
    <t>49119634100011</t>
  </si>
  <si>
    <t>F01708</t>
  </si>
  <si>
    <t>Smurfit Kappa Cartonnerie de Bray en Val</t>
  </si>
  <si>
    <t>49325490800020</t>
  </si>
  <si>
    <t>F01709</t>
  </si>
  <si>
    <t>SAS SMURFIT KAPPA DISPLAY BRETIGNY</t>
  </si>
  <si>
    <t>49329122300011</t>
  </si>
  <si>
    <t>F01710</t>
  </si>
  <si>
    <t>MON-GEODA SAS</t>
  </si>
  <si>
    <t>49337389800029</t>
  </si>
  <si>
    <t>F01711</t>
  </si>
  <si>
    <t>MON-SA AEROPORTS DE LYON</t>
  </si>
  <si>
    <t>49342513600022</t>
  </si>
  <si>
    <t>F01712</t>
  </si>
  <si>
    <t>MONTEA SCA</t>
  </si>
  <si>
    <t>49767314500031</t>
  </si>
  <si>
    <t>F01713</t>
  </si>
  <si>
    <t>MON-EDEIS AEROPORT CHERBOURG</t>
  </si>
  <si>
    <t>51468383800015</t>
  </si>
  <si>
    <t>F01714</t>
  </si>
  <si>
    <t>PROLEA  IMMOBILIER</t>
  </si>
  <si>
    <t>51774130200023</t>
  </si>
  <si>
    <t>F01715</t>
  </si>
  <si>
    <t>SAS PAPREC GRAND ILE DE FRANCE</t>
  </si>
  <si>
    <t>F01716</t>
  </si>
  <si>
    <t>MON-EURL ANTELES</t>
  </si>
  <si>
    <t>53319883400020</t>
  </si>
  <si>
    <t>F01717</t>
  </si>
  <si>
    <t>3F NORMANVIE</t>
  </si>
  <si>
    <t>55214154100094</t>
  </si>
  <si>
    <t>F01718</t>
  </si>
  <si>
    <t>SA COMPAGNIE DU MONT-BLANC</t>
  </si>
  <si>
    <t>60552058400018</t>
  </si>
  <si>
    <t>F01719</t>
  </si>
  <si>
    <t>KARL STORZ ENDOSCOPIE FRANCE</t>
  </si>
  <si>
    <t>63201145800031</t>
  </si>
  <si>
    <t>F01720</t>
  </si>
  <si>
    <t>MON-HAMMEL - MARSAC SUR L'ISLE</t>
  </si>
  <si>
    <t>68198004100021</t>
  </si>
  <si>
    <t>F01721</t>
  </si>
  <si>
    <t>MON-Dassault Aviation</t>
  </si>
  <si>
    <t>71204245600111</t>
  </si>
  <si>
    <t>F01722</t>
  </si>
  <si>
    <t>DASSAULT AVIATION SA</t>
  </si>
  <si>
    <t>F01723</t>
  </si>
  <si>
    <t>SODIMAC SAS</t>
  </si>
  <si>
    <t>71204609300068</t>
  </si>
  <si>
    <t>F01724</t>
  </si>
  <si>
    <t>MON-LE LAZARET VILLAGE DE VACANCES - SETE</t>
  </si>
  <si>
    <t>77608667000010</t>
  </si>
  <si>
    <t>F01725</t>
  </si>
  <si>
    <t>MON-SA RESERVE AFRICAINE PARC ZOO ATTRAC RE</t>
  </si>
  <si>
    <t>78014127100012</t>
  </si>
  <si>
    <t>F01726</t>
  </si>
  <si>
    <t>MON-ASS LIGUE MEDITERRANEE FOOT BALL</t>
  </si>
  <si>
    <t>78281290300030</t>
  </si>
  <si>
    <t>F01727</t>
  </si>
  <si>
    <t>BACACIER NORD FLANDRES</t>
  </si>
  <si>
    <t>80815874500022</t>
  </si>
  <si>
    <t>F01728</t>
  </si>
  <si>
    <t>MON-SAS TREBAM</t>
  </si>
  <si>
    <t>82442343800020</t>
  </si>
  <si>
    <t>F01729</t>
  </si>
  <si>
    <t>MON-STE GEW FERIEN GMBH</t>
  </si>
  <si>
    <t>83128042500016</t>
  </si>
  <si>
    <t>F01730</t>
  </si>
  <si>
    <t>MON-SAS ELRO MANAGEMENT</t>
  </si>
  <si>
    <t>85030240700018</t>
  </si>
  <si>
    <t>F01731</t>
  </si>
  <si>
    <t>GREENYARD FROZEN FRANCE</t>
  </si>
  <si>
    <t>87250091300050</t>
  </si>
  <si>
    <t>F01732</t>
  </si>
  <si>
    <t>MON-SASU FIDOLIS 2019</t>
  </si>
  <si>
    <t>87764141500014</t>
  </si>
  <si>
    <t>F01733</t>
  </si>
  <si>
    <t>MON-SARTORIUS STEDIM CHROMATOGRAPHY RESINS S.A.S .</t>
  </si>
  <si>
    <t>88048978600025</t>
  </si>
  <si>
    <t>F01734</t>
  </si>
  <si>
    <t>MON-3BMCR SAS</t>
  </si>
  <si>
    <t>89769281000012</t>
  </si>
  <si>
    <t>F01735</t>
  </si>
  <si>
    <t>MON-SAS HUCADIS</t>
  </si>
  <si>
    <t>89801891600012</t>
  </si>
  <si>
    <t>F01736</t>
  </si>
  <si>
    <t>MON-UP2PLAY PORNICHET</t>
  </si>
  <si>
    <t>91112447700025</t>
  </si>
  <si>
    <t>F01737</t>
  </si>
  <si>
    <t>MON-SODIMARCO SAS</t>
  </si>
  <si>
    <t>92662021200023</t>
  </si>
  <si>
    <t>F01738</t>
  </si>
  <si>
    <t>SAS PAPREC GRAND ILE DE FRANCE- AGENCE GENEVILLIER</t>
  </si>
  <si>
    <t>F01739</t>
  </si>
  <si>
    <t>J &amp; G BROTHER'S</t>
  </si>
  <si>
    <t>89760337900016</t>
  </si>
  <si>
    <t>F01740</t>
  </si>
  <si>
    <t>MON-SAS C DIS</t>
  </si>
  <si>
    <t>41069809600030</t>
  </si>
  <si>
    <t>F01741</t>
  </si>
  <si>
    <t>MON-SAS TS DISTRIBUTION</t>
  </si>
  <si>
    <t>94735029400031</t>
  </si>
  <si>
    <t>F01742</t>
  </si>
  <si>
    <t>ADHETEC</t>
  </si>
  <si>
    <t>31876101200034</t>
  </si>
  <si>
    <t>F01743</t>
  </si>
  <si>
    <t>MON-SA MOPATHY</t>
  </si>
  <si>
    <t>34861004900028</t>
  </si>
  <si>
    <t>F01744</t>
  </si>
  <si>
    <t>MON-EMIPRA SAS</t>
  </si>
  <si>
    <t>38409899200017</t>
  </si>
  <si>
    <t>F01745</t>
  </si>
  <si>
    <t>MON-VALDARENA</t>
  </si>
  <si>
    <t>F01746</t>
  </si>
  <si>
    <t>MON-SERYSAVOIE SAS</t>
  </si>
  <si>
    <t>88895945900023</t>
  </si>
  <si>
    <t>F01747</t>
  </si>
  <si>
    <t>CROISENS</t>
  </si>
  <si>
    <t>81116305400018</t>
  </si>
  <si>
    <t>F01749</t>
  </si>
  <si>
    <t>F01750</t>
  </si>
  <si>
    <t>MON-COOP CAISSE REGION CRED AGR MUTUEL CENT O</t>
  </si>
  <si>
    <t>39100745700016</t>
  </si>
  <si>
    <t>F01751</t>
  </si>
  <si>
    <t>Soulac Plage</t>
  </si>
  <si>
    <t>F01752</t>
  </si>
  <si>
    <t>CPO-EWIVA</t>
  </si>
  <si>
    <t>F01754</t>
  </si>
  <si>
    <t>CAUM</t>
  </si>
  <si>
    <t>50219885600044</t>
  </si>
  <si>
    <t>F01755</t>
  </si>
  <si>
    <t>LA ROBE NUMERIQUE CONSEIL</t>
  </si>
  <si>
    <t>89091592900016</t>
  </si>
  <si>
    <t>F01757</t>
  </si>
  <si>
    <t>GEMA ESI EUREKA EDUCATION</t>
  </si>
  <si>
    <t>83816801100057</t>
  </si>
  <si>
    <t>600001</t>
  </si>
  <si>
    <t>SOCOTEC DIAGNOSTIC</t>
  </si>
  <si>
    <t>600005</t>
  </si>
  <si>
    <t>SYNDICAT DEPARTEMENTAL D'ENERGIES DE LA DROME</t>
  </si>
  <si>
    <t>25260102600021</t>
  </si>
  <si>
    <t>600032</t>
  </si>
  <si>
    <t>OPTILOG LOGSYTECH</t>
  </si>
  <si>
    <t>43530800200052</t>
  </si>
  <si>
    <t>600011</t>
  </si>
  <si>
    <t>DROP'N PLUG</t>
  </si>
  <si>
    <t>88206038700017</t>
  </si>
  <si>
    <t>600030</t>
  </si>
  <si>
    <t>EMBP BTP</t>
  </si>
  <si>
    <t>904 300 936 00013</t>
  </si>
  <si>
    <t>600037</t>
  </si>
  <si>
    <t>ANIMATEC</t>
  </si>
  <si>
    <t>48392758800044</t>
  </si>
  <si>
    <t>FATTENTE</t>
  </si>
  <si>
    <t>Fournisseur attente</t>
  </si>
  <si>
    <t>00000000000000</t>
  </si>
  <si>
    <t>600056</t>
  </si>
  <si>
    <t>MON-DR.OETKER FRANCE SAS</t>
  </si>
  <si>
    <t>43392950200014</t>
  </si>
  <si>
    <t>600058</t>
  </si>
  <si>
    <t>MON-BRICORAMA France</t>
  </si>
  <si>
    <t>40668031400571</t>
  </si>
  <si>
    <t>600057</t>
  </si>
  <si>
    <t>MON-CARREFOUR MARKET</t>
  </si>
  <si>
    <t>41069809600022</t>
  </si>
  <si>
    <t>600059</t>
  </si>
  <si>
    <t>MON-TAXIS COURSIERS ST GEORGEAIS</t>
  </si>
  <si>
    <t>41499663700024</t>
  </si>
  <si>
    <t>600060</t>
  </si>
  <si>
    <t>MON-NICAR</t>
  </si>
  <si>
    <t>FR82497574004</t>
  </si>
  <si>
    <t>600061</t>
  </si>
  <si>
    <t>MON-LINOBA EXPLOITATION</t>
  </si>
  <si>
    <t>42052715200029</t>
  </si>
  <si>
    <t>600064</t>
  </si>
  <si>
    <t>MON-MOULIN DE L'ECLIS</t>
  </si>
  <si>
    <t>89754111600082</t>
  </si>
  <si>
    <t>600065</t>
  </si>
  <si>
    <t>MON-PAPREC ENGINEERING</t>
  </si>
  <si>
    <t>90803479600023</t>
  </si>
  <si>
    <t>600070</t>
  </si>
  <si>
    <t>MON-VIKINGS SAS</t>
  </si>
  <si>
    <t>34312366700036</t>
  </si>
  <si>
    <t>600075</t>
  </si>
  <si>
    <t>MON-CESI SAS</t>
  </si>
  <si>
    <t>34270750200684</t>
  </si>
  <si>
    <t>600077</t>
  </si>
  <si>
    <t>MON-CHAMBRE DE COMMERCE ET D'INDUSTRIE TERRITORIALE ALSACE EUROMETROPOLE</t>
  </si>
  <si>
    <t>13002267600196</t>
  </si>
  <si>
    <t>600078</t>
  </si>
  <si>
    <t>MON-HOTEL DU LAC</t>
  </si>
  <si>
    <t>49800149400026</t>
  </si>
  <si>
    <t>600079</t>
  </si>
  <si>
    <t>32652100200161</t>
  </si>
  <si>
    <t>600080</t>
  </si>
  <si>
    <t>MON-CAF REICHSHOFFEN</t>
  </si>
  <si>
    <t>89347625900021</t>
  </si>
  <si>
    <t>600082</t>
  </si>
  <si>
    <t>NEW-E</t>
  </si>
  <si>
    <t>91828082700026</t>
  </si>
  <si>
    <t>600083</t>
  </si>
  <si>
    <t>40668031401603</t>
  </si>
  <si>
    <t>600085</t>
  </si>
  <si>
    <t>MON-LE CASTEL EMERAUDE</t>
  </si>
  <si>
    <t>82537819300015</t>
  </si>
  <si>
    <t>600152</t>
  </si>
  <si>
    <t>ACEREL</t>
  </si>
  <si>
    <t>31604025200025</t>
  </si>
  <si>
    <t>600154</t>
  </si>
  <si>
    <t>MAGNITUDE</t>
  </si>
  <si>
    <t>83821024300013</t>
  </si>
  <si>
    <t>600155</t>
  </si>
  <si>
    <t>EXTESER charge expert</t>
  </si>
  <si>
    <t>95078949500013</t>
  </si>
  <si>
    <t>600168</t>
  </si>
  <si>
    <t>BUROLIA</t>
  </si>
  <si>
    <t>80913489300043</t>
  </si>
  <si>
    <t>600171</t>
  </si>
  <si>
    <t>CYCLIFE FRANCE SA Monétique</t>
  </si>
  <si>
    <t>38030310700045</t>
  </si>
  <si>
    <t>600190</t>
  </si>
  <si>
    <t>EKOENERGETYKA SERVICE</t>
  </si>
  <si>
    <t>9731024818</t>
  </si>
  <si>
    <t>600206</t>
  </si>
  <si>
    <t>PIERRE MARCOLINI</t>
  </si>
  <si>
    <t>TVA BE 0462.920.226</t>
  </si>
  <si>
    <t>600211</t>
  </si>
  <si>
    <t>Kempower SAS</t>
  </si>
  <si>
    <t>90851159500021</t>
  </si>
  <si>
    <t>600212</t>
  </si>
  <si>
    <t>CIRCE</t>
  </si>
  <si>
    <t>49365657300026</t>
  </si>
  <si>
    <t>600213</t>
  </si>
  <si>
    <t>DIAN</t>
  </si>
  <si>
    <t>86880028500017</t>
  </si>
  <si>
    <t>600221</t>
  </si>
  <si>
    <t>CENTRE DE LOISIRS ETOILE (BOWLING FOCH)</t>
  </si>
  <si>
    <t>31348488300019</t>
  </si>
  <si>
    <t>600222</t>
  </si>
  <si>
    <t>ARAMIS AUTO</t>
  </si>
  <si>
    <t>43928926500316</t>
  </si>
  <si>
    <t>600224</t>
  </si>
  <si>
    <t>RETAIL SONAR FRANCE</t>
  </si>
  <si>
    <t>41321969200048</t>
  </si>
  <si>
    <t>600227</t>
  </si>
  <si>
    <t>Shiftlogic.io Limited</t>
  </si>
  <si>
    <t>14254298</t>
  </si>
  <si>
    <t>600228</t>
  </si>
  <si>
    <t>ATAWIZ</t>
  </si>
  <si>
    <t>82305308700032</t>
  </si>
  <si>
    <t>600230</t>
  </si>
  <si>
    <t>Quardina</t>
  </si>
  <si>
    <t>80444858700829</t>
  </si>
  <si>
    <t>600233</t>
  </si>
  <si>
    <t>La Palissade</t>
  </si>
  <si>
    <t>45013016600033</t>
  </si>
  <si>
    <t>600234</t>
  </si>
  <si>
    <t>FAB - DALKIA ELECTROTECHNICS</t>
  </si>
  <si>
    <t>44222769000082</t>
  </si>
  <si>
    <t>600235</t>
  </si>
  <si>
    <t>Praditus SAS</t>
  </si>
  <si>
    <t>80128456300039</t>
  </si>
  <si>
    <t>600236</t>
  </si>
  <si>
    <t>ORES</t>
  </si>
  <si>
    <t>BE0543696579</t>
  </si>
  <si>
    <t>600017</t>
  </si>
  <si>
    <t>THE GAME MDB</t>
  </si>
  <si>
    <t>80460673900014</t>
  </si>
  <si>
    <t>F01811</t>
  </si>
  <si>
    <t>MPS BY LOGSYTECH</t>
  </si>
  <si>
    <t>600034</t>
  </si>
  <si>
    <t>Pixartprinting</t>
  </si>
  <si>
    <t>80273913600017</t>
  </si>
  <si>
    <t>600051</t>
  </si>
  <si>
    <t>SCP REGNARD BOBET MPOUKI DENFER</t>
  </si>
  <si>
    <t>34536005100014</t>
  </si>
  <si>
    <t>600144</t>
  </si>
  <si>
    <t>EIFFAGE ENERGIE SYSTEMES - NOUVELLES MOBILITES</t>
  </si>
  <si>
    <t>83424184600023</t>
  </si>
  <si>
    <t>600149</t>
  </si>
  <si>
    <t>ENTREPRISE HOLDING</t>
  </si>
  <si>
    <t>31877199502315</t>
  </si>
  <si>
    <t>600181</t>
  </si>
  <si>
    <t>CPO-BECHARGE IT</t>
  </si>
  <si>
    <t>IT09957510960</t>
  </si>
  <si>
    <t>600185</t>
  </si>
  <si>
    <t>CPO-Total Energies Marketing España</t>
  </si>
  <si>
    <t>A28131571</t>
  </si>
  <si>
    <t>600210</t>
  </si>
  <si>
    <t>VALEO SERVICE</t>
  </si>
  <si>
    <t>30648640800249</t>
  </si>
  <si>
    <t>600214</t>
  </si>
  <si>
    <t>SDE 09</t>
  </si>
  <si>
    <t>600216</t>
  </si>
  <si>
    <t>CORNERSTONE ONDEMAND FRANCE SARL</t>
  </si>
  <si>
    <t>494 413 404 00042</t>
  </si>
  <si>
    <t>600218</t>
  </si>
  <si>
    <t>DE VINCI HIGHER EDUCATION</t>
  </si>
  <si>
    <t>440 870 319 000 25</t>
  </si>
  <si>
    <t>600220</t>
  </si>
  <si>
    <t>RESEDA</t>
  </si>
  <si>
    <t>49783341800021</t>
  </si>
  <si>
    <t>600229</t>
  </si>
  <si>
    <t>ISCD</t>
  </si>
  <si>
    <t>48498107100026</t>
  </si>
  <si>
    <t>600239</t>
  </si>
  <si>
    <t>SOBEM SCAME</t>
  </si>
  <si>
    <t>1555127800011</t>
  </si>
  <si>
    <t>600232</t>
  </si>
  <si>
    <t>WOOPX</t>
  </si>
  <si>
    <t>85125365800013</t>
  </si>
  <si>
    <t>600240</t>
  </si>
  <si>
    <t>CMS DEBACKER</t>
  </si>
  <si>
    <t>0430.408.301</t>
  </si>
  <si>
    <t>600241</t>
  </si>
  <si>
    <t>POLYELEC</t>
  </si>
  <si>
    <t>93281261300010</t>
  </si>
  <si>
    <t>600242</t>
  </si>
  <si>
    <t>3S EQUIPEMENTS ROUTIERS</t>
  </si>
  <si>
    <t>83050568100031</t>
  </si>
  <si>
    <t>600243</t>
  </si>
  <si>
    <t>CIRKAD TP</t>
  </si>
  <si>
    <t>81407719400045</t>
  </si>
  <si>
    <t>600244</t>
  </si>
  <si>
    <t>LE PAON</t>
  </si>
  <si>
    <t>88374899800019</t>
  </si>
  <si>
    <t>600245</t>
  </si>
  <si>
    <t>FY PAYSAGE</t>
  </si>
  <si>
    <t>80176423400028</t>
  </si>
  <si>
    <t>600246</t>
  </si>
  <si>
    <t>LYDE CONSEIL</t>
  </si>
  <si>
    <t>81086989100038</t>
  </si>
  <si>
    <t>600247</t>
  </si>
  <si>
    <t>CHARGECLOUD</t>
  </si>
  <si>
    <t>DE309400054</t>
  </si>
  <si>
    <t>600248</t>
  </si>
  <si>
    <t>ZEBORNE</t>
  </si>
  <si>
    <t>48935906700134</t>
  </si>
  <si>
    <t>600249</t>
  </si>
  <si>
    <t>CFA DIFCAM</t>
  </si>
  <si>
    <t>33532404200019</t>
  </si>
  <si>
    <t>600250</t>
  </si>
  <si>
    <t>MOBILIZE</t>
  </si>
  <si>
    <t>82947625800027</t>
  </si>
  <si>
    <t>600251</t>
  </si>
  <si>
    <t>ALLEGO UK</t>
  </si>
  <si>
    <t>GB271311046</t>
  </si>
  <si>
    <t>600252</t>
  </si>
  <si>
    <t>ES CONSTRUCTION</t>
  </si>
  <si>
    <t>88816316900020</t>
  </si>
  <si>
    <t>600254</t>
  </si>
  <si>
    <t>ROUSSEAU</t>
  </si>
  <si>
    <t>562 750 034 00059</t>
  </si>
  <si>
    <t>600255</t>
  </si>
  <si>
    <t>PRIMEO RESEAU DE DISTRIBUTION</t>
  </si>
  <si>
    <t>50504204400014</t>
  </si>
  <si>
    <t>600256</t>
  </si>
  <si>
    <t>CFA NUMIA</t>
  </si>
  <si>
    <t>39108721000046</t>
  </si>
  <si>
    <t>600257</t>
  </si>
  <si>
    <t>MON. DALKIA</t>
  </si>
  <si>
    <t>456 500 537 06585</t>
  </si>
  <si>
    <t>600258</t>
  </si>
  <si>
    <t>MARCOPOLETTE</t>
  </si>
  <si>
    <t>79810066500024</t>
  </si>
  <si>
    <t>600259</t>
  </si>
  <si>
    <t>BENOIT PAYSAGES</t>
  </si>
  <si>
    <t>50152929100020</t>
  </si>
  <si>
    <t>600260</t>
  </si>
  <si>
    <t>Château de Méry</t>
  </si>
  <si>
    <t>479 916 298 000 17</t>
  </si>
  <si>
    <t>600261</t>
  </si>
  <si>
    <t>GOOGLE PAYMENT IRELAND</t>
  </si>
  <si>
    <t>600262</t>
  </si>
  <si>
    <t>SETCARGO INTERNATIONAL</t>
  </si>
  <si>
    <t>43920636800433</t>
  </si>
  <si>
    <t>600263</t>
  </si>
  <si>
    <t>ZEPLUG</t>
  </si>
  <si>
    <t>80788643700043</t>
  </si>
  <si>
    <t>600265</t>
  </si>
  <si>
    <t>CHARGE FRANCE</t>
  </si>
  <si>
    <t>W751278021</t>
  </si>
  <si>
    <t>600267</t>
  </si>
  <si>
    <t>ARC EN SITE</t>
  </si>
  <si>
    <t>40860591300024</t>
  </si>
  <si>
    <t>600268</t>
  </si>
  <si>
    <t>ASSOCIATION SUP DE VINCI</t>
  </si>
  <si>
    <t>40955435900037</t>
  </si>
  <si>
    <t>600269</t>
  </si>
  <si>
    <t>BRUNET MIGNE</t>
  </si>
  <si>
    <t>38981890700609</t>
  </si>
  <si>
    <t>600270</t>
  </si>
  <si>
    <t>CPO-RECHARGER MON AUTO</t>
  </si>
  <si>
    <t>91931393200015</t>
  </si>
  <si>
    <t>600271</t>
  </si>
  <si>
    <t>ALT LOIRE ELEC</t>
  </si>
  <si>
    <t>94805568600018</t>
  </si>
  <si>
    <t>600002</t>
  </si>
  <si>
    <t>SOCOTEC CONSTRUCTION</t>
  </si>
  <si>
    <t>83415751300922</t>
  </si>
  <si>
    <t>600004</t>
  </si>
  <si>
    <t>INGELEC +</t>
  </si>
  <si>
    <t>539 812 644 000 34</t>
  </si>
  <si>
    <t>600006</t>
  </si>
  <si>
    <t>BRAIN NETWORKS</t>
  </si>
  <si>
    <t>49954844400045</t>
  </si>
  <si>
    <t>600008</t>
  </si>
  <si>
    <t>EGER MARTINIQUE</t>
  </si>
  <si>
    <t>600009</t>
  </si>
  <si>
    <t>ESAT MESSIDOR</t>
  </si>
  <si>
    <t>305 933 004 004 60</t>
  </si>
  <si>
    <t>600019</t>
  </si>
  <si>
    <t>LE WOK SAINT GERMAIN</t>
  </si>
  <si>
    <t>FR20751167453</t>
  </si>
  <si>
    <t>600021</t>
  </si>
  <si>
    <t>FUNBOOKER</t>
  </si>
  <si>
    <t>82963478100035</t>
  </si>
  <si>
    <t>600054</t>
  </si>
  <si>
    <t>ALEOU</t>
  </si>
  <si>
    <t>43192503100020</t>
  </si>
  <si>
    <t>600063</t>
  </si>
  <si>
    <t>MON-SERCEL</t>
  </si>
  <si>
    <t>37804049700034</t>
  </si>
  <si>
    <t>600066</t>
  </si>
  <si>
    <t>MON-ORTEC SERVICES ENVIRONNEMENT</t>
  </si>
  <si>
    <t>79020892000039</t>
  </si>
  <si>
    <t>600068</t>
  </si>
  <si>
    <t>MON-MASSILLY HOLDING</t>
  </si>
  <si>
    <t>31270827400039</t>
  </si>
  <si>
    <t>600069</t>
  </si>
  <si>
    <t>MON-COMMUNE DE ERSTEIN</t>
  </si>
  <si>
    <t>21670130000016</t>
  </si>
  <si>
    <t>600071</t>
  </si>
  <si>
    <t>MON-SOCIETE D'EXPLOITATION DES ETABLISSEMENTS JARDINS GOTTRI REMY</t>
  </si>
  <si>
    <t>43490936200015</t>
  </si>
  <si>
    <t>600073</t>
  </si>
  <si>
    <t>MON-COMMUNE DE MEISTRATZHEIM</t>
  </si>
  <si>
    <t>21670286000018</t>
  </si>
  <si>
    <t>600094</t>
  </si>
  <si>
    <t>MON-SA PATAY DISTRIBUTION</t>
  </si>
  <si>
    <t>39752444800016</t>
  </si>
  <si>
    <t>600097</t>
  </si>
  <si>
    <t>MON-SAS VERSTHAN</t>
  </si>
  <si>
    <t>40389451200025</t>
  </si>
  <si>
    <t>600098</t>
  </si>
  <si>
    <t>MON-SAS DEUFIMA</t>
  </si>
  <si>
    <t>79236658500018</t>
  </si>
  <si>
    <t>600100</t>
  </si>
  <si>
    <t>MON-CABLERIES LAPP SARL</t>
  </si>
  <si>
    <t>37809342100014</t>
  </si>
  <si>
    <t>600109</t>
  </si>
  <si>
    <t>MON-SCI VILLA MARLIOZ</t>
  </si>
  <si>
    <t>83508230600019</t>
  </si>
  <si>
    <t>600111</t>
  </si>
  <si>
    <t>MON-NHOOD SERVICES France</t>
  </si>
  <si>
    <t>53488641100105</t>
  </si>
  <si>
    <t>600115</t>
  </si>
  <si>
    <t>MON-HOTEL FORMULE 1 LAVAL</t>
  </si>
  <si>
    <t>30573106900046</t>
  </si>
  <si>
    <t>600121</t>
  </si>
  <si>
    <t>MON-IBIS BUDGET/SOCIETE DOLOISE HÔTELLERIE</t>
  </si>
  <si>
    <t>47909653900016</t>
  </si>
  <si>
    <t>600123</t>
  </si>
  <si>
    <t>MON-SAS RANDRE NETTO</t>
  </si>
  <si>
    <t>43858494800014</t>
  </si>
  <si>
    <t>600133</t>
  </si>
  <si>
    <t>MON-SAS DISTRAUNEAU</t>
  </si>
  <si>
    <t>84005291400024</t>
  </si>
  <si>
    <t>600143</t>
  </si>
  <si>
    <t>SATT CONECTUS ALSACE</t>
  </si>
  <si>
    <t>53921055900032</t>
  </si>
  <si>
    <t>600160</t>
  </si>
  <si>
    <t>FREELANCE.COM</t>
  </si>
  <si>
    <t>38417434800076</t>
  </si>
  <si>
    <t>600161</t>
  </si>
  <si>
    <t>D'UN SIEGE A L'AUTRE</t>
  </si>
  <si>
    <t>82209487600015</t>
  </si>
  <si>
    <t>600165</t>
  </si>
  <si>
    <t>AGENCE PARISIENNE DE FORMALITES</t>
  </si>
  <si>
    <t>40233514500056</t>
  </si>
  <si>
    <t>600166</t>
  </si>
  <si>
    <t>MON-STRASBOURG  ELECTRICITE RESEAUX</t>
  </si>
  <si>
    <t>82398295400013</t>
  </si>
  <si>
    <t>600167</t>
  </si>
  <si>
    <t>CPO-TOTALENERGIES MARKETING GERMANY</t>
  </si>
  <si>
    <t>DE354433579</t>
  </si>
  <si>
    <t>600178</t>
  </si>
  <si>
    <t>EDF VEHICULE</t>
  </si>
  <si>
    <t>600200</t>
  </si>
  <si>
    <t>ANTO (JULIETTE)</t>
  </si>
  <si>
    <t>52943489600013</t>
  </si>
  <si>
    <t>600204</t>
  </si>
  <si>
    <t>BATISCOPIE (DOMOBAT EXPERTISES)</t>
  </si>
  <si>
    <t>50799155200062</t>
  </si>
  <si>
    <t>600205</t>
  </si>
  <si>
    <t>Decathlon France SAS (Decathlon Pro)</t>
  </si>
  <si>
    <t>50056940503239</t>
  </si>
  <si>
    <t>600215</t>
  </si>
  <si>
    <t>CHUBB FRANCE</t>
  </si>
  <si>
    <t>70200052200244</t>
  </si>
  <si>
    <t>600223</t>
  </si>
  <si>
    <t>DELOITTE CONSEIL</t>
  </si>
  <si>
    <t>40194824500030</t>
  </si>
  <si>
    <t>600237</t>
  </si>
  <si>
    <t>SAS VERMEG France</t>
  </si>
  <si>
    <t>43854964400054</t>
  </si>
  <si>
    <t>600238</t>
  </si>
  <si>
    <t>DEPAGNE</t>
  </si>
  <si>
    <t>05650038200066</t>
  </si>
  <si>
    <t>600253</t>
  </si>
  <si>
    <t>KAAX CONSTRUCTION</t>
  </si>
  <si>
    <t>80944381500026</t>
  </si>
  <si>
    <t>600264</t>
  </si>
  <si>
    <t>CFAI CHAMPAGNE ARDENNE</t>
  </si>
  <si>
    <t>40120610700062</t>
  </si>
  <si>
    <t>600266</t>
  </si>
  <si>
    <t>NgK CS JOEL</t>
  </si>
  <si>
    <t>94196669900014</t>
  </si>
  <si>
    <t>600272</t>
  </si>
  <si>
    <t>CPO-SDEM50</t>
  </si>
  <si>
    <t>600273</t>
  </si>
  <si>
    <t>ACTION CONTRE LA FAIM</t>
  </si>
  <si>
    <t>31899089200073</t>
  </si>
  <si>
    <t>600274</t>
  </si>
  <si>
    <t>MON-IZIVIA IMPACT</t>
  </si>
  <si>
    <t>93459546300019</t>
  </si>
  <si>
    <t>F01777</t>
  </si>
  <si>
    <t>GENITEC - DALKIA ELECTROTECHNICS</t>
  </si>
  <si>
    <t>35226271100034</t>
  </si>
  <si>
    <t>F01779</t>
  </si>
  <si>
    <t>JOPER AUTO</t>
  </si>
  <si>
    <t>F01780</t>
  </si>
  <si>
    <t>PINET INDUSTRIE</t>
  </si>
  <si>
    <t>F01781</t>
  </si>
  <si>
    <t>COMEXPOSIUM SIEC</t>
  </si>
  <si>
    <t>F01782</t>
  </si>
  <si>
    <t>OPTIM FINANCE</t>
  </si>
  <si>
    <t>F01783</t>
  </si>
  <si>
    <t>SIFU GROUPE IDF REFRUITING</t>
  </si>
  <si>
    <t>F01784</t>
  </si>
  <si>
    <t>TRAINME</t>
  </si>
  <si>
    <t>F01785</t>
  </si>
  <si>
    <t>NEO FORMA</t>
  </si>
  <si>
    <t>F01786</t>
  </si>
  <si>
    <t>ENTREPRISES ET TALENTS</t>
  </si>
  <si>
    <t>F01787</t>
  </si>
  <si>
    <t>SAEM PARC DES EXPOSITIONS DE MULHOUSE</t>
  </si>
  <si>
    <t>F01788</t>
  </si>
  <si>
    <t>WOME STAY</t>
  </si>
  <si>
    <t>F01789</t>
  </si>
  <si>
    <t>TELD CONSULTING TEYI</t>
  </si>
  <si>
    <t>F01790</t>
  </si>
  <si>
    <t>MON-NHOOD SERVICES FRANCE</t>
  </si>
  <si>
    <t>F01791</t>
  </si>
  <si>
    <t>MON-AQUABELLA</t>
  </si>
  <si>
    <t>F01792</t>
  </si>
  <si>
    <t>MON-Brioches Fonteneau Boufféré</t>
  </si>
  <si>
    <t>F01793</t>
  </si>
  <si>
    <t>MON-COOP LES CAVES DE LA LOIRE</t>
  </si>
  <si>
    <t>F01794</t>
  </si>
  <si>
    <t>MON-LIGUE DE FOOTBALL D'OCCITANIE</t>
  </si>
  <si>
    <t>F01795</t>
  </si>
  <si>
    <t>DISTRICT DE L'ARIEGE DE FOOTBALL</t>
  </si>
  <si>
    <t>F01796</t>
  </si>
  <si>
    <t>MON-SAS CAMP ATLANTIC LACANAU</t>
  </si>
  <si>
    <t>F01797</t>
  </si>
  <si>
    <t>MON-GILLOT SAS</t>
  </si>
  <si>
    <t>F01798</t>
  </si>
  <si>
    <t>ESCOLLE BETON</t>
  </si>
  <si>
    <t>F01799</t>
  </si>
  <si>
    <t>MON-FESTINA</t>
  </si>
  <si>
    <t>F01800</t>
  </si>
  <si>
    <t>HYDROMETAL FRANCE</t>
  </si>
  <si>
    <t>F01801</t>
  </si>
  <si>
    <t>SPIE BUILDING SOLUTIONS</t>
  </si>
  <si>
    <t>F01803</t>
  </si>
  <si>
    <t>VBAF</t>
  </si>
  <si>
    <t>F01804</t>
  </si>
  <si>
    <t>CORUSCANT WELCOME TO THE JUNGLE</t>
  </si>
  <si>
    <t>FR55802162628</t>
  </si>
  <si>
    <t>F01805</t>
  </si>
  <si>
    <t>AURUM COACHING</t>
  </si>
  <si>
    <t>F01808</t>
  </si>
  <si>
    <t>SPENDESK</t>
  </si>
  <si>
    <t>F01809</t>
  </si>
  <si>
    <t>ZEK ENERGIE</t>
  </si>
  <si>
    <t>93127265200013</t>
  </si>
  <si>
    <t>F01810</t>
  </si>
  <si>
    <t>APPLE DISTRIBUTION INTERNATIONAL LTD</t>
  </si>
  <si>
    <t>F01812</t>
  </si>
  <si>
    <t>Allbranded GmbH</t>
  </si>
  <si>
    <t>F01814</t>
  </si>
  <si>
    <t>TDS ENTREPRISE</t>
  </si>
  <si>
    <t>F90381</t>
  </si>
  <si>
    <t>ENSIO</t>
  </si>
  <si>
    <t>F90382</t>
  </si>
  <si>
    <t>FONDASOL</t>
  </si>
  <si>
    <t>F90383</t>
  </si>
  <si>
    <t>VERITAS EXPLOITATION DOM TOM</t>
  </si>
  <si>
    <t>600033</t>
  </si>
  <si>
    <t>CEGELEC GUYANE</t>
  </si>
  <si>
    <t>34917371600011</t>
  </si>
  <si>
    <t>600044</t>
  </si>
  <si>
    <t>IDEUZO COM</t>
  </si>
  <si>
    <t>49996837800103</t>
  </si>
  <si>
    <t>600072</t>
  </si>
  <si>
    <t>MON-FREY</t>
  </si>
  <si>
    <t>39824859100065</t>
  </si>
  <si>
    <t>600074</t>
  </si>
  <si>
    <t>MON-LES DUNES</t>
  </si>
  <si>
    <t>39180631200016</t>
  </si>
  <si>
    <t>600091</t>
  </si>
  <si>
    <t>MON-ETABLISSEMENTS TOHA SAS</t>
  </si>
  <si>
    <t>34114964900020</t>
  </si>
  <si>
    <t>600108</t>
  </si>
  <si>
    <t>MON-SCI PLEIN SUD</t>
  </si>
  <si>
    <t>40003087000028</t>
  </si>
  <si>
    <t>600112</t>
  </si>
  <si>
    <t>MON-BRUNET Bordeaux</t>
  </si>
  <si>
    <t>38981890700559</t>
  </si>
  <si>
    <t>600113</t>
  </si>
  <si>
    <t>MON-BRUNET HOLDING</t>
  </si>
  <si>
    <t>30573060800026</t>
  </si>
  <si>
    <t>600116</t>
  </si>
  <si>
    <t>MON-HOTEL IBIS BUDGET HEROUVILLE</t>
  </si>
  <si>
    <t>40919769600027</t>
  </si>
  <si>
    <t>600117</t>
  </si>
  <si>
    <t>MON-HOTEL IBIS NEW AVRANCHES</t>
  </si>
  <si>
    <t>33466568400018</t>
  </si>
  <si>
    <t>600118</t>
  </si>
  <si>
    <t>MON-HOTEL FORMULE 1 AVRANCHES</t>
  </si>
  <si>
    <t>40049590900022</t>
  </si>
  <si>
    <t>600119</t>
  </si>
  <si>
    <t>MON-SA SOCIETE DE DISTRIBUTION DES ALLEMAND</t>
  </si>
  <si>
    <t>30912451900039</t>
  </si>
  <si>
    <t>600012</t>
  </si>
  <si>
    <t>BEDE Florian Alexis</t>
  </si>
  <si>
    <t>83800173300016</t>
  </si>
  <si>
    <t>600013</t>
  </si>
  <si>
    <t>EH</t>
  </si>
  <si>
    <t>47960822600037</t>
  </si>
  <si>
    <t>600014</t>
  </si>
  <si>
    <t>STUDIO BRIAND &amp; BERTHEREAU</t>
  </si>
  <si>
    <t>80866101100037</t>
  </si>
  <si>
    <t>600015</t>
  </si>
  <si>
    <t>HAINING</t>
  </si>
  <si>
    <t>807 578 521 000 13</t>
  </si>
  <si>
    <t>600022</t>
  </si>
  <si>
    <t>WEBLOOM</t>
  </si>
  <si>
    <t>84240384200011</t>
  </si>
  <si>
    <t>600026</t>
  </si>
  <si>
    <t>owayo GmbH</t>
  </si>
  <si>
    <t>600027</t>
  </si>
  <si>
    <t>DROP’N PLUG</t>
  </si>
  <si>
    <t>882 060 387 00017</t>
  </si>
  <si>
    <t>600028</t>
  </si>
  <si>
    <t>ISATIS STRUCTURES SARL</t>
  </si>
  <si>
    <t>525247920 00032</t>
  </si>
  <si>
    <t>600029</t>
  </si>
  <si>
    <t>AXE BTP</t>
  </si>
  <si>
    <t>600035</t>
  </si>
  <si>
    <t>EXENS</t>
  </si>
  <si>
    <t>92172137300011</t>
  </si>
  <si>
    <t>600076</t>
  </si>
  <si>
    <t>DOUDOU ET COMPAGNIE</t>
  </si>
  <si>
    <t>43286002100042</t>
  </si>
  <si>
    <t>600043</t>
  </si>
  <si>
    <t>BATENBORCH FRANCE</t>
  </si>
  <si>
    <t>42070522000077</t>
  </si>
  <si>
    <t>600067</t>
  </si>
  <si>
    <t>MON-NH HOTELES France</t>
  </si>
  <si>
    <t>05881265200012</t>
  </si>
  <si>
    <t>600081</t>
  </si>
  <si>
    <t>MON-BRUNET CHATELLERAULT</t>
  </si>
  <si>
    <t>38981890700633</t>
  </si>
  <si>
    <t>600084</t>
  </si>
  <si>
    <t>MON-BNP PARIBAS REAL ESTATE PROPERTY MANAGEMENT FRANCE SAS</t>
  </si>
  <si>
    <t>33795345900258</t>
  </si>
  <si>
    <t>600086</t>
  </si>
  <si>
    <t>SOM VAL DE LOIRE</t>
  </si>
  <si>
    <t>32544469300460</t>
  </si>
  <si>
    <t>600087</t>
  </si>
  <si>
    <t>NISSIZA</t>
  </si>
  <si>
    <t>53251139100015</t>
  </si>
  <si>
    <t>600088</t>
  </si>
  <si>
    <t>ORTEC INDUSTRIE</t>
  </si>
  <si>
    <t>06080139600031</t>
  </si>
  <si>
    <t>600089</t>
  </si>
  <si>
    <t>MON-SCI PHARE (VERLINGUE)</t>
  </si>
  <si>
    <t>44031594300074</t>
  </si>
  <si>
    <t>600093</t>
  </si>
  <si>
    <t>MON-SOCIETE PALANTINE DE DISTRIBUTION ALIMENTAIRE SAS</t>
  </si>
  <si>
    <t>32746770000016</t>
  </si>
  <si>
    <t>600114</t>
  </si>
  <si>
    <t>MON-HOTEL IBIS LAVAL</t>
  </si>
  <si>
    <t>30573106900012</t>
  </si>
  <si>
    <t>600120</t>
  </si>
  <si>
    <t>MON-HOTEL MERCURE DIEPPE</t>
  </si>
  <si>
    <t>90119737600014</t>
  </si>
  <si>
    <t>600122</t>
  </si>
  <si>
    <t>MON-SAS WALLDIS</t>
  </si>
  <si>
    <t>84341111700024</t>
  </si>
  <si>
    <t>600124</t>
  </si>
  <si>
    <t>MON-SAS MONTESPAL</t>
  </si>
  <si>
    <t>32977745200015</t>
  </si>
  <si>
    <t>600126</t>
  </si>
  <si>
    <t>MON-MAIRIE DE PLOUMAGOAR</t>
  </si>
  <si>
    <t>21220225300010</t>
  </si>
  <si>
    <t>600128</t>
  </si>
  <si>
    <t>MON-SAS PRODEC</t>
  </si>
  <si>
    <t>79425648700024</t>
  </si>
  <si>
    <t>600129</t>
  </si>
  <si>
    <t>MON-BOLUDA LE HAVRE</t>
  </si>
  <si>
    <t>36850070800020</t>
  </si>
  <si>
    <t>600138</t>
  </si>
  <si>
    <t>CALCAIRES DU PLANTAUREL</t>
  </si>
  <si>
    <t>32946128900012</t>
  </si>
  <si>
    <t>600140</t>
  </si>
  <si>
    <t>NDF DIVERS</t>
  </si>
  <si>
    <t>600141</t>
  </si>
  <si>
    <t>TEAM BREAK</t>
  </si>
  <si>
    <t>82894546900025</t>
  </si>
  <si>
    <t>600162</t>
  </si>
  <si>
    <t>RGA RIVE GAUCHE AVOCATS</t>
  </si>
  <si>
    <t>49434857600021</t>
  </si>
  <si>
    <t>600163</t>
  </si>
  <si>
    <t>EPMAILLIART CONSEIL</t>
  </si>
  <si>
    <t>49210929300034</t>
  </si>
  <si>
    <t>F01816</t>
  </si>
  <si>
    <t>MON-SNC CAMPING DE LA BOSSE</t>
  </si>
  <si>
    <t>83399600000000</t>
  </si>
  <si>
    <t>600195</t>
  </si>
  <si>
    <t>BSA DIFFUSION</t>
  </si>
  <si>
    <t>41459950600022</t>
  </si>
  <si>
    <t>F01815</t>
  </si>
  <si>
    <t>MON-TOYOTA MATERIAL HANDLING MANUFACTURING FRANCE</t>
  </si>
  <si>
    <t>40018600000000</t>
  </si>
  <si>
    <t>F01817</t>
  </si>
  <si>
    <t>MON-SCI MEUNIER COUERON</t>
  </si>
  <si>
    <t>40107200000000</t>
  </si>
  <si>
    <t>F01818</t>
  </si>
  <si>
    <t>MON-SASU CAMPING CARAVANING INTERNATIONAL DE MAISONS-LAFFITE</t>
  </si>
  <si>
    <t>39525300000000</t>
  </si>
  <si>
    <t>F01819</t>
  </si>
  <si>
    <t>MON-SAS MARIDAME</t>
  </si>
  <si>
    <t>33038500000000</t>
  </si>
  <si>
    <t>F01820</t>
  </si>
  <si>
    <t>MON-SARL SOMADIS</t>
  </si>
  <si>
    <t>34532600000000</t>
  </si>
  <si>
    <t>F01821</t>
  </si>
  <si>
    <t>MON-SANOFI ARAMON</t>
  </si>
  <si>
    <t>32895900000000</t>
  </si>
  <si>
    <t>F01822</t>
  </si>
  <si>
    <t>MON-SAFRAN MARTIN BAKER</t>
  </si>
  <si>
    <t>59202700000000</t>
  </si>
  <si>
    <t>F01823</t>
  </si>
  <si>
    <t>MON-PROMOLARC</t>
  </si>
  <si>
    <t>49295600000000</t>
  </si>
  <si>
    <t>F01824</t>
  </si>
  <si>
    <t>MON-PARIS 2024</t>
  </si>
  <si>
    <t>83498300000000</t>
  </si>
  <si>
    <t>F01825</t>
  </si>
  <si>
    <t>MON-MVCI HOLIDAYS FRANCE</t>
  </si>
  <si>
    <t>44036600000000</t>
  </si>
  <si>
    <t>600052</t>
  </si>
  <si>
    <t>SIEDA</t>
  </si>
  <si>
    <t>20005209000012</t>
  </si>
  <si>
    <t>600134</t>
  </si>
  <si>
    <t>SCOLLADON CONSULTING</t>
  </si>
  <si>
    <t>93062688200011</t>
  </si>
  <si>
    <t>600139</t>
  </si>
  <si>
    <t>FACEO SUD EST</t>
  </si>
  <si>
    <t>600153</t>
  </si>
  <si>
    <t>LASERWORLD EXPANSION</t>
  </si>
  <si>
    <t>84039661800018</t>
  </si>
  <si>
    <t>600157</t>
  </si>
  <si>
    <t>SOTELEM INDUSTRIE</t>
  </si>
  <si>
    <t>45298896700025</t>
  </si>
  <si>
    <t>600164</t>
  </si>
  <si>
    <t>API RESTAURATION</t>
  </si>
  <si>
    <t>47718101000729</t>
  </si>
  <si>
    <t>600170</t>
  </si>
  <si>
    <t>EDF PEI - Monétique</t>
  </si>
  <si>
    <t>48996768700109</t>
  </si>
  <si>
    <t>600176</t>
  </si>
  <si>
    <t>GOBILAB</t>
  </si>
  <si>
    <t>52290319400010</t>
  </si>
  <si>
    <t>600177</t>
  </si>
  <si>
    <t>ARHMONIA</t>
  </si>
  <si>
    <t>53953932000025</t>
  </si>
  <si>
    <t>600179</t>
  </si>
  <si>
    <t>CPO-POWER DOT POLAND</t>
  </si>
  <si>
    <t>PL5252871493</t>
  </si>
  <si>
    <t>600183</t>
  </si>
  <si>
    <t>CPO-Allego Sweden</t>
  </si>
  <si>
    <t>55916470690</t>
  </si>
  <si>
    <t>600184</t>
  </si>
  <si>
    <t>CPO-TEVGO ILEWATT</t>
  </si>
  <si>
    <t>600186</t>
  </si>
  <si>
    <t>CPO-Allego Italy</t>
  </si>
  <si>
    <t>IT12567020016</t>
  </si>
  <si>
    <t>600187</t>
  </si>
  <si>
    <t>CPO-Powerdot Belgium</t>
  </si>
  <si>
    <t>BE0801128245</t>
  </si>
  <si>
    <t>600188</t>
  </si>
  <si>
    <t>91828082700018</t>
  </si>
  <si>
    <t>600193</t>
  </si>
  <si>
    <t>RESEAU GESAT CONSEIL</t>
  </si>
  <si>
    <t>90226146000023</t>
  </si>
  <si>
    <t>600197</t>
  </si>
  <si>
    <t>SAF ECHAFRANCE</t>
  </si>
  <si>
    <t>43381680800011</t>
  </si>
  <si>
    <t>600208</t>
  </si>
  <si>
    <t>MYPHOTOAGENCY</t>
  </si>
  <si>
    <t>75340601600067</t>
  </si>
  <si>
    <t>600217</t>
  </si>
  <si>
    <t>DATAIPA.PRO</t>
  </si>
  <si>
    <t>938166089</t>
  </si>
  <si>
    <t>600219</t>
  </si>
  <si>
    <t>FIKA FRUITS</t>
  </si>
  <si>
    <t>94798645100013</t>
  </si>
  <si>
    <t>F01826</t>
  </si>
  <si>
    <t>MON-LOHR INDUSTRIE</t>
  </si>
  <si>
    <t>42113100000000</t>
  </si>
  <si>
    <t>F01827</t>
  </si>
  <si>
    <t>MON-KYRIAD</t>
  </si>
  <si>
    <t>48200100000000</t>
  </si>
  <si>
    <t>F01828</t>
  </si>
  <si>
    <t>MON-INTERMARCHE SARREGUEMINES</t>
  </si>
  <si>
    <t>34238900000000</t>
  </si>
  <si>
    <t>F01829</t>
  </si>
  <si>
    <t>MON-INTERMARCHE METZ TEPAGO</t>
  </si>
  <si>
    <t>41760400000000</t>
  </si>
  <si>
    <t>F01830</t>
  </si>
  <si>
    <t>MON-INTERMARCHE - SAS LEAPOL</t>
  </si>
  <si>
    <t>44000300000000</t>
  </si>
  <si>
    <t>F01831</t>
  </si>
  <si>
    <t>MON-INTERMARCHE - ISSOIRE</t>
  </si>
  <si>
    <t>43043200000000</t>
  </si>
  <si>
    <t>F01832</t>
  </si>
  <si>
    <t>MON-INSTIT EUROP NORMES TELECOMMUNICATION</t>
  </si>
  <si>
    <t>34862400000000</t>
  </si>
  <si>
    <t>F01833</t>
  </si>
  <si>
    <t>MON-IBIS BUDGET LISIEUX</t>
  </si>
  <si>
    <t>43171600000000</t>
  </si>
  <si>
    <t>F01834</t>
  </si>
  <si>
    <t>MON-HOTEL CASINO SAINT VALERY EN CAUX</t>
  </si>
  <si>
    <t>44517800000000</t>
  </si>
  <si>
    <t>F01835</t>
  </si>
  <si>
    <t>MON-DOMAINE DE L'AGREOU</t>
  </si>
  <si>
    <t>42486000000000</t>
  </si>
  <si>
    <t>F01836</t>
  </si>
  <si>
    <t>D&amp;O MANAGEMENT SAS</t>
  </si>
  <si>
    <t>49284300000000</t>
  </si>
  <si>
    <t>F01837</t>
  </si>
  <si>
    <t>MON-CWF</t>
  </si>
  <si>
    <t>42199500000000</t>
  </si>
  <si>
    <t>F01838</t>
  </si>
  <si>
    <t>MON-CSP LOGISTICS</t>
  </si>
  <si>
    <t>44057700000000</t>
  </si>
  <si>
    <t>F01839</t>
  </si>
  <si>
    <t>MON-CREDIT AGRICOLE EPINAL (ES)</t>
  </si>
  <si>
    <t>43764300000000</t>
  </si>
  <si>
    <t>F01840</t>
  </si>
  <si>
    <t>MON-CHESNEAU_COGEVIE</t>
  </si>
  <si>
    <t>39972000000000</t>
  </si>
  <si>
    <t>F01841</t>
  </si>
  <si>
    <t>MON-CASINO BARBAZAN</t>
  </si>
  <si>
    <t>43308100000000</t>
  </si>
  <si>
    <t>F01842</t>
  </si>
  <si>
    <t>MON-CASAL SPORT</t>
  </si>
  <si>
    <t>31026900000000</t>
  </si>
  <si>
    <t>F01843</t>
  </si>
  <si>
    <t>MON-CAMPAGNE SAINT ESTEVE</t>
  </si>
  <si>
    <t>52017200000000</t>
  </si>
  <si>
    <t>F01844</t>
  </si>
  <si>
    <t>MON-BRUNET LIMOGES</t>
  </si>
  <si>
    <t>38981900000000</t>
  </si>
  <si>
    <t>F01845</t>
  </si>
  <si>
    <t>MON-BRUNET ALPHA CLIMA LILLE</t>
  </si>
  <si>
    <t>F01846</t>
  </si>
  <si>
    <t>MON-BOLUDA DUNKERQUE</t>
  </si>
  <si>
    <t>7705000000000</t>
  </si>
  <si>
    <t>F01847</t>
  </si>
  <si>
    <t>MON-BERICAP LONGVIC</t>
  </si>
  <si>
    <t>30552500000000</t>
  </si>
  <si>
    <t>F01848</t>
  </si>
  <si>
    <t>MON-ATLANTIS - SAS SHD IMMO - NANTES</t>
  </si>
  <si>
    <t>86980100000000</t>
  </si>
  <si>
    <t>600225</t>
  </si>
  <si>
    <t>ZUORA INC</t>
  </si>
  <si>
    <t>NA</t>
  </si>
  <si>
    <t>600226</t>
  </si>
  <si>
    <t>TEXEI</t>
  </si>
  <si>
    <t>82278606700022</t>
  </si>
  <si>
    <t>F90012</t>
  </si>
  <si>
    <t>LA RECO</t>
  </si>
  <si>
    <t>F90013</t>
  </si>
  <si>
    <t>MMA</t>
  </si>
  <si>
    <t>79266674500015</t>
  </si>
  <si>
    <t>F90016</t>
  </si>
  <si>
    <t>QUICKLY</t>
  </si>
  <si>
    <t>F90019</t>
  </si>
  <si>
    <t>SIGNAUX GIROD AQUITAINE</t>
  </si>
  <si>
    <t>64695051900108</t>
  </si>
  <si>
    <t>F90028</t>
  </si>
  <si>
    <t>COMECA EQUIPEMENTS BASSE TENSION</t>
  </si>
  <si>
    <t>38919141200029</t>
  </si>
  <si>
    <t>F90029</t>
  </si>
  <si>
    <t>AUTO CONTROLE CRETEIL (DEKRA)</t>
  </si>
  <si>
    <t>83102596000020</t>
  </si>
  <si>
    <t>F90040</t>
  </si>
  <si>
    <t>SOFREN</t>
  </si>
  <si>
    <t>49059638400027</t>
  </si>
  <si>
    <t>F90042</t>
  </si>
  <si>
    <t>DUNE CONSTRUCTIONS</t>
  </si>
  <si>
    <t>38508239100025</t>
  </si>
  <si>
    <t>F90043</t>
  </si>
  <si>
    <t>VIRAGE GROUP</t>
  </si>
  <si>
    <t>43752832600097</t>
  </si>
  <si>
    <t>F90044</t>
  </si>
  <si>
    <t>ETIC TELECOM</t>
  </si>
  <si>
    <t>38092747500018</t>
  </si>
  <si>
    <t>F90046</t>
  </si>
  <si>
    <t>NETSEENERGY</t>
  </si>
  <si>
    <t>44209106200046</t>
  </si>
  <si>
    <t>F90047</t>
  </si>
  <si>
    <t>VALIANCE FAYAT</t>
  </si>
  <si>
    <t>F90048</t>
  </si>
  <si>
    <t>ARCHIGRAPH</t>
  </si>
  <si>
    <t>F90051</t>
  </si>
  <si>
    <t>Unimi Solutions AB</t>
  </si>
  <si>
    <t>F90055</t>
  </si>
  <si>
    <t>CTPG PERRIER TP</t>
  </si>
  <si>
    <t>F90058</t>
  </si>
  <si>
    <t>TRANSPORTS RABOUIN</t>
  </si>
  <si>
    <t>F90059</t>
  </si>
  <si>
    <t>TRIBUNAL DE COMMERCE</t>
  </si>
  <si>
    <t>F90060</t>
  </si>
  <si>
    <t>IZIVIA</t>
  </si>
  <si>
    <t>F90062</t>
  </si>
  <si>
    <t>NSA BYMYCAR LYON</t>
  </si>
  <si>
    <t>F90065</t>
  </si>
  <si>
    <t>SDP ENGINEERING</t>
  </si>
  <si>
    <t>F90073</t>
  </si>
  <si>
    <t>SOTRANASA</t>
  </si>
  <si>
    <t>F90074</t>
  </si>
  <si>
    <t>ARMINES</t>
  </si>
  <si>
    <t>F90076</t>
  </si>
  <si>
    <t>PEUGEOT TRUJAS</t>
  </si>
  <si>
    <t>F90080</t>
  </si>
  <si>
    <t>LES VERGER DE GALLY - IG</t>
  </si>
  <si>
    <t>F90081</t>
  </si>
  <si>
    <t>ELECTRIC AUTO ARPAJONNAIS RENAULT</t>
  </si>
  <si>
    <t>F90082</t>
  </si>
  <si>
    <t>EUROEXCEL EXPERTISE</t>
  </si>
  <si>
    <t>F90085</t>
  </si>
  <si>
    <t>EKOENERGETYKA</t>
  </si>
  <si>
    <t>F90100</t>
  </si>
  <si>
    <t>EIFFAGE INFRA RHONE ALPES</t>
  </si>
  <si>
    <t>F90102</t>
  </si>
  <si>
    <t>EIFFAGE BOURGOGNE CHAMPAGNE</t>
  </si>
  <si>
    <t>F90103</t>
  </si>
  <si>
    <t>EIFFAGE ENERGIE SYSTEMES</t>
  </si>
  <si>
    <t>600040</t>
  </si>
  <si>
    <t>SAEM SOREA</t>
  </si>
  <si>
    <t>49293194400044</t>
  </si>
  <si>
    <t>600024</t>
  </si>
  <si>
    <t>OTIMO</t>
  </si>
  <si>
    <t xml:space="preserve"> 91865116700077</t>
  </si>
  <si>
    <t>600025</t>
  </si>
  <si>
    <t>WELLINGTON SAS</t>
  </si>
  <si>
    <t>88995878100011</t>
  </si>
  <si>
    <t>600042</t>
  </si>
  <si>
    <t>SOLIKA CONSULTING</t>
  </si>
  <si>
    <t>92069785100011</t>
  </si>
  <si>
    <t>600049</t>
  </si>
  <si>
    <t>LA CAVE DES CLUBS</t>
  </si>
  <si>
    <t>84398279400029</t>
  </si>
  <si>
    <t>600050</t>
  </si>
  <si>
    <t>DALLOYAU</t>
  </si>
  <si>
    <t>56210638500015</t>
  </si>
  <si>
    <t>600090</t>
  </si>
  <si>
    <t>MON-GARAGE RENAULT FIDALGO</t>
  </si>
  <si>
    <t>77563764800038</t>
  </si>
  <si>
    <t>600092</t>
  </si>
  <si>
    <t>MON-SHARP MANUFACTURING France</t>
  </si>
  <si>
    <t>35054489600029</t>
  </si>
  <si>
    <t>600095</t>
  </si>
  <si>
    <t>MON-SA ANTARES</t>
  </si>
  <si>
    <t>41901329700041</t>
  </si>
  <si>
    <t>600096</t>
  </si>
  <si>
    <t>MON-SAS AVENIR</t>
  </si>
  <si>
    <t>41277336800029</t>
  </si>
  <si>
    <t>600099</t>
  </si>
  <si>
    <t>MON-SARL JULOLILU</t>
  </si>
  <si>
    <t>38349175000014</t>
  </si>
  <si>
    <t>600101</t>
  </si>
  <si>
    <t>MON-SAS CARLANNE</t>
  </si>
  <si>
    <t>34984435700013</t>
  </si>
  <si>
    <t>600102</t>
  </si>
  <si>
    <t>MON-SAS PARAYQUAI</t>
  </si>
  <si>
    <t>90078114700013</t>
  </si>
  <si>
    <t>600103</t>
  </si>
  <si>
    <t>MON-SAS BERIC</t>
  </si>
  <si>
    <t>35025121100024</t>
  </si>
  <si>
    <t>600104</t>
  </si>
  <si>
    <t>MON-ATB ENERGIE</t>
  </si>
  <si>
    <t>95154780100013</t>
  </si>
  <si>
    <t>600105</t>
  </si>
  <si>
    <t>MON-BRUNET Cognac</t>
  </si>
  <si>
    <t>38981890700591</t>
  </si>
  <si>
    <t>600106</t>
  </si>
  <si>
    <t>MON-CENTRIMEX</t>
  </si>
  <si>
    <t>6580363700092</t>
  </si>
  <si>
    <t>600039</t>
  </si>
  <si>
    <t>PEPITES</t>
  </si>
  <si>
    <t>80157751100117</t>
  </si>
  <si>
    <t>600023</t>
  </si>
  <si>
    <t>WINTERHALTER ANAIS</t>
  </si>
  <si>
    <t>78961209000025</t>
  </si>
  <si>
    <t>600038</t>
  </si>
  <si>
    <t>DARLAVOIX SAS</t>
  </si>
  <si>
    <t>31187827600071</t>
  </si>
  <si>
    <t>600045</t>
  </si>
  <si>
    <t>UPTOO</t>
  </si>
  <si>
    <t>48082713800060</t>
  </si>
  <si>
    <t>600046</t>
  </si>
  <si>
    <t>IONIS STM</t>
  </si>
  <si>
    <t>51403283800013</t>
  </si>
  <si>
    <t>600047</t>
  </si>
  <si>
    <t>DEVISUBOX</t>
  </si>
  <si>
    <t>49277469000043</t>
  </si>
  <si>
    <t>600048</t>
  </si>
  <si>
    <t>600062</t>
  </si>
  <si>
    <t>MON-SOCIETE RENANAISE DE DISTRIBUTION</t>
  </si>
  <si>
    <t>31841370500019</t>
  </si>
  <si>
    <t>600107</t>
  </si>
  <si>
    <t>MON-SCI SCI SERRE DU VILLARD</t>
  </si>
  <si>
    <t>83498284500010</t>
  </si>
  <si>
    <t>600110</t>
  </si>
  <si>
    <t>MON-GROUPE PARTOUCHE -CASINO LA ROCHE POSAY</t>
  </si>
  <si>
    <t>33115299100021</t>
  </si>
  <si>
    <t>600125</t>
  </si>
  <si>
    <t>MON-SAS MADIS MAMERS DISTRIBUTION</t>
  </si>
  <si>
    <t>81933952400012</t>
  </si>
  <si>
    <t>600127</t>
  </si>
  <si>
    <t>MON-LIGUE DE BRETAGNE DE FOOTBALL</t>
  </si>
  <si>
    <t>77774667800062</t>
  </si>
  <si>
    <t>600130</t>
  </si>
  <si>
    <t>MON-SAS EVRODIS</t>
  </si>
  <si>
    <t>37818381800012</t>
  </si>
  <si>
    <t>600131</t>
  </si>
  <si>
    <t>MON-SAS ST VICTOR DISTRIBUTION</t>
  </si>
  <si>
    <t>90283327600014</t>
  </si>
  <si>
    <t>600132</t>
  </si>
  <si>
    <t>MON-SAS ST GEORGES</t>
  </si>
  <si>
    <t>40532506900020</t>
  </si>
  <si>
    <t>600135</t>
  </si>
  <si>
    <t>KPC ERP</t>
  </si>
  <si>
    <t>90881669700019</t>
  </si>
  <si>
    <t>600136</t>
  </si>
  <si>
    <t>WINTERHALTER SUZANNE</t>
  </si>
  <si>
    <t>78961209000033</t>
  </si>
  <si>
    <t>600137</t>
  </si>
  <si>
    <t>SCCV BMA PERIGNY</t>
  </si>
  <si>
    <t>97752201000015</t>
  </si>
  <si>
    <t>600147</t>
  </si>
  <si>
    <t>CPO-FASTNED</t>
  </si>
  <si>
    <t>FASTNED</t>
  </si>
  <si>
    <t>600145</t>
  </si>
  <si>
    <t>LA FOURMI</t>
  </si>
  <si>
    <t>49944975900053</t>
  </si>
  <si>
    <t>600146</t>
  </si>
  <si>
    <t>EXUPERY LE CADET</t>
  </si>
  <si>
    <t>82215002500010</t>
  </si>
  <si>
    <t>600148</t>
  </si>
  <si>
    <t>CPO-MONTA</t>
  </si>
  <si>
    <t>MONTA DANEMARK</t>
  </si>
  <si>
    <t>600150</t>
  </si>
  <si>
    <t>SCC FRANCE</t>
  </si>
  <si>
    <t>42498265000014</t>
  </si>
  <si>
    <t>600151</t>
  </si>
  <si>
    <t>EUROP'ISOLATION</t>
  </si>
  <si>
    <t>39066296300052</t>
  </si>
  <si>
    <t>600156</t>
  </si>
  <si>
    <t>JUICE TECHNOLOGY AG</t>
  </si>
  <si>
    <t>CHE236291474</t>
  </si>
  <si>
    <t>600158</t>
  </si>
  <si>
    <t>ALPITRONIC SRL</t>
  </si>
  <si>
    <t>81560015D2271F549330</t>
  </si>
  <si>
    <t>600159</t>
  </si>
  <si>
    <t>LUCILE BRUGIERE DESIGN PRODUIT</t>
  </si>
  <si>
    <t>75205641600023</t>
  </si>
  <si>
    <t>600169</t>
  </si>
  <si>
    <t>SEM MAISON DU TERRITOIRE</t>
  </si>
  <si>
    <t>90045816700021</t>
  </si>
  <si>
    <t>600172</t>
  </si>
  <si>
    <t>CPO-NWIE MET</t>
  </si>
  <si>
    <t>89827025102906</t>
  </si>
  <si>
    <t>600173</t>
  </si>
  <si>
    <t>OPENMEDIAS</t>
  </si>
  <si>
    <t>84910024300047</t>
  </si>
  <si>
    <t>600174</t>
  </si>
  <si>
    <t>CRIOR</t>
  </si>
  <si>
    <t>30863577000016</t>
  </si>
  <si>
    <t>600175</t>
  </si>
  <si>
    <t>CPO-Be Charge S.r.l. FR</t>
  </si>
  <si>
    <t>91243200200026</t>
  </si>
  <si>
    <t>600180</t>
  </si>
  <si>
    <t>CPO-SHELL EV CHARGING BERLIN</t>
  </si>
  <si>
    <t>50324000</t>
  </si>
  <si>
    <t>600182</t>
  </si>
  <si>
    <t>CPO-ubitricity Gesellschaft</t>
  </si>
  <si>
    <t>DE259797641</t>
  </si>
  <si>
    <t>600191</t>
  </si>
  <si>
    <t>LE CERCLE</t>
  </si>
  <si>
    <t>82276261300047</t>
  </si>
  <si>
    <t>600192</t>
  </si>
  <si>
    <t>URBANOMY</t>
  </si>
  <si>
    <t>84425635400029</t>
  </si>
  <si>
    <t>600194</t>
  </si>
  <si>
    <t>FAB TALENTS</t>
  </si>
  <si>
    <t>75399669300036</t>
  </si>
  <si>
    <t>600196</t>
  </si>
  <si>
    <t>ORSO PIZZA</t>
  </si>
  <si>
    <t>83096532300025</t>
  </si>
  <si>
    <t>600198</t>
  </si>
  <si>
    <t>LES ARTISANS PAYSAGISTES</t>
  </si>
  <si>
    <t>78947920100012</t>
  </si>
  <si>
    <t>600199</t>
  </si>
  <si>
    <t>MACHETE</t>
  </si>
  <si>
    <t>98082520200016</t>
  </si>
  <si>
    <t>600201</t>
  </si>
  <si>
    <t>QUIZZ ROOM</t>
  </si>
  <si>
    <t>84156304200073</t>
  </si>
  <si>
    <t>600202</t>
  </si>
  <si>
    <t>PERIFEM</t>
  </si>
  <si>
    <t>32170275500059</t>
  </si>
  <si>
    <t>600203</t>
  </si>
  <si>
    <t>SERFA</t>
  </si>
  <si>
    <t>32592127800041</t>
  </si>
  <si>
    <t>600207</t>
  </si>
  <si>
    <t>AP MEDIA</t>
  </si>
  <si>
    <t>44358673000030</t>
  </si>
  <si>
    <t>600209</t>
  </si>
  <si>
    <t>ALLCONX</t>
  </si>
  <si>
    <t>88124658100022</t>
  </si>
  <si>
    <t>600278</t>
  </si>
  <si>
    <t>GAÏAWATT</t>
  </si>
  <si>
    <t>987 845 773</t>
  </si>
  <si>
    <t>600279</t>
  </si>
  <si>
    <t>CHRISTOPHE BLANCHET-BARDON</t>
  </si>
  <si>
    <t>88014766500017</t>
  </si>
  <si>
    <t>600288</t>
  </si>
  <si>
    <t>C'FRUIT SAS</t>
  </si>
  <si>
    <t>84312739000014</t>
  </si>
  <si>
    <t>600291</t>
  </si>
  <si>
    <t>CPO-Fastned B.V. AMSTERDAM</t>
  </si>
  <si>
    <t>8513.69.455.B.01</t>
  </si>
  <si>
    <t>600306</t>
  </si>
  <si>
    <t>TERRARGILA</t>
  </si>
  <si>
    <t>84924948700018</t>
  </si>
  <si>
    <t>600314</t>
  </si>
  <si>
    <t>CPO-ELECTRA BELGIQUE BELUX</t>
  </si>
  <si>
    <t>BE0792184845</t>
  </si>
  <si>
    <t>600317</t>
  </si>
  <si>
    <t>TRIADE ELECTRONIQUE</t>
  </si>
  <si>
    <t>391 955 747 00160</t>
  </si>
  <si>
    <t>600292</t>
  </si>
  <si>
    <t>CPO-Fastned France</t>
  </si>
  <si>
    <t>FR08853300010</t>
  </si>
  <si>
    <t>600294</t>
  </si>
  <si>
    <t>DEMECO ENTREPRISES</t>
  </si>
  <si>
    <t>410 307 615 00014</t>
  </si>
  <si>
    <t>600296</t>
  </si>
  <si>
    <t>ECR ENVIRONNEMENT EST</t>
  </si>
  <si>
    <t>98239983400034</t>
  </si>
  <si>
    <t>600308</t>
  </si>
  <si>
    <t>CORETEL EQUIPEMENTS</t>
  </si>
  <si>
    <t>32875146600090</t>
  </si>
  <si>
    <t>600313</t>
  </si>
  <si>
    <t>FLASH TAXICOLIS</t>
  </si>
  <si>
    <t>33190139700603</t>
  </si>
  <si>
    <t>600277</t>
  </si>
  <si>
    <t>SECRET D'ETAT</t>
  </si>
  <si>
    <t>93911477300012</t>
  </si>
  <si>
    <t>600282</t>
  </si>
  <si>
    <t>STACK LABS</t>
  </si>
  <si>
    <t>83318474000037</t>
  </si>
  <si>
    <t>600289</t>
  </si>
  <si>
    <t>CPO-Fastned Deutschland</t>
  </si>
  <si>
    <t>DE319576559</t>
  </si>
  <si>
    <t>600290</t>
  </si>
  <si>
    <t>CPO-Fastned UK Limited</t>
  </si>
  <si>
    <t>GB290991563</t>
  </si>
  <si>
    <t>600301</t>
  </si>
  <si>
    <t>ACFLAM La Famille</t>
  </si>
  <si>
    <t>52207530800026</t>
  </si>
  <si>
    <t>600305</t>
  </si>
  <si>
    <t>KANDIDA</t>
  </si>
  <si>
    <t>98067792600019</t>
  </si>
  <si>
    <t>600311</t>
  </si>
  <si>
    <t>CEGELEC LOIRE AUVERGNE</t>
  </si>
  <si>
    <t>53791530800135</t>
  </si>
  <si>
    <t>600318</t>
  </si>
  <si>
    <t>ACCIUS</t>
  </si>
  <si>
    <t>38205469000088</t>
  </si>
  <si>
    <t>600281</t>
  </si>
  <si>
    <t>ORPHEE DIFFUSION CONSEIL</t>
  </si>
  <si>
    <t>32679399900045</t>
  </si>
  <si>
    <t>600283</t>
  </si>
  <si>
    <t>ENERSTOCK</t>
  </si>
  <si>
    <t>87898587800015</t>
  </si>
  <si>
    <t>600287</t>
  </si>
  <si>
    <t>INVIVO SAS</t>
  </si>
  <si>
    <t>83086769300038</t>
  </si>
  <si>
    <t>600297</t>
  </si>
  <si>
    <t>CPO-LOAD STATIONS</t>
  </si>
  <si>
    <t>92026660800040</t>
  </si>
  <si>
    <t>600303</t>
  </si>
  <si>
    <t>ENEDIS-D / IG</t>
  </si>
  <si>
    <t>978 335 396 00021</t>
  </si>
  <si>
    <t>600304</t>
  </si>
  <si>
    <t>ALPHA ENERGIES SUD</t>
  </si>
  <si>
    <t>93942025300014</t>
  </si>
  <si>
    <t>600309</t>
  </si>
  <si>
    <t>51919190200021</t>
  </si>
  <si>
    <t>F01849</t>
  </si>
  <si>
    <t>YAMAHA MOTOR MANUFACTORING EUROPE</t>
  </si>
  <si>
    <t>32903542200057</t>
  </si>
  <si>
    <t>F01850</t>
  </si>
  <si>
    <t>VILLE DE GUNDERSHOFFEN</t>
  </si>
  <si>
    <t>21670176300015</t>
  </si>
  <si>
    <t>F01851</t>
  </si>
  <si>
    <t>UNITHER LIQUID MANUFACTURING</t>
  </si>
  <si>
    <t>49218796800010</t>
  </si>
  <si>
    <t>F01852</t>
  </si>
  <si>
    <t>SYNCHROTRON SOLEIL</t>
  </si>
  <si>
    <t>43968490300016</t>
  </si>
  <si>
    <t>F01853</t>
  </si>
  <si>
    <t>SUPER U LA GUERCHE DE BRETAGNE</t>
  </si>
  <si>
    <t>38979545100019</t>
  </si>
  <si>
    <t>F01854</t>
  </si>
  <si>
    <t>SUPER U ESPALION (SAS CAPHORN)</t>
  </si>
  <si>
    <t>39202688600011</t>
  </si>
  <si>
    <t>F01855</t>
  </si>
  <si>
    <t>SUPER U - ERQUY</t>
  </si>
  <si>
    <t>34527198500029</t>
  </si>
  <si>
    <t>F01856</t>
  </si>
  <si>
    <t>SNC HOTELIERE BEAUMONT NICE</t>
  </si>
  <si>
    <t>88407091300014</t>
  </si>
  <si>
    <t>F01857</t>
  </si>
  <si>
    <t>SMURFIT KAPPA ROUBAIX</t>
  </si>
  <si>
    <t>49325490800103</t>
  </si>
  <si>
    <t>F01858</t>
  </si>
  <si>
    <t>SCI CONSTELLATION</t>
  </si>
  <si>
    <t>42112302700029</t>
  </si>
  <si>
    <t>F01859</t>
  </si>
  <si>
    <t>ROTEL (EI DURIEZ VIANNEY)</t>
  </si>
  <si>
    <t>92761806600017</t>
  </si>
  <si>
    <t>F01860</t>
  </si>
  <si>
    <t>RENAULT TRUCKS GRAND PARIS</t>
  </si>
  <si>
    <t>44897025100089</t>
  </si>
  <si>
    <t>F01861</t>
  </si>
  <si>
    <t xml:space="preserve">RAGNI - NICE - LA GAUDE			</t>
  </si>
  <si>
    <t>30327547300013</t>
  </si>
  <si>
    <t>F01862</t>
  </si>
  <si>
    <t>PROFINE FRANCE</t>
  </si>
  <si>
    <t>34896444600036</t>
  </si>
  <si>
    <t>F01863</t>
  </si>
  <si>
    <t>UNION SDC CC VILLENEUVE 2</t>
  </si>
  <si>
    <t>79531556300010</t>
  </si>
  <si>
    <t>F01864</t>
  </si>
  <si>
    <t>NETTO VALDARENA</t>
  </si>
  <si>
    <t>43288702400011</t>
  </si>
  <si>
    <t>F01865</t>
  </si>
  <si>
    <t>MILLAU DIFF - CASTRES</t>
  </si>
  <si>
    <t>83103955700044</t>
  </si>
  <si>
    <t>F01866</t>
  </si>
  <si>
    <t>MAF24 ACE HOTEL CLERMONT</t>
  </si>
  <si>
    <t>44013335300027</t>
  </si>
  <si>
    <t>F01867</t>
  </si>
  <si>
    <t>SARL AGSL</t>
  </si>
  <si>
    <t>93809742500012</t>
  </si>
  <si>
    <t>F01868</t>
  </si>
  <si>
    <t>LISI MEDICAL FASTENERS</t>
  </si>
  <si>
    <t>50157285300023</t>
  </si>
  <si>
    <t>F01869</t>
  </si>
  <si>
    <t>LINDAL FRANCE</t>
  </si>
  <si>
    <t>68201144000026</t>
  </si>
  <si>
    <t>F01870</t>
  </si>
  <si>
    <t>INTERMARCHE SAINTE MARIE DE CUINES (SAS ZERAPP)</t>
  </si>
  <si>
    <t>40109051900026</t>
  </si>
  <si>
    <t>F01871</t>
  </si>
  <si>
    <t>INTERMARCHE LAI SAINT-HILAIRE-LES-ANDRESIS</t>
  </si>
  <si>
    <t>51408083700081</t>
  </si>
  <si>
    <t>F01872</t>
  </si>
  <si>
    <t>HOTEL AU VIEUX MOULIN</t>
  </si>
  <si>
    <t>33496035800011</t>
  </si>
  <si>
    <t>F01873</t>
  </si>
  <si>
    <t>HOTDIS</t>
  </si>
  <si>
    <t>33345410600019</t>
  </si>
  <si>
    <t>F01874</t>
  </si>
  <si>
    <t>HAMBLAIN LES PRES</t>
  </si>
  <si>
    <t>79525565200047</t>
  </si>
  <si>
    <t>F01875</t>
  </si>
  <si>
    <t>HAMARIS - SIEGE - PARKING VISITEURS</t>
  </si>
  <si>
    <t>40389199700013</t>
  </si>
  <si>
    <t>F01876</t>
  </si>
  <si>
    <t>GEA WESTFALIA SEPARATOR FRANCE</t>
  </si>
  <si>
    <t>41400130500013</t>
  </si>
  <si>
    <t>F01877</t>
  </si>
  <si>
    <t>FRUITS ROUGES &amp; CO</t>
  </si>
  <si>
    <t>37897020600025</t>
  </si>
  <si>
    <t>F01878</t>
  </si>
  <si>
    <t>FFF - LIGUE BOURGOGNE FRANCHE-COMTE DE FOOTBALL</t>
  </si>
  <si>
    <t>77832952400061</t>
  </si>
  <si>
    <t>F01879</t>
  </si>
  <si>
    <t>ETHYPHARM</t>
  </si>
  <si>
    <t>31199983300107</t>
  </si>
  <si>
    <t>F01880</t>
  </si>
  <si>
    <t>EAU ET FEU</t>
  </si>
  <si>
    <t>77572442000069</t>
  </si>
  <si>
    <t>F01881</t>
  </si>
  <si>
    <t>EAT - CAMPING DOMAINE DE FIERBOIS</t>
  </si>
  <si>
    <t>42017590300236</t>
  </si>
  <si>
    <t>F01882</t>
  </si>
  <si>
    <t>EARL THIBAUT LE CHEMIN VERT</t>
  </si>
  <si>
    <t>81439583600012</t>
  </si>
  <si>
    <t>F01883</t>
  </si>
  <si>
    <t>DESMAZIERES</t>
  </si>
  <si>
    <t>37320051800034</t>
  </si>
  <si>
    <t>F01884</t>
  </si>
  <si>
    <t>COURLANE</t>
  </si>
  <si>
    <t>41477047900023</t>
  </si>
  <si>
    <t>600275</t>
  </si>
  <si>
    <t>CPO-AEROPORT DE NICE</t>
  </si>
  <si>
    <t>49347948900020</t>
  </si>
  <si>
    <t>600276</t>
  </si>
  <si>
    <t>RAVALEC</t>
  </si>
  <si>
    <t>39534720600025</t>
  </si>
  <si>
    <t>600280</t>
  </si>
  <si>
    <t>SGA INDUSTRIES</t>
  </si>
  <si>
    <t>42424601500020</t>
  </si>
  <si>
    <t>600302</t>
  </si>
  <si>
    <t>EDF RENOUVELABLES</t>
  </si>
  <si>
    <t>37967763600217</t>
  </si>
  <si>
    <t>F01885</t>
  </si>
  <si>
    <t>COMMUNE DE SCHNERSHEIM</t>
  </si>
  <si>
    <t>21670452800019</t>
  </si>
  <si>
    <t>F01886</t>
  </si>
  <si>
    <t>COMMUNE DE BEINHEIM</t>
  </si>
  <si>
    <t>21670025200010</t>
  </si>
  <si>
    <t>F01887</t>
  </si>
  <si>
    <t>COGEVI</t>
  </si>
  <si>
    <t>78035820600016</t>
  </si>
  <si>
    <t>F01888</t>
  </si>
  <si>
    <t>CGR CINEMAS</t>
  </si>
  <si>
    <t>66178022100031</t>
  </si>
  <si>
    <t>F01889</t>
  </si>
  <si>
    <t>CENTRE UNIVERSITAIRE CATHOLIQUE DE BOURGOGNE</t>
  </si>
  <si>
    <t>39404944900025</t>
  </si>
  <si>
    <t>F01890</t>
  </si>
  <si>
    <t>CARREFOUR MARKET PROVENCIA-CROLLES</t>
  </si>
  <si>
    <t>41069809600055</t>
  </si>
  <si>
    <t>F01891</t>
  </si>
  <si>
    <t>CAPIE INTERMARCHE</t>
  </si>
  <si>
    <t>32574160100018</t>
  </si>
  <si>
    <t>F01892</t>
  </si>
  <si>
    <t>CAMPING LES CLARINES</t>
  </si>
  <si>
    <t>47807662300022</t>
  </si>
  <si>
    <t>F01893</t>
  </si>
  <si>
    <t>BRICOCASH SAS LEBASKY</t>
  </si>
  <si>
    <t>43993055300029</t>
  </si>
  <si>
    <t>F01894</t>
  </si>
  <si>
    <t>BOLUDA MARSEILLE FOS</t>
  </si>
  <si>
    <t>40435063900013</t>
  </si>
  <si>
    <t>F01895</t>
  </si>
  <si>
    <t>AVRIL SAIPOL BASSENS</t>
  </si>
  <si>
    <t>79940305000013</t>
  </si>
  <si>
    <t>F01896</t>
  </si>
  <si>
    <t>AVRIL LESIEUR - COUDEKERQUE</t>
  </si>
  <si>
    <t>45720861900082</t>
  </si>
  <si>
    <t>F01897</t>
  </si>
  <si>
    <t>ACE HOTEL HOLDING</t>
  </si>
  <si>
    <t>50946732000016</t>
  </si>
  <si>
    <t>F01898</t>
  </si>
  <si>
    <t>CARREFOUR MARKET DIVONNE LES BAINS</t>
  </si>
  <si>
    <t>76020047700106</t>
  </si>
  <si>
    <t>600310</t>
  </si>
  <si>
    <t>ALLIANCE ISOLATION</t>
  </si>
  <si>
    <t>38502492200044</t>
  </si>
  <si>
    <t>600286</t>
  </si>
  <si>
    <t>ROUTE220</t>
  </si>
  <si>
    <t>08671940966</t>
  </si>
  <si>
    <t>600298</t>
  </si>
  <si>
    <t>PROXITY</t>
  </si>
  <si>
    <t>84072770500039</t>
  </si>
  <si>
    <t>F00975</t>
  </si>
  <si>
    <t>CPO-IONITY REPUBLIQUE TCHEQUE</t>
  </si>
  <si>
    <t xml:space="preserve"> 07688024</t>
  </si>
  <si>
    <t>600307</t>
  </si>
  <si>
    <t>CPO-QWELLO FRANCE</t>
  </si>
  <si>
    <t>91370538000016</t>
  </si>
  <si>
    <t>600312</t>
  </si>
  <si>
    <t>JCD SERRURIER</t>
  </si>
  <si>
    <t>87858622100029</t>
  </si>
  <si>
    <t>600315</t>
  </si>
  <si>
    <t>CPO-ELECTRA BELGIQUE LION</t>
  </si>
  <si>
    <t xml:space="preserve"> BE 0804267976</t>
  </si>
  <si>
    <t>600316</t>
  </si>
  <si>
    <t>CITY DEBARRAS</t>
  </si>
  <si>
    <t>81403231400019</t>
  </si>
  <si>
    <t>600284</t>
  </si>
  <si>
    <t>CABINET LUCHTENBERG</t>
  </si>
  <si>
    <t>494 009 210 00043</t>
  </si>
  <si>
    <t>600285</t>
  </si>
  <si>
    <t>LA PARISIENNE</t>
  </si>
  <si>
    <t>45400024100033</t>
  </si>
  <si>
    <t>600293</t>
  </si>
  <si>
    <t>CPO-Fastned Switzerland AG</t>
  </si>
  <si>
    <t>CHE-394.882.929 MWST</t>
  </si>
  <si>
    <t>600295</t>
  </si>
  <si>
    <t>CORPO HEALTH</t>
  </si>
  <si>
    <t>84882023900020</t>
  </si>
  <si>
    <t>600299</t>
  </si>
  <si>
    <t>INNOVATE POWERING ELECTRONIC SL - INNPO</t>
  </si>
  <si>
    <t>B93462638</t>
  </si>
  <si>
    <t>600300</t>
  </si>
  <si>
    <t>AUX DELICES DE DIANE</t>
  </si>
  <si>
    <t>509730008100049</t>
  </si>
  <si>
    <t>SIREN</t>
  </si>
  <si>
    <t>789428919</t>
  </si>
  <si>
    <t>810842294</t>
  </si>
  <si>
    <t>819711060</t>
  </si>
  <si>
    <t>423507730</t>
  </si>
  <si>
    <t>678200502</t>
  </si>
  <si>
    <t>429309354</t>
  </si>
  <si>
    <t>130018351</t>
  </si>
  <si>
    <t>440048882</t>
  </si>
  <si>
    <t>792809048</t>
  </si>
  <si>
    <t>303656847</t>
  </si>
  <si>
    <t>197534720</t>
  </si>
  <si>
    <t>792955064</t>
  </si>
  <si>
    <t>799911045</t>
  </si>
  <si>
    <t>518969944</t>
  </si>
  <si>
    <t/>
  </si>
  <si>
    <t>552081317</t>
  </si>
  <si>
    <t>973505357</t>
  </si>
  <si>
    <t>329778112</t>
  </si>
  <si>
    <t>652930129</t>
  </si>
  <si>
    <t>311799456</t>
  </si>
  <si>
    <t>403201767</t>
  </si>
  <si>
    <t>505341461</t>
  </si>
  <si>
    <t>443222682</t>
  </si>
  <si>
    <t>418647335</t>
  </si>
  <si>
    <t>393070503</t>
  </si>
  <si>
    <t>512299215</t>
  </si>
  <si>
    <t>487629982</t>
  </si>
  <si>
    <t>200050425</t>
  </si>
  <si>
    <t>216700674</t>
  </si>
  <si>
    <t>216703488</t>
  </si>
  <si>
    <t>216703538</t>
  </si>
  <si>
    <t>216704478</t>
  </si>
  <si>
    <t>592014476</t>
  </si>
  <si>
    <t>478792849</t>
  </si>
  <si>
    <t>954506077</t>
  </si>
  <si>
    <t>791354871</t>
  </si>
  <si>
    <t>517797981</t>
  </si>
  <si>
    <t>334668852</t>
  </si>
  <si>
    <t>792040388</t>
  </si>
  <si>
    <t>842070138</t>
  </si>
  <si>
    <t>515180909</t>
  </si>
  <si>
    <t>433250834</t>
  </si>
  <si>
    <t>525134169</t>
  </si>
  <si>
    <t>752925594</t>
  </si>
  <si>
    <t>401449855</t>
  </si>
  <si>
    <t>403200256</t>
  </si>
  <si>
    <t>442848925</t>
  </si>
  <si>
    <t>379012719</t>
  </si>
  <si>
    <t>880543756</t>
  </si>
  <si>
    <t>391967734</t>
  </si>
  <si>
    <t>381192434</t>
  </si>
  <si>
    <t>790704597</t>
  </si>
  <si>
    <t>512057282</t>
  </si>
  <si>
    <t>322813775</t>
  </si>
  <si>
    <t>322960014</t>
  </si>
  <si>
    <t>254200546</t>
  </si>
  <si>
    <t>216802975</t>
  </si>
  <si>
    <t>252701974</t>
  </si>
  <si>
    <t>335146312</t>
  </si>
  <si>
    <t>834064479</t>
  </si>
  <si>
    <t>562136036</t>
  </si>
  <si>
    <t>302565502</t>
  </si>
  <si>
    <t>531262905</t>
  </si>
  <si>
    <t>444384366</t>
  </si>
  <si>
    <t>830702882</t>
  </si>
  <si>
    <t>840565824</t>
  </si>
  <si>
    <t>442231783</t>
  </si>
  <si>
    <t>382634699</t>
  </si>
  <si>
    <t>408363174</t>
  </si>
  <si>
    <t>433891850</t>
  </si>
  <si>
    <t>353347222</t>
  </si>
  <si>
    <t>332564954</t>
  </si>
  <si>
    <t>524536992</t>
  </si>
  <si>
    <t>309624914</t>
  </si>
  <si>
    <t>419423728</t>
  </si>
  <si>
    <t>428635056</t>
  </si>
  <si>
    <t>382597821</t>
  </si>
  <si>
    <t>403253586</t>
  </si>
  <si>
    <t>402254437</t>
  </si>
  <si>
    <t>433115904</t>
  </si>
  <si>
    <t>424761419</t>
  </si>
  <si>
    <t>499326643</t>
  </si>
  <si>
    <t>219400595</t>
  </si>
  <si>
    <t>245400676</t>
  </si>
  <si>
    <t>857500144</t>
  </si>
  <si>
    <t>490657376</t>
  </si>
  <si>
    <t>423458280</t>
  </si>
  <si>
    <t>747251064</t>
  </si>
  <si>
    <t>389818907</t>
  </si>
  <si>
    <t>414894857</t>
  </si>
  <si>
    <t>388739179</t>
  </si>
  <si>
    <t>388758708</t>
  </si>
  <si>
    <t>401070891</t>
  </si>
  <si>
    <t>394204176</t>
  </si>
  <si>
    <t>568006590</t>
  </si>
  <si>
    <t>848545059</t>
  </si>
  <si>
    <t>434085395</t>
  </si>
  <si>
    <t>306552910</t>
  </si>
  <si>
    <t>348552696</t>
  </si>
  <si>
    <t>200053742</t>
  </si>
  <si>
    <t>385107180</t>
  </si>
  <si>
    <t>349691535</t>
  </si>
  <si>
    <t>417531431</t>
  </si>
  <si>
    <t>784352437</t>
  </si>
  <si>
    <t>538133166</t>
  </si>
  <si>
    <t>432786432</t>
  </si>
  <si>
    <t>488181348</t>
  </si>
  <si>
    <t>824513360</t>
  </si>
  <si>
    <t>451540744</t>
  </si>
  <si>
    <t>334983087</t>
  </si>
  <si>
    <t>434784674</t>
  </si>
  <si>
    <t>492888482</t>
  </si>
  <si>
    <t>444517296</t>
  </si>
  <si>
    <t>339644221</t>
  </si>
  <si>
    <t>828966317</t>
  </si>
  <si>
    <t>432993780</t>
  </si>
  <si>
    <t>751517038</t>
  </si>
  <si>
    <t>841448137</t>
  </si>
  <si>
    <t>801718156</t>
  </si>
  <si>
    <t>332548817</t>
  </si>
  <si>
    <t>522800614</t>
  </si>
  <si>
    <t>498569151</t>
  </si>
  <si>
    <t>775728223</t>
  </si>
  <si>
    <t>851154583</t>
  </si>
  <si>
    <t>488404823</t>
  </si>
  <si>
    <t>337508121</t>
  </si>
  <si>
    <t>419671425</t>
  </si>
  <si>
    <t>352256424</t>
  </si>
  <si>
    <t>820893808</t>
  </si>
  <si>
    <t>515401719</t>
  </si>
  <si>
    <t>391504693</t>
  </si>
  <si>
    <t>813144649</t>
  </si>
  <si>
    <t>440315943</t>
  </si>
  <si>
    <t>217500016</t>
  </si>
  <si>
    <t>397480930</t>
  </si>
  <si>
    <t>825404023</t>
  </si>
  <si>
    <t>200039857</t>
  </si>
  <si>
    <t>200039915</t>
  </si>
  <si>
    <t>483425260</t>
  </si>
  <si>
    <t>692036924</t>
  </si>
  <si>
    <t>240600585</t>
  </si>
  <si>
    <t>519085971</t>
  </si>
  <si>
    <t>387837032</t>
  </si>
  <si>
    <t>393984968</t>
  </si>
  <si>
    <t>822910790</t>
  </si>
  <si>
    <t>383960135</t>
  </si>
  <si>
    <t>892380031</t>
  </si>
  <si>
    <t>843202060</t>
  </si>
  <si>
    <t>388734568</t>
  </si>
  <si>
    <t>456500537</t>
  </si>
  <si>
    <t>488662156</t>
  </si>
  <si>
    <t>380414482</t>
  </si>
  <si>
    <t>306807454</t>
  </si>
  <si>
    <t>530974047</t>
  </si>
  <si>
    <t>420540643</t>
  </si>
  <si>
    <t>420291387</t>
  </si>
  <si>
    <t>444608442</t>
  </si>
  <si>
    <t>824132005</t>
  </si>
  <si>
    <t>449930320</t>
  </si>
  <si>
    <t>431961044</t>
  </si>
  <si>
    <t>322791393</t>
  </si>
  <si>
    <t>806420360</t>
  </si>
  <si>
    <t>200080869</t>
  </si>
  <si>
    <t>632041042</t>
  </si>
  <si>
    <t>500494984</t>
  </si>
  <si>
    <t>351329503</t>
  </si>
  <si>
    <t>309020816</t>
  </si>
  <si>
    <t>343282380</t>
  </si>
  <si>
    <t>421938861</t>
  </si>
  <si>
    <t>818611220</t>
  </si>
  <si>
    <t>382613057</t>
  </si>
  <si>
    <t>514933589</t>
  </si>
  <si>
    <t>552062663</t>
  </si>
  <si>
    <t>334556537</t>
  </si>
  <si>
    <t>305545675</t>
  </si>
  <si>
    <t>794514356</t>
  </si>
  <si>
    <t>712063759</t>
  </si>
  <si>
    <t>410290167</t>
  </si>
  <si>
    <t>545750580</t>
  </si>
  <si>
    <t>522761139</t>
  </si>
  <si>
    <t>320229644</t>
  </si>
  <si>
    <t>483205753</t>
  </si>
  <si>
    <t>434646626</t>
  </si>
  <si>
    <t>438843872</t>
  </si>
  <si>
    <t>504352006</t>
  </si>
  <si>
    <t>537845836</t>
  </si>
  <si>
    <t>389749045</t>
  </si>
  <si>
    <t>356000000</t>
  </si>
  <si>
    <t>380129866</t>
  </si>
  <si>
    <t>969501196</t>
  </si>
  <si>
    <t>444713283</t>
  </si>
  <si>
    <t>829825835</t>
  </si>
  <si>
    <t>200046175</t>
  </si>
  <si>
    <t>352532774</t>
  </si>
  <si>
    <t>732007828</t>
  </si>
  <si>
    <t>622050318</t>
  </si>
  <si>
    <t>402559595</t>
  </si>
  <si>
    <t>388055493</t>
  </si>
  <si>
    <t>959505728</t>
  </si>
  <si>
    <t>679804971</t>
  </si>
  <si>
    <t>751918541</t>
  </si>
  <si>
    <t>394461560</t>
  </si>
  <si>
    <t>343989372</t>
  </si>
  <si>
    <t>331843078</t>
  </si>
  <si>
    <t>433981206</t>
  </si>
  <si>
    <t>419357504</t>
  </si>
  <si>
    <t>879321487</t>
  </si>
  <si>
    <t>501555023</t>
  </si>
  <si>
    <t>488985771</t>
  </si>
  <si>
    <t>493198659</t>
  </si>
  <si>
    <t>517762183</t>
  </si>
  <si>
    <t>490934254</t>
  </si>
  <si>
    <t>388245029</t>
  </si>
  <si>
    <t>434231098</t>
  </si>
  <si>
    <t>807437595</t>
  </si>
  <si>
    <t>891624884</t>
  </si>
  <si>
    <t>887504926</t>
  </si>
  <si>
    <t>379063662</t>
  </si>
  <si>
    <t>812611150</t>
  </si>
  <si>
    <t>410339477</t>
  </si>
  <si>
    <t>389996125</t>
  </si>
  <si>
    <t>326876901</t>
  </si>
  <si>
    <t>511237315</t>
  </si>
  <si>
    <t>510367956</t>
  </si>
  <si>
    <t>319755393</t>
  </si>
  <si>
    <t>451276984</t>
  </si>
  <si>
    <t>792039695</t>
  </si>
  <si>
    <t>384674545</t>
  </si>
  <si>
    <t>332746825</t>
  </si>
  <si>
    <t>398636647</t>
  </si>
  <si>
    <t>478281850</t>
  </si>
  <si>
    <t>402262414</t>
  </si>
  <si>
    <t>397485830</t>
  </si>
  <si>
    <t>848221735</t>
  </si>
  <si>
    <t>538809971</t>
  </si>
  <si>
    <t>317306116</t>
  </si>
  <si>
    <t>478090434</t>
  </si>
  <si>
    <t>798066940</t>
  </si>
  <si>
    <t>817804883</t>
  </si>
  <si>
    <t>444963391</t>
  </si>
  <si>
    <t>453608713</t>
  </si>
  <si>
    <t>542086616</t>
  </si>
  <si>
    <t>524555539</t>
  </si>
  <si>
    <t>309304616</t>
  </si>
  <si>
    <t>334534039</t>
  </si>
  <si>
    <t>825234313</t>
  </si>
  <si>
    <t>562077503</t>
  </si>
  <si>
    <t>421106709</t>
  </si>
  <si>
    <t>492041066</t>
  </si>
  <si>
    <t>252803283</t>
  </si>
  <si>
    <t>255601106</t>
  </si>
  <si>
    <t>257600445</t>
  </si>
  <si>
    <t>200045938</t>
  </si>
  <si>
    <t>444302251</t>
  </si>
  <si>
    <t>452717010</t>
  </si>
  <si>
    <t>343059564</t>
  </si>
  <si>
    <t>493799605</t>
  </si>
  <si>
    <t>403609779</t>
  </si>
  <si>
    <t>349100594</t>
  </si>
  <si>
    <t>518991336</t>
  </si>
  <si>
    <t>703780247</t>
  </si>
  <si>
    <t>519589402</t>
  </si>
  <si>
    <t>450889225</t>
  </si>
  <si>
    <t>723650164</t>
  </si>
  <si>
    <t>258302744</t>
  </si>
  <si>
    <t>433887759</t>
  </si>
  <si>
    <t>821401130</t>
  </si>
  <si>
    <t>390412724</t>
  </si>
  <si>
    <t>510602808</t>
  </si>
  <si>
    <t>531680445</t>
  </si>
  <si>
    <t>334175221</t>
  </si>
  <si>
    <t>402125033</t>
  </si>
  <si>
    <t>419235015</t>
  </si>
  <si>
    <t>751999996</t>
  </si>
  <si>
    <t>384308821</t>
  </si>
  <si>
    <t>439398462</t>
  </si>
  <si>
    <t>794389452</t>
  </si>
  <si>
    <t>479076002</t>
  </si>
  <si>
    <t>413871500</t>
  </si>
  <si>
    <t>839803897</t>
  </si>
  <si>
    <t>332680107</t>
  </si>
  <si>
    <t>418895561</t>
  </si>
  <si>
    <t>352880256</t>
  </si>
  <si>
    <t>315535906</t>
  </si>
  <si>
    <t>531876670</t>
  </si>
  <si>
    <t>528743859</t>
  </si>
  <si>
    <t>794519645</t>
  </si>
  <si>
    <t>400826962</t>
  </si>
  <si>
    <t>522613041</t>
  </si>
  <si>
    <t>256102922</t>
  </si>
  <si>
    <t>453384133</t>
  </si>
  <si>
    <t xml:space="preserve"> 807 789 </t>
  </si>
  <si>
    <t>692012669</t>
  </si>
  <si>
    <t>304381379</t>
  </si>
  <si>
    <t>537527145</t>
  </si>
  <si>
    <t>794622613</t>
  </si>
  <si>
    <t>775726417</t>
  </si>
  <si>
    <t>381166792</t>
  </si>
  <si>
    <t>384841250</t>
  </si>
  <si>
    <t>339453508</t>
  </si>
  <si>
    <t>399256890</t>
  </si>
  <si>
    <t>487820268</t>
  </si>
  <si>
    <t>384229167</t>
  </si>
  <si>
    <t>822193660</t>
  </si>
  <si>
    <t>958506289</t>
  </si>
  <si>
    <t>834096695</t>
  </si>
  <si>
    <t>520901364</t>
  </si>
  <si>
    <t>831670872</t>
  </si>
  <si>
    <t>339508319</t>
  </si>
  <si>
    <t>391820446</t>
  </si>
  <si>
    <t>393168273</t>
  </si>
  <si>
    <t>539998211</t>
  </si>
  <si>
    <t>539188169</t>
  </si>
  <si>
    <t>419855143</t>
  </si>
  <si>
    <t>378615363</t>
  </si>
  <si>
    <t>790182786</t>
  </si>
  <si>
    <t>847794898</t>
  </si>
  <si>
    <t>572078905</t>
  </si>
  <si>
    <t>259102457</t>
  </si>
  <si>
    <t>398598250</t>
  </si>
  <si>
    <t>345351183</t>
  </si>
  <si>
    <t>775563232</t>
  </si>
  <si>
    <t>305443483</t>
  </si>
  <si>
    <t>434380242</t>
  </si>
  <si>
    <t>306589953</t>
  </si>
  <si>
    <t>479292047</t>
  </si>
  <si>
    <t>804575256</t>
  </si>
  <si>
    <t>351528229</t>
  </si>
  <si>
    <t>433725116</t>
  </si>
  <si>
    <t>255002883</t>
  </si>
  <si>
    <t>252901145</t>
  </si>
  <si>
    <t>582071437</t>
  </si>
  <si>
    <t>448180588</t>
  </si>
  <si>
    <t>442768552</t>
  </si>
  <si>
    <t>430347393</t>
  </si>
  <si>
    <t>494926058</t>
  </si>
  <si>
    <t>532792439</t>
  </si>
  <si>
    <t>398535781</t>
  </si>
  <si>
    <t>413922063</t>
  </si>
  <si>
    <t>200014926</t>
  </si>
  <si>
    <t>538600404</t>
  </si>
  <si>
    <t>819130873</t>
  </si>
  <si>
    <t>251001889</t>
  </si>
  <si>
    <t>814368866</t>
  </si>
  <si>
    <t>330581083</t>
  </si>
  <si>
    <t>900111709</t>
  </si>
  <si>
    <t>885354860</t>
  </si>
  <si>
    <t>902693126</t>
  </si>
  <si>
    <t>524935855</t>
  </si>
  <si>
    <t>819926684</t>
  </si>
  <si>
    <t>200093391</t>
  </si>
  <si>
    <t>778114793</t>
  </si>
  <si>
    <t>575851258</t>
  </si>
  <si>
    <t>482064110</t>
  </si>
  <si>
    <t>837521442</t>
  </si>
  <si>
    <t>381973098</t>
  </si>
  <si>
    <t>391063617</t>
  </si>
  <si>
    <t>321255069</t>
  </si>
  <si>
    <t>572139996</t>
  </si>
  <si>
    <t>497842914</t>
  </si>
  <si>
    <t>902657923</t>
  </si>
  <si>
    <t>402423420</t>
  </si>
  <si>
    <t>751479254</t>
  </si>
  <si>
    <t>490999190</t>
  </si>
  <si>
    <t>442814950</t>
  </si>
  <si>
    <t>499495588</t>
  </si>
  <si>
    <t>662821008</t>
  </si>
  <si>
    <t>791430713</t>
  </si>
  <si>
    <t>490873668</t>
  </si>
  <si>
    <t>433127537</t>
  </si>
  <si>
    <t>351874896</t>
  </si>
  <si>
    <t>521096248</t>
  </si>
  <si>
    <t>403214885</t>
  </si>
  <si>
    <t>485308787</t>
  </si>
  <si>
    <t>481935716</t>
  </si>
  <si>
    <t>219200359</t>
  </si>
  <si>
    <t>662029057</t>
  </si>
  <si>
    <t>665009700</t>
  </si>
  <si>
    <t>809675549</t>
  </si>
  <si>
    <t>341531531</t>
  </si>
  <si>
    <t>415055037</t>
  </si>
  <si>
    <t>533670709</t>
  </si>
  <si>
    <t>467800496</t>
  </si>
  <si>
    <t>431817915</t>
  </si>
  <si>
    <t>799827951</t>
  </si>
  <si>
    <t>322417452</t>
  </si>
  <si>
    <t>850288580</t>
  </si>
  <si>
    <t>572154318</t>
  </si>
  <si>
    <t>799025234</t>
  </si>
  <si>
    <t>224900019</t>
  </si>
  <si>
    <t>389643859</t>
  </si>
  <si>
    <t>893467738</t>
  </si>
  <si>
    <t>257400085</t>
  </si>
  <si>
    <t>335042636</t>
  </si>
  <si>
    <t>422993154</t>
  </si>
  <si>
    <t>411088859</t>
  </si>
  <si>
    <t>432709574</t>
  </si>
  <si>
    <t>510992811</t>
  </si>
  <si>
    <t>410299788</t>
  </si>
  <si>
    <t>751176538</t>
  </si>
  <si>
    <t>330892084</t>
  </si>
  <si>
    <t>798025276</t>
  </si>
  <si>
    <t>377853536</t>
  </si>
  <si>
    <t>399392141</t>
  </si>
  <si>
    <t>200055614</t>
  </si>
  <si>
    <t>200050433</t>
  </si>
  <si>
    <t>451192298</t>
  </si>
  <si>
    <t>453635310</t>
  </si>
  <si>
    <t>790490767</t>
  </si>
  <si>
    <t>490068806</t>
  </si>
  <si>
    <t>511774135</t>
  </si>
  <si>
    <t>391378239</t>
  </si>
  <si>
    <t>790184279</t>
  </si>
  <si>
    <t>778870246</t>
  </si>
  <si>
    <t>407997162</t>
  </si>
  <si>
    <t>448665471</t>
  </si>
  <si>
    <t>429584568</t>
  </si>
  <si>
    <t>378744460</t>
  </si>
  <si>
    <t>216900431</t>
  </si>
  <si>
    <t>216700468</t>
  </si>
  <si>
    <t>487884173</t>
  </si>
  <si>
    <t>497933937</t>
  </si>
  <si>
    <t>805340239</t>
  </si>
  <si>
    <t>401752399</t>
  </si>
  <si>
    <t>782354096</t>
  </si>
  <si>
    <t>453929465</t>
  </si>
  <si>
    <t>332235647</t>
  </si>
  <si>
    <t>391248176</t>
  </si>
  <si>
    <t>310520622</t>
  </si>
  <si>
    <t>776944142</t>
  </si>
  <si>
    <t>388334526</t>
  </si>
  <si>
    <t>842032468</t>
  </si>
  <si>
    <t>390112886</t>
  </si>
  <si>
    <t>381069483</t>
  </si>
  <si>
    <t>216704585</t>
  </si>
  <si>
    <t>524460789</t>
  </si>
  <si>
    <t>130022718</t>
  </si>
  <si>
    <t>262100183</t>
  </si>
  <si>
    <t>519954986</t>
  </si>
  <si>
    <t>314843244</t>
  </si>
  <si>
    <t>410317267</t>
  </si>
  <si>
    <t>384386934</t>
  </si>
  <si>
    <t>391952801</t>
  </si>
  <si>
    <t>216203612</t>
  </si>
  <si>
    <t>537916074</t>
  </si>
  <si>
    <t>440731776</t>
  </si>
  <si>
    <t>544800857</t>
  </si>
  <si>
    <t>830858684</t>
  </si>
  <si>
    <t>424670156</t>
  </si>
  <si>
    <t>319392809</t>
  </si>
  <si>
    <t>811815802</t>
  </si>
  <si>
    <t>305918732</t>
  </si>
  <si>
    <t>318697208</t>
  </si>
  <si>
    <t>186400057</t>
  </si>
  <si>
    <t>246700926</t>
  </si>
  <si>
    <t>552016628</t>
  </si>
  <si>
    <t>652720863</t>
  </si>
  <si>
    <t>813362399</t>
  </si>
  <si>
    <t>488917394</t>
  </si>
  <si>
    <t>879919561</t>
  </si>
  <si>
    <t>810146563</t>
  </si>
  <si>
    <t>311274914</t>
  </si>
  <si>
    <t>449100163</t>
  </si>
  <si>
    <t>420428120</t>
  </si>
  <si>
    <t>428702385</t>
  </si>
  <si>
    <t>403731466</t>
  </si>
  <si>
    <t>318724655</t>
  </si>
  <si>
    <t>325147320</t>
  </si>
  <si>
    <t>800528309</t>
  </si>
  <si>
    <t>344814645</t>
  </si>
  <si>
    <t>318870060</t>
  </si>
  <si>
    <t>348877044</t>
  </si>
  <si>
    <t>379833775</t>
  </si>
  <si>
    <t>817808181</t>
  </si>
  <si>
    <t>347604621</t>
  </si>
  <si>
    <t>908746555</t>
  </si>
  <si>
    <t>344091277</t>
  </si>
  <si>
    <t>481319044</t>
  </si>
  <si>
    <t>534116173</t>
  </si>
  <si>
    <t>810029066</t>
  </si>
  <si>
    <t>750938722</t>
  </si>
  <si>
    <t>835124280</t>
  </si>
  <si>
    <t>435272596</t>
  </si>
  <si>
    <t>968505016</t>
  </si>
  <si>
    <t>325421261</t>
  </si>
  <si>
    <t>911879518</t>
  </si>
  <si>
    <t>572186989</t>
  </si>
  <si>
    <t>451668255</t>
  </si>
  <si>
    <t>200042489</t>
  </si>
  <si>
    <t>793288010</t>
  </si>
  <si>
    <t>421589763</t>
  </si>
  <si>
    <t>394699011</t>
  </si>
  <si>
    <t>483993226</t>
  </si>
  <si>
    <t>489455584</t>
  </si>
  <si>
    <t>434400461</t>
  </si>
  <si>
    <t>200030195</t>
  </si>
  <si>
    <t>441642147</t>
  </si>
  <si>
    <t>527737738</t>
  </si>
  <si>
    <t>522082528</t>
  </si>
  <si>
    <t>180020026</t>
  </si>
  <si>
    <t>429955297</t>
  </si>
  <si>
    <t>405100587</t>
  </si>
  <si>
    <t>352745749</t>
  </si>
  <si>
    <t>552024671</t>
  </si>
  <si>
    <t>808271803</t>
  </si>
  <si>
    <t>343958138</t>
  </si>
  <si>
    <t>820772200</t>
  </si>
  <si>
    <t>305273724</t>
  </si>
  <si>
    <t>799416011</t>
  </si>
  <si>
    <t>342133345</t>
  </si>
  <si>
    <t>217703339</t>
  </si>
  <si>
    <t>675980114</t>
  </si>
  <si>
    <t>834422180</t>
  </si>
  <si>
    <t>840516538</t>
  </si>
  <si>
    <t>433061975</t>
  </si>
  <si>
    <t>844192443</t>
  </si>
  <si>
    <t>812327302</t>
  </si>
  <si>
    <t>480885896</t>
  </si>
  <si>
    <t>412806960</t>
  </si>
  <si>
    <t>844324632</t>
  </si>
  <si>
    <t>337957328</t>
  </si>
  <si>
    <t>322625740</t>
  </si>
  <si>
    <t>751222100</t>
  </si>
  <si>
    <t>519450209</t>
  </si>
  <si>
    <t>399373380</t>
  </si>
  <si>
    <t>572184190</t>
  </si>
  <si>
    <t>254701824</t>
  </si>
  <si>
    <t>251600060</t>
  </si>
  <si>
    <t>251702197</t>
  </si>
  <si>
    <t>252401476</t>
  </si>
  <si>
    <t>253303473</t>
  </si>
  <si>
    <t>402241814</t>
  </si>
  <si>
    <t>311460596</t>
  </si>
  <si>
    <t>852642453</t>
  </si>
  <si>
    <t>790184675</t>
  </si>
  <si>
    <t>518720925</t>
  </si>
  <si>
    <t>200056232</t>
  </si>
  <si>
    <t>384189163</t>
  </si>
  <si>
    <t>389809781</t>
  </si>
  <si>
    <t>817649965</t>
  </si>
  <si>
    <t>418139960</t>
  </si>
  <si>
    <t>389682154</t>
  </si>
  <si>
    <t>414375444</t>
  </si>
  <si>
    <t>795087261</t>
  </si>
  <si>
    <t>821947009</t>
  </si>
  <si>
    <t>484225842</t>
  </si>
  <si>
    <t>398222430</t>
  </si>
  <si>
    <t>851054064</t>
  </si>
  <si>
    <t>413701111</t>
  </si>
  <si>
    <t>417501871</t>
  </si>
  <si>
    <t>923197412</t>
  </si>
  <si>
    <t>823195300</t>
  </si>
  <si>
    <t>817680606</t>
  </si>
  <si>
    <t>522546548</t>
  </si>
  <si>
    <t>408604841</t>
  </si>
  <si>
    <t>348607417</t>
  </si>
  <si>
    <t>314634338</t>
  </si>
  <si>
    <t>345291595</t>
  </si>
  <si>
    <t>937080414</t>
  </si>
  <si>
    <t>343100939</t>
  </si>
  <si>
    <t>304602956</t>
  </si>
  <si>
    <t>495041873</t>
  </si>
  <si>
    <t>845172352</t>
  </si>
  <si>
    <t>848778429</t>
  </si>
  <si>
    <t>377550249</t>
  </si>
  <si>
    <t>429627649</t>
  </si>
  <si>
    <t>334365053</t>
  </si>
  <si>
    <t>304994619</t>
  </si>
  <si>
    <t>818943938</t>
  </si>
  <si>
    <t>798800876</t>
  </si>
  <si>
    <t>438093791</t>
  </si>
  <si>
    <t>968502377</t>
  </si>
  <si>
    <t>533421582</t>
  </si>
  <si>
    <t>822184693</t>
  </si>
  <si>
    <t>254001399</t>
  </si>
  <si>
    <t>256402041</t>
  </si>
  <si>
    <t>216705442</t>
  </si>
  <si>
    <t>552115891</t>
  </si>
  <si>
    <t>752535476</t>
  </si>
  <si>
    <t>780130175</t>
  </si>
  <si>
    <t>777347386</t>
  </si>
  <si>
    <t>439793811</t>
  </si>
  <si>
    <t>305800997</t>
  </si>
  <si>
    <t>258708585</t>
  </si>
  <si>
    <t>528286552</t>
  </si>
  <si>
    <t>432498855</t>
  </si>
  <si>
    <t>389707746</t>
  </si>
  <si>
    <t>832489801</t>
  </si>
  <si>
    <t>200073344</t>
  </si>
  <si>
    <t>959502139</t>
  </si>
  <si>
    <t>200089720</t>
  </si>
  <si>
    <t>833035892</t>
  </si>
  <si>
    <t>398422154</t>
  </si>
  <si>
    <t>784176026</t>
  </si>
  <si>
    <t>302475041</t>
  </si>
  <si>
    <t>401418371</t>
  </si>
  <si>
    <t>812646123</t>
  </si>
  <si>
    <t>844799288</t>
  </si>
  <si>
    <t>433702479</t>
  </si>
  <si>
    <t>402525000</t>
  </si>
  <si>
    <t>421017062</t>
  </si>
  <si>
    <t>409240421</t>
  </si>
  <si>
    <t>833970635</t>
  </si>
  <si>
    <t>420594202</t>
  </si>
  <si>
    <t>419070180</t>
  </si>
  <si>
    <t>397831512</t>
  </si>
  <si>
    <t>380610543</t>
  </si>
  <si>
    <t>530194000</t>
  </si>
  <si>
    <t>411207012</t>
  </si>
  <si>
    <t>814919825</t>
  </si>
  <si>
    <t>897586996</t>
  </si>
  <si>
    <t>829889591</t>
  </si>
  <si>
    <t>892461906</t>
  </si>
  <si>
    <t>330283847</t>
  </si>
  <si>
    <t>324018530</t>
  </si>
  <si>
    <t>348460841</t>
  </si>
  <si>
    <t>380817122</t>
  </si>
  <si>
    <t>451270615</t>
  </si>
  <si>
    <t>337795801</t>
  </si>
  <si>
    <t>899943153</t>
  </si>
  <si>
    <t>213300098</t>
  </si>
  <si>
    <t>790710750</t>
  </si>
  <si>
    <t>735550188</t>
  </si>
  <si>
    <t>799306253</t>
  </si>
  <si>
    <t>702012956</t>
  </si>
  <si>
    <t>478764194</t>
  </si>
  <si>
    <t>391301090</t>
  </si>
  <si>
    <t>518563911</t>
  </si>
  <si>
    <t>200082477</t>
  </si>
  <si>
    <t>200035319</t>
  </si>
  <si>
    <t>853420032</t>
  </si>
  <si>
    <t>394443261</t>
  </si>
  <si>
    <t>822045415</t>
  </si>
  <si>
    <t>301570446</t>
  </si>
  <si>
    <t>850797895</t>
  </si>
  <si>
    <t>894878594</t>
  </si>
  <si>
    <t>450489869</t>
  </si>
  <si>
    <t>848189494</t>
  </si>
  <si>
    <t>888731221</t>
  </si>
  <si>
    <t>792817371</t>
  </si>
  <si>
    <t>824896898</t>
  </si>
  <si>
    <t>809027972</t>
  </si>
  <si>
    <t>662011071</t>
  </si>
  <si>
    <t>491270898</t>
  </si>
  <si>
    <t>803425404</t>
  </si>
  <si>
    <t>814014023</t>
  </si>
  <si>
    <t>383527330</t>
  </si>
  <si>
    <t>383078664</t>
  </si>
  <si>
    <t>438872871</t>
  </si>
  <si>
    <t>820332302</t>
  </si>
  <si>
    <t>907502652</t>
  </si>
  <si>
    <t>200070324</t>
  </si>
  <si>
    <t>807940069</t>
  </si>
  <si>
    <t>399630839</t>
  </si>
  <si>
    <t>539698415</t>
  </si>
  <si>
    <t>778134601</t>
  </si>
  <si>
    <t>320508229</t>
  </si>
  <si>
    <t>200078947</t>
  </si>
  <si>
    <t>252309646</t>
  </si>
  <si>
    <t>908679491</t>
  </si>
  <si>
    <t>878869213</t>
  </si>
  <si>
    <t>433755071</t>
  </si>
  <si>
    <t>200051134</t>
  </si>
  <si>
    <t>390072551</t>
  </si>
  <si>
    <t>492308432</t>
  </si>
  <si>
    <t>823074455</t>
  </si>
  <si>
    <t>442170536</t>
  </si>
  <si>
    <t>919679159</t>
  </si>
  <si>
    <t>751369729</t>
  </si>
  <si>
    <t>903869618</t>
  </si>
  <si>
    <t>814736492</t>
  </si>
  <si>
    <t>818725418</t>
  </si>
  <si>
    <t>908569486</t>
  </si>
  <si>
    <t>439055278</t>
  </si>
  <si>
    <t>971201546</t>
  </si>
  <si>
    <t>837742402</t>
  </si>
  <si>
    <t>311945687</t>
  </si>
  <si>
    <t>485096218</t>
  </si>
  <si>
    <t>418441234</t>
  </si>
  <si>
    <t>819728338</t>
  </si>
  <si>
    <t>310505771</t>
  </si>
  <si>
    <t>453055725</t>
  </si>
  <si>
    <t>509385258</t>
  </si>
  <si>
    <t>313320244</t>
  </si>
  <si>
    <t>338748536</t>
  </si>
  <si>
    <t>879194009</t>
  </si>
  <si>
    <t>898829494</t>
  </si>
  <si>
    <t>315319491</t>
  </si>
  <si>
    <t>818084873</t>
  </si>
  <si>
    <t>447953738</t>
  </si>
  <si>
    <t>824239578</t>
  </si>
  <si>
    <t>895163608</t>
  </si>
  <si>
    <t>334455235</t>
  </si>
  <si>
    <t>352860639</t>
  </si>
  <si>
    <t>494538234</t>
  </si>
  <si>
    <t>880175666</t>
  </si>
  <si>
    <t>305823296</t>
  </si>
  <si>
    <t>320152333</t>
  </si>
  <si>
    <t>499847911</t>
  </si>
  <si>
    <t>551620198</t>
  </si>
  <si>
    <t>429916596</t>
  </si>
  <si>
    <t>377080312</t>
  </si>
  <si>
    <t>211501879</t>
  </si>
  <si>
    <t>399372713</t>
  </si>
  <si>
    <t>775709702</t>
  </si>
  <si>
    <t>525215745</t>
  </si>
  <si>
    <t>534873161</t>
  </si>
  <si>
    <t>309918464</t>
  </si>
  <si>
    <t>342816006</t>
  </si>
  <si>
    <t>433839172</t>
  </si>
  <si>
    <t>538760125</t>
  </si>
  <si>
    <t>217303049</t>
  </si>
  <si>
    <t>210102836</t>
  </si>
  <si>
    <t>316644079</t>
  </si>
  <si>
    <t>383681996</t>
  </si>
  <si>
    <t>572750321</t>
  </si>
  <si>
    <t>383806783</t>
  </si>
  <si>
    <t>821236148</t>
  </si>
  <si>
    <t>524027455</t>
  </si>
  <si>
    <t>310162417</t>
  </si>
  <si>
    <t>839291119</t>
  </si>
  <si>
    <t>882736077</t>
  </si>
  <si>
    <t>378100416</t>
  </si>
  <si>
    <t>301365326</t>
  </si>
  <si>
    <t>317685238</t>
  </si>
  <si>
    <t>390700177</t>
  </si>
  <si>
    <t>494385420</t>
  </si>
  <si>
    <t>322790478</t>
  </si>
  <si>
    <t>445208507</t>
  </si>
  <si>
    <t>444983449</t>
  </si>
  <si>
    <t>841291883</t>
  </si>
  <si>
    <t>612820225</t>
  </si>
  <si>
    <t>480947019</t>
  </si>
  <si>
    <t>777903816</t>
  </si>
  <si>
    <t>489243881</t>
  </si>
  <si>
    <t>417897345</t>
  </si>
  <si>
    <t>480280304</t>
  </si>
  <si>
    <t>411132376</t>
  </si>
  <si>
    <t>216202507</t>
  </si>
  <si>
    <t>801205857</t>
  </si>
  <si>
    <t>352107999</t>
  </si>
  <si>
    <t>354081028</t>
  </si>
  <si>
    <t>514850866</t>
  </si>
  <si>
    <t>652039611</t>
  </si>
  <si>
    <t>210100939</t>
  </si>
  <si>
    <t>803906916</t>
  </si>
  <si>
    <t>520333048</t>
  </si>
  <si>
    <t>323622175</t>
  </si>
  <si>
    <t>487706046</t>
  </si>
  <si>
    <t>539220798</t>
  </si>
  <si>
    <t>749844395</t>
  </si>
  <si>
    <t>395150402</t>
  </si>
  <si>
    <t>392988895</t>
  </si>
  <si>
    <t>414842062</t>
  </si>
  <si>
    <t>352638449</t>
  </si>
  <si>
    <t>802144238</t>
  </si>
  <si>
    <t>776069460</t>
  </si>
  <si>
    <t>349101568</t>
  </si>
  <si>
    <t>452346273</t>
  </si>
  <si>
    <t>337849624</t>
  </si>
  <si>
    <t>504588740</t>
  </si>
  <si>
    <t>503370249</t>
  </si>
  <si>
    <t>808241707</t>
  </si>
  <si>
    <t>403184690</t>
  </si>
  <si>
    <t>339494833</t>
  </si>
  <si>
    <t>472200716</t>
  </si>
  <si>
    <t>817535297</t>
  </si>
  <si>
    <t>320498181</t>
  </si>
  <si>
    <t>572053734</t>
  </si>
  <si>
    <t>401556576</t>
  </si>
  <si>
    <t>433473337</t>
  </si>
  <si>
    <t>381346196</t>
  </si>
  <si>
    <t>332663152</t>
  </si>
  <si>
    <t>378040497</t>
  </si>
  <si>
    <t>200031987</t>
  </si>
  <si>
    <t>347775363</t>
  </si>
  <si>
    <t>535258040</t>
  </si>
  <si>
    <t>214003287</t>
  </si>
  <si>
    <t>301768859</t>
  </si>
  <si>
    <t>637250036</t>
  </si>
  <si>
    <t>302555222</t>
  </si>
  <si>
    <t>305544488</t>
  </si>
  <si>
    <t>307180786</t>
  </si>
  <si>
    <t>309467884</t>
  </si>
  <si>
    <t>323961680</t>
  </si>
  <si>
    <t>328031042</t>
  </si>
  <si>
    <t>341050987</t>
  </si>
  <si>
    <t>344543046</t>
  </si>
  <si>
    <t>344750963</t>
  </si>
  <si>
    <t>347697260</t>
  </si>
  <si>
    <t>350656807</t>
  </si>
  <si>
    <t>353944093</t>
  </si>
  <si>
    <t>373200260</t>
  </si>
  <si>
    <t>381830850</t>
  </si>
  <si>
    <t>382616415</t>
  </si>
  <si>
    <t>499316016</t>
  </si>
  <si>
    <t>384461398</t>
  </si>
  <si>
    <t>302020177</t>
  </si>
  <si>
    <t>391127875</t>
  </si>
  <si>
    <t>393332606</t>
  </si>
  <si>
    <t>398113357</t>
  </si>
  <si>
    <t>408059533</t>
  </si>
  <si>
    <t>414897306</t>
  </si>
  <si>
    <t>420856221</t>
  </si>
  <si>
    <t>421716465</t>
  </si>
  <si>
    <t>423589134</t>
  </si>
  <si>
    <t>431784461</t>
  </si>
  <si>
    <t>437857717</t>
  </si>
  <si>
    <t>668500622</t>
  </si>
  <si>
    <t>819761578</t>
  </si>
  <si>
    <t>200067213</t>
  </si>
  <si>
    <t>349604322</t>
  </si>
  <si>
    <t>824897599</t>
  </si>
  <si>
    <t>571722669</t>
  </si>
  <si>
    <t>348776667</t>
  </si>
  <si>
    <t>432301844</t>
  </si>
  <si>
    <t>339361701</t>
  </si>
  <si>
    <t>838961977</t>
  </si>
  <si>
    <t>414982942</t>
  </si>
  <si>
    <t>381627041</t>
  </si>
  <si>
    <t>418814059</t>
  </si>
  <si>
    <t>485920227</t>
  </si>
  <si>
    <t>512585514</t>
  </si>
  <si>
    <t>415050772</t>
  </si>
  <si>
    <t>883238826</t>
  </si>
  <si>
    <t>439381468</t>
  </si>
  <si>
    <t>334795051</t>
  </si>
  <si>
    <t>797992625</t>
  </si>
  <si>
    <t>424341907</t>
  </si>
  <si>
    <t>789673910</t>
  </si>
  <si>
    <t>786195859</t>
  </si>
  <si>
    <t>394256275</t>
  </si>
  <si>
    <t>822316329</t>
  </si>
  <si>
    <t>834720336</t>
  </si>
  <si>
    <t>546450453</t>
  </si>
  <si>
    <t>348224957</t>
  </si>
  <si>
    <t>389496308</t>
  </si>
  <si>
    <t>443951199</t>
  </si>
  <si>
    <t>332107499</t>
  </si>
  <si>
    <t>318226974</t>
  </si>
  <si>
    <t>388956070</t>
  </si>
  <si>
    <t>200046977</t>
  </si>
  <si>
    <t>521903575</t>
  </si>
  <si>
    <t>853731636</t>
  </si>
  <si>
    <t>820150720</t>
  </si>
  <si>
    <t>879149029</t>
  </si>
  <si>
    <t>528971823</t>
  </si>
  <si>
    <t>798689253</t>
  </si>
  <si>
    <t>216902916</t>
  </si>
  <si>
    <t>442721429</t>
  </si>
  <si>
    <t>488212945</t>
  </si>
  <si>
    <t>804495638</t>
  </si>
  <si>
    <t>409564085</t>
  </si>
  <si>
    <t>421159153</t>
  </si>
  <si>
    <t>899886956</t>
  </si>
  <si>
    <t>843965864</t>
  </si>
  <si>
    <t>426250023</t>
  </si>
  <si>
    <t>342667193</t>
  </si>
  <si>
    <t>878054295</t>
  </si>
  <si>
    <t>721720290</t>
  </si>
  <si>
    <t>303742480</t>
  </si>
  <si>
    <t>912251162</t>
  </si>
  <si>
    <t>349687145</t>
  </si>
  <si>
    <t>379041395</t>
  </si>
  <si>
    <t>501193171</t>
  </si>
  <si>
    <t>315667410</t>
  </si>
  <si>
    <t>784404246</t>
  </si>
  <si>
    <t>423788108</t>
  </si>
  <si>
    <t>312212301</t>
  </si>
  <si>
    <t>881628523</t>
  </si>
  <si>
    <t>451906317</t>
  </si>
  <si>
    <t>871800074</t>
  </si>
  <si>
    <t>824007520</t>
  </si>
  <si>
    <t>987220019</t>
  </si>
  <si>
    <t>326521002</t>
  </si>
  <si>
    <t>495314619</t>
  </si>
  <si>
    <t>380765131</t>
  </si>
  <si>
    <t>487741969</t>
  </si>
  <si>
    <t>331566430</t>
  </si>
  <si>
    <t>316085828</t>
  </si>
  <si>
    <t>972802340</t>
  </si>
  <si>
    <t>302476403</t>
  </si>
  <si>
    <t>799130026</t>
  </si>
  <si>
    <t>709806079</t>
  </si>
  <si>
    <t>395301856</t>
  </si>
  <si>
    <t>572058329</t>
  </si>
  <si>
    <t>323480061</t>
  </si>
  <si>
    <t>791915036</t>
  </si>
  <si>
    <t>537767287</t>
  </si>
  <si>
    <t>582144051</t>
  </si>
  <si>
    <t>328759303</t>
  </si>
  <si>
    <t>330943127</t>
  </si>
  <si>
    <t>319528402</t>
  </si>
  <si>
    <t>438712309</t>
  </si>
  <si>
    <t>777023722</t>
  </si>
  <si>
    <t>378637862</t>
  </si>
  <si>
    <t>489969857</t>
  </si>
  <si>
    <t>843173345</t>
  </si>
  <si>
    <t>881288757</t>
  </si>
  <si>
    <t>535273387</t>
  </si>
  <si>
    <t>424365336</t>
  </si>
  <si>
    <t>782947402</t>
  </si>
  <si>
    <t>508766995</t>
  </si>
  <si>
    <t>388657025</t>
  </si>
  <si>
    <t>401205042</t>
  </si>
  <si>
    <t>400447892</t>
  </si>
  <si>
    <t>997858600</t>
  </si>
  <si>
    <t>411798655</t>
  </si>
  <si>
    <t>882889751</t>
  </si>
  <si>
    <t>316359967</t>
  </si>
  <si>
    <t>342043429</t>
  </si>
  <si>
    <t>353152150</t>
  </si>
  <si>
    <t>900120189</t>
  </si>
  <si>
    <t>945950269</t>
  </si>
  <si>
    <t>790570220</t>
  </si>
  <si>
    <t>352611677</t>
  </si>
  <si>
    <t>518068168</t>
  </si>
  <si>
    <t>401213376</t>
  </si>
  <si>
    <t>390443661</t>
  </si>
  <si>
    <t>390412906</t>
  </si>
  <si>
    <t>480106236</t>
  </si>
  <si>
    <t>429459076</t>
  </si>
  <si>
    <t>785447467</t>
  </si>
  <si>
    <t>325528222</t>
  </si>
  <si>
    <t>510300569</t>
  </si>
  <si>
    <t>592052302</t>
  </si>
  <si>
    <t>538865064</t>
  </si>
  <si>
    <t>483281887</t>
  </si>
  <si>
    <t>793532755</t>
  </si>
  <si>
    <t>621620921</t>
  </si>
  <si>
    <t>451580906</t>
  </si>
  <si>
    <t>315043190</t>
  </si>
  <si>
    <t>775997141</t>
  </si>
  <si>
    <t>351429923</t>
  </si>
  <si>
    <t>781452511</t>
  </si>
  <si>
    <t>216207530</t>
  </si>
  <si>
    <t>957203140</t>
  </si>
  <si>
    <t>845206317</t>
  </si>
  <si>
    <t>403585458</t>
  </si>
  <si>
    <t>310370754</t>
  </si>
  <si>
    <t>338959729</t>
  </si>
  <si>
    <t>402390819</t>
  </si>
  <si>
    <t>341522332</t>
  </si>
  <si>
    <t>452183973</t>
  </si>
  <si>
    <t>794581546</t>
  </si>
  <si>
    <t>480264324</t>
  </si>
  <si>
    <t>912804242</t>
  </si>
  <si>
    <t>451545651</t>
  </si>
  <si>
    <t>810151738</t>
  </si>
  <si>
    <t>403180805</t>
  </si>
  <si>
    <t>779859297</t>
  </si>
  <si>
    <t>312744832</t>
  </si>
  <si>
    <t>353550932</t>
  </si>
  <si>
    <t>389675018</t>
  </si>
  <si>
    <t>608013960</t>
  </si>
  <si>
    <t>328297841</t>
  </si>
  <si>
    <t>333050284</t>
  </si>
  <si>
    <t>349760918</t>
  </si>
  <si>
    <t>391208287</t>
  </si>
  <si>
    <t>110002011</t>
  </si>
  <si>
    <t>542083704</t>
  </si>
  <si>
    <t>821206000</t>
  </si>
  <si>
    <t>775581242</t>
  </si>
  <si>
    <t>545920076</t>
  </si>
  <si>
    <t>660802844</t>
  </si>
  <si>
    <t>713002269</t>
  </si>
  <si>
    <t>382464709</t>
  </si>
  <si>
    <t>435368501</t>
  </si>
  <si>
    <t>384986386</t>
  </si>
  <si>
    <t>326397551</t>
  </si>
  <si>
    <t>388362832</t>
  </si>
  <si>
    <t>341260263</t>
  </si>
  <si>
    <t>429913932</t>
  </si>
  <si>
    <t>450408133</t>
  </si>
  <si>
    <t>500047238</t>
  </si>
  <si>
    <t>448517540</t>
  </si>
  <si>
    <t>345293534</t>
  </si>
  <si>
    <t>351758263</t>
  </si>
  <si>
    <t>492442306</t>
  </si>
  <si>
    <t>388280711</t>
  </si>
  <si>
    <t>384254389</t>
  </si>
  <si>
    <t>200062248</t>
  </si>
  <si>
    <t>301861886</t>
  </si>
  <si>
    <t>323648451</t>
  </si>
  <si>
    <t>439678780</t>
  </si>
  <si>
    <t>383735420</t>
  </si>
  <si>
    <t>313221376</t>
  </si>
  <si>
    <t>493254908</t>
  </si>
  <si>
    <t>870800489</t>
  </si>
  <si>
    <t>318994126</t>
  </si>
  <si>
    <t>405720194</t>
  </si>
  <si>
    <t>403174691</t>
  </si>
  <si>
    <t>343762308</t>
  </si>
  <si>
    <t>797542255</t>
  </si>
  <si>
    <t>431835602</t>
  </si>
  <si>
    <t>404499212</t>
  </si>
  <si>
    <t>531072569</t>
  </si>
  <si>
    <t>491878880</t>
  </si>
  <si>
    <t>481581890</t>
  </si>
  <si>
    <t>330066374</t>
  </si>
  <si>
    <t>301367561</t>
  </si>
  <si>
    <t>445720295</t>
  </si>
  <si>
    <t>395099443</t>
  </si>
  <si>
    <t>444413058</t>
  </si>
  <si>
    <t>501365852</t>
  </si>
  <si>
    <t>402244370</t>
  </si>
  <si>
    <t>381479518</t>
  </si>
  <si>
    <t>417350311</t>
  </si>
  <si>
    <t>612041327</t>
  </si>
  <si>
    <t>320153612</t>
  </si>
  <si>
    <t>499838878</t>
  </si>
  <si>
    <t>383578432</t>
  </si>
  <si>
    <t>384136719</t>
  </si>
  <si>
    <t>315030635</t>
  </si>
  <si>
    <t>828414656</t>
  </si>
  <si>
    <t>775722572</t>
  </si>
  <si>
    <t>311349138</t>
  </si>
  <si>
    <t>838835320</t>
  </si>
  <si>
    <t>907794531</t>
  </si>
  <si>
    <t>424151678</t>
  </si>
  <si>
    <t>340325190</t>
  </si>
  <si>
    <t>480323229</t>
  </si>
  <si>
    <t>880082722</t>
  </si>
  <si>
    <t>380271213</t>
  </si>
  <si>
    <t>404978371</t>
  </si>
  <si>
    <t>383995859</t>
  </si>
  <si>
    <t>531652980</t>
  </si>
  <si>
    <t>617220363</t>
  </si>
  <si>
    <t>315765651</t>
  </si>
  <si>
    <t>410766646</t>
  </si>
  <si>
    <t>340936202</t>
  </si>
  <si>
    <t>334719267</t>
  </si>
  <si>
    <t>349204636</t>
  </si>
  <si>
    <t>661780155</t>
  </si>
  <si>
    <t>338222888</t>
  </si>
  <si>
    <t>439256496</t>
  </si>
  <si>
    <t>338647480</t>
  </si>
  <si>
    <t>493918346</t>
  </si>
  <si>
    <t>311732275</t>
  </si>
  <si>
    <t>391958980</t>
  </si>
  <si>
    <t>798191805</t>
  </si>
  <si>
    <t>529256539</t>
  </si>
  <si>
    <t>481981553</t>
  </si>
  <si>
    <t>327236733</t>
  </si>
  <si>
    <t>979037686</t>
  </si>
  <si>
    <t>327731790</t>
  </si>
  <si>
    <t>408750404</t>
  </si>
  <si>
    <t>423574037</t>
  </si>
  <si>
    <t>256300146</t>
  </si>
  <si>
    <t>319150231</t>
  </si>
  <si>
    <t>800988339</t>
  </si>
  <si>
    <t>352208805</t>
  </si>
  <si>
    <t>407893775</t>
  </si>
  <si>
    <t>382402634</t>
  </si>
  <si>
    <t>216701474</t>
  </si>
  <si>
    <t>351745724</t>
  </si>
  <si>
    <t>351705298</t>
  </si>
  <si>
    <t>844254979</t>
  </si>
  <si>
    <t>951478437</t>
  </si>
  <si>
    <t>844606723</t>
  </si>
  <si>
    <t>380192807</t>
  </si>
  <si>
    <t>331047712</t>
  </si>
  <si>
    <t>348006446</t>
  </si>
  <si>
    <t>408897569</t>
  </si>
  <si>
    <t>882393853</t>
  </si>
  <si>
    <t>891118473</t>
  </si>
  <si>
    <t>399973825</t>
  </si>
  <si>
    <t>197308588</t>
  </si>
  <si>
    <t>672040896</t>
  </si>
  <si>
    <t>523595270</t>
  </si>
  <si>
    <t>523099042</t>
  </si>
  <si>
    <t>809514318</t>
  </si>
  <si>
    <t>409899127</t>
  </si>
  <si>
    <t>920605821</t>
  </si>
  <si>
    <t>911482628</t>
  </si>
  <si>
    <t>328524764</t>
  </si>
  <si>
    <t>344558499</t>
  </si>
  <si>
    <t>433888674</t>
  </si>
  <si>
    <t>442278453</t>
  </si>
  <si>
    <t>869801142</t>
  </si>
  <si>
    <t>306523523</t>
  </si>
  <si>
    <t>853962777</t>
  </si>
  <si>
    <t>809189251</t>
  </si>
  <si>
    <t>951461540</t>
  </si>
  <si>
    <t>662780162</t>
  </si>
  <si>
    <t>350142071</t>
  </si>
  <si>
    <t>784355505</t>
  </si>
  <si>
    <t>410192850</t>
  </si>
  <si>
    <t>889264172</t>
  </si>
  <si>
    <t>824024863</t>
  </si>
  <si>
    <t>910404144</t>
  </si>
  <si>
    <t>862200011</t>
  </si>
  <si>
    <t>881604946</t>
  </si>
  <si>
    <t>897541116</t>
  </si>
  <si>
    <t>897849923</t>
  </si>
  <si>
    <t>889612495</t>
  </si>
  <si>
    <t>381182864</t>
  </si>
  <si>
    <t>479204703</t>
  </si>
  <si>
    <t>421694779</t>
  </si>
  <si>
    <t>392621124</t>
  </si>
  <si>
    <t>978431377</t>
  </si>
  <si>
    <t>387679111</t>
  </si>
  <si>
    <t>912345295</t>
  </si>
  <si>
    <t>317425981</t>
  </si>
  <si>
    <t>329892368</t>
  </si>
  <si>
    <t>749986360</t>
  </si>
  <si>
    <t>893737692</t>
  </si>
  <si>
    <t>818019713</t>
  </si>
  <si>
    <t>315871640</t>
  </si>
  <si>
    <t>945752137</t>
  </si>
  <si>
    <t>709802557</t>
  </si>
  <si>
    <t>781843602</t>
  </si>
  <si>
    <t>786016030</t>
  </si>
  <si>
    <t>323037713</t>
  </si>
  <si>
    <t>407794551</t>
  </si>
  <si>
    <t>423806884</t>
  </si>
  <si>
    <t>383064557</t>
  </si>
  <si>
    <t>531049914</t>
  </si>
  <si>
    <t>130023385</t>
  </si>
  <si>
    <t>811565829</t>
  </si>
  <si>
    <t>331982199</t>
  </si>
  <si>
    <t>817389141</t>
  </si>
  <si>
    <t>962201588</t>
  </si>
  <si>
    <t>775758808</t>
  </si>
  <si>
    <t>842718512</t>
  </si>
  <si>
    <t>491485231</t>
  </si>
  <si>
    <t>830975421</t>
  </si>
  <si>
    <t>800034043</t>
  </si>
  <si>
    <t>877817825</t>
  </si>
  <si>
    <t>790493548</t>
  </si>
  <si>
    <t>215402579</t>
  </si>
  <si>
    <t>245400510</t>
  </si>
  <si>
    <t>215404393</t>
  </si>
  <si>
    <t>200070290</t>
  </si>
  <si>
    <t>245400601</t>
  </si>
  <si>
    <t>245400171</t>
  </si>
  <si>
    <t>215403957</t>
  </si>
  <si>
    <t>225400019</t>
  </si>
  <si>
    <t>884571845</t>
  </si>
  <si>
    <t>824641294</t>
  </si>
  <si>
    <t>500871827</t>
  </si>
  <si>
    <t>493360341</t>
  </si>
  <si>
    <t>912043676</t>
  </si>
  <si>
    <t>246900724</t>
  </si>
  <si>
    <t>378756431</t>
  </si>
  <si>
    <t>344817572</t>
  </si>
  <si>
    <t>833581903</t>
  </si>
  <si>
    <t>378310254</t>
  </si>
  <si>
    <t>327765350</t>
  </si>
  <si>
    <t>592028468</t>
  </si>
  <si>
    <t>495040222</t>
  </si>
  <si>
    <t>378012868</t>
  </si>
  <si>
    <t>338068190</t>
  </si>
  <si>
    <t>387854409</t>
  </si>
  <si>
    <t>315589952</t>
  </si>
  <si>
    <t>330288325</t>
  </si>
  <si>
    <t>215401571</t>
  </si>
  <si>
    <t>423528124</t>
  </si>
  <si>
    <t>348858093</t>
  </si>
  <si>
    <t>901101527</t>
  </si>
  <si>
    <t>333928190</t>
  </si>
  <si>
    <t>849403266</t>
  </si>
  <si>
    <t>351858394</t>
  </si>
  <si>
    <t>317612133</t>
  </si>
  <si>
    <t>719807406</t>
  </si>
  <si>
    <t>844518340</t>
  </si>
  <si>
    <t>840758304</t>
  </si>
  <si>
    <t>529788465</t>
  </si>
  <si>
    <t>409377736</t>
  </si>
  <si>
    <t>804060820</t>
  </si>
  <si>
    <t>304487093</t>
  </si>
  <si>
    <t>878188176</t>
  </si>
  <si>
    <t>399737006</t>
  </si>
  <si>
    <t>323998690</t>
  </si>
  <si>
    <t>840227060</t>
  </si>
  <si>
    <t>130017270</t>
  </si>
  <si>
    <t>380644716</t>
  </si>
  <si>
    <t>813602042</t>
  </si>
  <si>
    <t>379622160</t>
  </si>
  <si>
    <t>832973994</t>
  </si>
  <si>
    <t>579800038</t>
  </si>
  <si>
    <t>504483868</t>
  </si>
  <si>
    <t>775737646</t>
  </si>
  <si>
    <t>419552278</t>
  </si>
  <si>
    <t>317007342</t>
  </si>
  <si>
    <t>401610209</t>
  </si>
  <si>
    <t>384564423</t>
  </si>
  <si>
    <t>531156115</t>
  </si>
  <si>
    <t>643780380</t>
  </si>
  <si>
    <t>319665196</t>
  </si>
  <si>
    <t>438843740</t>
  </si>
  <si>
    <t>784538944</t>
  </si>
  <si>
    <t>412880445</t>
  </si>
  <si>
    <t>403761588</t>
  </si>
  <si>
    <t>391681616</t>
  </si>
  <si>
    <t>351597398</t>
  </si>
  <si>
    <t>341796506</t>
  </si>
  <si>
    <t>380622522</t>
  </si>
  <si>
    <t>481281269</t>
  </si>
  <si>
    <t>430069245</t>
  </si>
  <si>
    <t>888755311</t>
  </si>
  <si>
    <t>878513068</t>
  </si>
  <si>
    <t>381515733</t>
  </si>
  <si>
    <t>383000692</t>
  </si>
  <si>
    <t>398726018</t>
  </si>
  <si>
    <t>434967477</t>
  </si>
  <si>
    <t>518069117</t>
  </si>
  <si>
    <t>812089977</t>
  </si>
  <si>
    <t>340605807</t>
  </si>
  <si>
    <t>508806080</t>
  </si>
  <si>
    <t>521320408</t>
  </si>
  <si>
    <t>492853098</t>
  </si>
  <si>
    <t>351842471</t>
  </si>
  <si>
    <t>410218010</t>
  </si>
  <si>
    <t>266307867</t>
  </si>
  <si>
    <t>781985759</t>
  </si>
  <si>
    <t>349711325</t>
  </si>
  <si>
    <t>775688450</t>
  </si>
  <si>
    <t>218715407</t>
  </si>
  <si>
    <t>452714082</t>
  </si>
  <si>
    <t>392421442</t>
  </si>
  <si>
    <t>453231565</t>
  </si>
  <si>
    <t>176902302</t>
  </si>
  <si>
    <t>318811809</t>
  </si>
  <si>
    <t>440110088</t>
  </si>
  <si>
    <t>442825394</t>
  </si>
  <si>
    <t>776758302</t>
  </si>
  <si>
    <t>489263293</t>
  </si>
  <si>
    <t>491087565</t>
  </si>
  <si>
    <t>491196341</t>
  </si>
  <si>
    <t>493291223</t>
  </si>
  <si>
    <t>493373898</t>
  </si>
  <si>
    <t>493425136</t>
  </si>
  <si>
    <t>497673145</t>
  </si>
  <si>
    <t>514683838</t>
  </si>
  <si>
    <t>517741302</t>
  </si>
  <si>
    <t>533198834</t>
  </si>
  <si>
    <t>552141541</t>
  </si>
  <si>
    <t>605520584</t>
  </si>
  <si>
    <t>632011458</t>
  </si>
  <si>
    <t>681980041</t>
  </si>
  <si>
    <t>712042456</t>
  </si>
  <si>
    <t>712046093</t>
  </si>
  <si>
    <t>776086670</t>
  </si>
  <si>
    <t>780141271</t>
  </si>
  <si>
    <t>782812903</t>
  </si>
  <si>
    <t>808158745</t>
  </si>
  <si>
    <t>824423438</t>
  </si>
  <si>
    <t>831280425</t>
  </si>
  <si>
    <t>850302407</t>
  </si>
  <si>
    <t>872500913</t>
  </si>
  <si>
    <t>877641415</t>
  </si>
  <si>
    <t>880489786</t>
  </si>
  <si>
    <t>897692810</t>
  </si>
  <si>
    <t>898018916</t>
  </si>
  <si>
    <t>911124477</t>
  </si>
  <si>
    <t>926620212</t>
  </si>
  <si>
    <t>897603379</t>
  </si>
  <si>
    <t>410698096</t>
  </si>
  <si>
    <t>947350294</t>
  </si>
  <si>
    <t>318761012</t>
  </si>
  <si>
    <t>348610049</t>
  </si>
  <si>
    <t>384098992</t>
  </si>
  <si>
    <t>888959459</t>
  </si>
  <si>
    <t>811163054</t>
  </si>
  <si>
    <t>391007457</t>
  </si>
  <si>
    <t>502198856</t>
  </si>
  <si>
    <t>890915929</t>
  </si>
  <si>
    <t>838168011</t>
  </si>
  <si>
    <t>252601026</t>
  </si>
  <si>
    <t>435308002</t>
  </si>
  <si>
    <t>882060387</t>
  </si>
  <si>
    <t>904 300 9</t>
  </si>
  <si>
    <t>483927588</t>
  </si>
  <si>
    <t>000000000</t>
  </si>
  <si>
    <t>433929502</t>
  </si>
  <si>
    <t>406680314</t>
  </si>
  <si>
    <t>414996637</t>
  </si>
  <si>
    <t>FR8249757</t>
  </si>
  <si>
    <t>420527152</t>
  </si>
  <si>
    <t>908034796</t>
  </si>
  <si>
    <t>343123667</t>
  </si>
  <si>
    <t>342707502</t>
  </si>
  <si>
    <t>130022676</t>
  </si>
  <si>
    <t>498001494</t>
  </si>
  <si>
    <t>893476259</t>
  </si>
  <si>
    <t>918280827</t>
  </si>
  <si>
    <t>825378193</t>
  </si>
  <si>
    <t>316040252</t>
  </si>
  <si>
    <t>838210243</t>
  </si>
  <si>
    <t>950789495</t>
  </si>
  <si>
    <t>809134893</t>
  </si>
  <si>
    <t>380303107</t>
  </si>
  <si>
    <t>973102481</t>
  </si>
  <si>
    <t>TVA BE 04</t>
  </si>
  <si>
    <t>908511595</t>
  </si>
  <si>
    <t>493656573</t>
  </si>
  <si>
    <t>868800285</t>
  </si>
  <si>
    <t>313484883</t>
  </si>
  <si>
    <t>439289265</t>
  </si>
  <si>
    <t>413219692</t>
  </si>
  <si>
    <t>823053087</t>
  </si>
  <si>
    <t>804448587</t>
  </si>
  <si>
    <t>450130166</t>
  </si>
  <si>
    <t>442227690</t>
  </si>
  <si>
    <t>801284563</t>
  </si>
  <si>
    <t>BE0543696</t>
  </si>
  <si>
    <t>804606739</t>
  </si>
  <si>
    <t>802739136</t>
  </si>
  <si>
    <t>345360051</t>
  </si>
  <si>
    <t>834241846</t>
  </si>
  <si>
    <t>318771995</t>
  </si>
  <si>
    <t>IT0995751</t>
  </si>
  <si>
    <t>306486408</t>
  </si>
  <si>
    <t>494 413 4</t>
  </si>
  <si>
    <t>440 870 3</t>
  </si>
  <si>
    <t>497833418</t>
  </si>
  <si>
    <t>484981071</t>
  </si>
  <si>
    <t>155512780</t>
  </si>
  <si>
    <t>851253658</t>
  </si>
  <si>
    <t>0430.408.</t>
  </si>
  <si>
    <t>932812613</t>
  </si>
  <si>
    <t>830505681</t>
  </si>
  <si>
    <t>814077194</t>
  </si>
  <si>
    <t>883748998</t>
  </si>
  <si>
    <t>801764234</t>
  </si>
  <si>
    <t>810869891</t>
  </si>
  <si>
    <t>DE3094000</t>
  </si>
  <si>
    <t>489359067</t>
  </si>
  <si>
    <t>335324042</t>
  </si>
  <si>
    <t>829476258</t>
  </si>
  <si>
    <t>GB2713110</t>
  </si>
  <si>
    <t>888163169</t>
  </si>
  <si>
    <t>562 750 0</t>
  </si>
  <si>
    <t>505042044</t>
  </si>
  <si>
    <t>391087210</t>
  </si>
  <si>
    <t>456 500 5</t>
  </si>
  <si>
    <t>798100665</t>
  </si>
  <si>
    <t>501529291</t>
  </si>
  <si>
    <t>479 916 2</t>
  </si>
  <si>
    <t>439206368</t>
  </si>
  <si>
    <t>807886437</t>
  </si>
  <si>
    <t>W75127802</t>
  </si>
  <si>
    <t>408605913</t>
  </si>
  <si>
    <t>409554359</t>
  </si>
  <si>
    <t>919313932</t>
  </si>
  <si>
    <t>948055686</t>
  </si>
  <si>
    <t>834157513</t>
  </si>
  <si>
    <t>539 812 6</t>
  </si>
  <si>
    <t>499548444</t>
  </si>
  <si>
    <t>305 933 0</t>
  </si>
  <si>
    <t>FR2075116</t>
  </si>
  <si>
    <t>829634781</t>
  </si>
  <si>
    <t>431925031</t>
  </si>
  <si>
    <t>790208920</t>
  </si>
  <si>
    <t>312708274</t>
  </si>
  <si>
    <t>216701300</t>
  </si>
  <si>
    <t>434909362</t>
  </si>
  <si>
    <t>216702860</t>
  </si>
  <si>
    <t>397524448</t>
  </si>
  <si>
    <t>403894512</t>
  </si>
  <si>
    <t>792366585</t>
  </si>
  <si>
    <t>378093421</t>
  </si>
  <si>
    <t>835082306</t>
  </si>
  <si>
    <t>534886411</t>
  </si>
  <si>
    <t>305731069</t>
  </si>
  <si>
    <t>479096539</t>
  </si>
  <si>
    <t>438584948</t>
  </si>
  <si>
    <t>840052914</t>
  </si>
  <si>
    <t>539210559</t>
  </si>
  <si>
    <t>384174348</t>
  </si>
  <si>
    <t>822094876</t>
  </si>
  <si>
    <t>402335145</t>
  </si>
  <si>
    <t>823982954</t>
  </si>
  <si>
    <t>DE3544335</t>
  </si>
  <si>
    <t>529434896</t>
  </si>
  <si>
    <t>507991552</t>
  </si>
  <si>
    <t>500569405</t>
  </si>
  <si>
    <t>702000522</t>
  </si>
  <si>
    <t>401948245</t>
  </si>
  <si>
    <t>438549644</t>
  </si>
  <si>
    <t>056500382</t>
  </si>
  <si>
    <t>809443815</t>
  </si>
  <si>
    <t>401206107</t>
  </si>
  <si>
    <t>941966699</t>
  </si>
  <si>
    <t>318990892</t>
  </si>
  <si>
    <t>934595463</t>
  </si>
  <si>
    <t>352262711</t>
  </si>
  <si>
    <t>FR5580216</t>
  </si>
  <si>
    <t>931272652</t>
  </si>
  <si>
    <t>349173716</t>
  </si>
  <si>
    <t>499968378</t>
  </si>
  <si>
    <t>398248591</t>
  </si>
  <si>
    <t>391806312</t>
  </si>
  <si>
    <t>341149649</t>
  </si>
  <si>
    <t>400030870</t>
  </si>
  <si>
    <t>305730608</t>
  </si>
  <si>
    <t>409197696</t>
  </si>
  <si>
    <t>334665684</t>
  </si>
  <si>
    <t>400495909</t>
  </si>
  <si>
    <t>309124519</t>
  </si>
  <si>
    <t>838001733</t>
  </si>
  <si>
    <t>479608226</t>
  </si>
  <si>
    <t>808661011</t>
  </si>
  <si>
    <t>807 578 5</t>
  </si>
  <si>
    <t>842403842</t>
  </si>
  <si>
    <t>882 060 3</t>
  </si>
  <si>
    <t>525247920</t>
  </si>
  <si>
    <t>921721373</t>
  </si>
  <si>
    <t>432860021</t>
  </si>
  <si>
    <t>420705220</t>
  </si>
  <si>
    <t>058812652</t>
  </si>
  <si>
    <t>337953459</t>
  </si>
  <si>
    <t>325444693</t>
  </si>
  <si>
    <t>532511391</t>
  </si>
  <si>
    <t>060801396</t>
  </si>
  <si>
    <t>327467700</t>
  </si>
  <si>
    <t>901197376</t>
  </si>
  <si>
    <t>843411117</t>
  </si>
  <si>
    <t>329777452</t>
  </si>
  <si>
    <t>212202253</t>
  </si>
  <si>
    <t>794256487</t>
  </si>
  <si>
    <t>368500708</t>
  </si>
  <si>
    <t>329461289</t>
  </si>
  <si>
    <t>NDF DIVER</t>
  </si>
  <si>
    <t>828945469</t>
  </si>
  <si>
    <t>494348576</t>
  </si>
  <si>
    <t>492109293</t>
  </si>
  <si>
    <t>833996000</t>
  </si>
  <si>
    <t>414599506</t>
  </si>
  <si>
    <t>400186000</t>
  </si>
  <si>
    <t>401072000</t>
  </si>
  <si>
    <t>395253000</t>
  </si>
  <si>
    <t>330385000</t>
  </si>
  <si>
    <t>345326000</t>
  </si>
  <si>
    <t>328959000</t>
  </si>
  <si>
    <t>592027000</t>
  </si>
  <si>
    <t>492956000</t>
  </si>
  <si>
    <t>834983000</t>
  </si>
  <si>
    <t>440366000</t>
  </si>
  <si>
    <t>200052090</t>
  </si>
  <si>
    <t>930626882</t>
  </si>
  <si>
    <t>840396618</t>
  </si>
  <si>
    <t>452988967</t>
  </si>
  <si>
    <t>477181010</t>
  </si>
  <si>
    <t>489967687</t>
  </si>
  <si>
    <t>522903194</t>
  </si>
  <si>
    <t>539539320</t>
  </si>
  <si>
    <t>PL5252871</t>
  </si>
  <si>
    <t>559164706</t>
  </si>
  <si>
    <t>IT1256702</t>
  </si>
  <si>
    <t>BE0801128</t>
  </si>
  <si>
    <t>902261460</t>
  </si>
  <si>
    <t>433816808</t>
  </si>
  <si>
    <t>753406016</t>
  </si>
  <si>
    <t>947986451</t>
  </si>
  <si>
    <t>421131000</t>
  </si>
  <si>
    <t>482001000</t>
  </si>
  <si>
    <t>342389000</t>
  </si>
  <si>
    <t>417604000</t>
  </si>
  <si>
    <t>440003000</t>
  </si>
  <si>
    <t>430432000</t>
  </si>
  <si>
    <t>348624000</t>
  </si>
  <si>
    <t>431716000</t>
  </si>
  <si>
    <t>445178000</t>
  </si>
  <si>
    <t>424860000</t>
  </si>
  <si>
    <t>492843000</t>
  </si>
  <si>
    <t>421995000</t>
  </si>
  <si>
    <t>440577000</t>
  </si>
  <si>
    <t>437643000</t>
  </si>
  <si>
    <t>399720000</t>
  </si>
  <si>
    <t>433081000</t>
  </si>
  <si>
    <t>310269000</t>
  </si>
  <si>
    <t>520172000</t>
  </si>
  <si>
    <t>389819000</t>
  </si>
  <si>
    <t>770500000</t>
  </si>
  <si>
    <t>305525000</t>
  </si>
  <si>
    <t>869801000</t>
  </si>
  <si>
    <t>822786067</t>
  </si>
  <si>
    <t>792666745</t>
  </si>
  <si>
    <t>646950519</t>
  </si>
  <si>
    <t>389191412</t>
  </si>
  <si>
    <t>831025960</t>
  </si>
  <si>
    <t>490596384</t>
  </si>
  <si>
    <t>385082391</t>
  </si>
  <si>
    <t>437528326</t>
  </si>
  <si>
    <t>380927475</t>
  </si>
  <si>
    <t>442091062</t>
  </si>
  <si>
    <t>492931944</t>
  </si>
  <si>
    <t xml:space="preserve"> 91865116</t>
  </si>
  <si>
    <t>889958781</t>
  </si>
  <si>
    <t>920697851</t>
  </si>
  <si>
    <t>843982794</t>
  </si>
  <si>
    <t>562106385</t>
  </si>
  <si>
    <t>775637648</t>
  </si>
  <si>
    <t>350544896</t>
  </si>
  <si>
    <t>419013297</t>
  </si>
  <si>
    <t>412773368</t>
  </si>
  <si>
    <t>383491750</t>
  </si>
  <si>
    <t>349844357</t>
  </si>
  <si>
    <t>900781147</t>
  </si>
  <si>
    <t>350251211</t>
  </si>
  <si>
    <t>951547801</t>
  </si>
  <si>
    <t>658036370</t>
  </si>
  <si>
    <t>801577511</t>
  </si>
  <si>
    <t>789612090</t>
  </si>
  <si>
    <t>311878276</t>
  </si>
  <si>
    <t>480827138</t>
  </si>
  <si>
    <t>514032838</t>
  </si>
  <si>
    <t>492774690</t>
  </si>
  <si>
    <t>318413705</t>
  </si>
  <si>
    <t>834982845</t>
  </si>
  <si>
    <t>331152991</t>
  </si>
  <si>
    <t>819339524</t>
  </si>
  <si>
    <t>777746678</t>
  </si>
  <si>
    <t>378183818</t>
  </si>
  <si>
    <t>902833276</t>
  </si>
  <si>
    <t>405325069</t>
  </si>
  <si>
    <t>908816697</t>
  </si>
  <si>
    <t>977522010</t>
  </si>
  <si>
    <t>499449759</t>
  </si>
  <si>
    <t>822150025</t>
  </si>
  <si>
    <t>MONTA DAN</t>
  </si>
  <si>
    <t>424982650</t>
  </si>
  <si>
    <t>390662963</t>
  </si>
  <si>
    <t>CHE236291</t>
  </si>
  <si>
    <t>81560015D</t>
  </si>
  <si>
    <t>752056416</t>
  </si>
  <si>
    <t>900458167</t>
  </si>
  <si>
    <t>898270251</t>
  </si>
  <si>
    <t>849100243</t>
  </si>
  <si>
    <t>308635770</t>
  </si>
  <si>
    <t>912432002</t>
  </si>
  <si>
    <t>DE2597976</t>
  </si>
  <si>
    <t>822762613</t>
  </si>
  <si>
    <t>844256354</t>
  </si>
  <si>
    <t>753996693</t>
  </si>
  <si>
    <t>830965323</t>
  </si>
  <si>
    <t>789479201</t>
  </si>
  <si>
    <t>980825202</t>
  </si>
  <si>
    <t>841563042</t>
  </si>
  <si>
    <t>321702755</t>
  </si>
  <si>
    <t>325921278</t>
  </si>
  <si>
    <t>443586730</t>
  </si>
  <si>
    <t>881246581</t>
  </si>
  <si>
    <t>987 845 7</t>
  </si>
  <si>
    <t>880147665</t>
  </si>
  <si>
    <t>843127390</t>
  </si>
  <si>
    <t>8513.69.4</t>
  </si>
  <si>
    <t>849249487</t>
  </si>
  <si>
    <t>BE0792184</t>
  </si>
  <si>
    <t>391 955 7</t>
  </si>
  <si>
    <t>FR0885330</t>
  </si>
  <si>
    <t>410 307 6</t>
  </si>
  <si>
    <t>982399834</t>
  </si>
  <si>
    <t>328751466</t>
  </si>
  <si>
    <t>331901397</t>
  </si>
  <si>
    <t>939114773</t>
  </si>
  <si>
    <t>833184740</t>
  </si>
  <si>
    <t>DE3195765</t>
  </si>
  <si>
    <t>GB2909915</t>
  </si>
  <si>
    <t>522075308</t>
  </si>
  <si>
    <t>980677926</t>
  </si>
  <si>
    <t>537915308</t>
  </si>
  <si>
    <t>382054690</t>
  </si>
  <si>
    <t>326793999</t>
  </si>
  <si>
    <t>878985878</t>
  </si>
  <si>
    <t>830867693</t>
  </si>
  <si>
    <t>920266608</t>
  </si>
  <si>
    <t>978 335 3</t>
  </si>
  <si>
    <t>939420253</t>
  </si>
  <si>
    <t>519191902</t>
  </si>
  <si>
    <t>329035422</t>
  </si>
  <si>
    <t>216701763</t>
  </si>
  <si>
    <t>492187968</t>
  </si>
  <si>
    <t>439684903</t>
  </si>
  <si>
    <t>389795451</t>
  </si>
  <si>
    <t>392026886</t>
  </si>
  <si>
    <t>345271985</t>
  </si>
  <si>
    <t>884070913</t>
  </si>
  <si>
    <t>421123027</t>
  </si>
  <si>
    <t>927618066</t>
  </si>
  <si>
    <t>448970251</t>
  </si>
  <si>
    <t>303275473</t>
  </si>
  <si>
    <t>348964446</t>
  </si>
  <si>
    <t>795315563</t>
  </si>
  <si>
    <t>432887024</t>
  </si>
  <si>
    <t>831039557</t>
  </si>
  <si>
    <t>440133353</t>
  </si>
  <si>
    <t>938097425</t>
  </si>
  <si>
    <t>501572853</t>
  </si>
  <si>
    <t>682011440</t>
  </si>
  <si>
    <t>401090519</t>
  </si>
  <si>
    <t>514080837</t>
  </si>
  <si>
    <t>334960358</t>
  </si>
  <si>
    <t>333454106</t>
  </si>
  <si>
    <t>795255652</t>
  </si>
  <si>
    <t>403891997</t>
  </si>
  <si>
    <t>414001305</t>
  </si>
  <si>
    <t>378970206</t>
  </si>
  <si>
    <t>778329524</t>
  </si>
  <si>
    <t>311999833</t>
  </si>
  <si>
    <t>775724420</t>
  </si>
  <si>
    <t>420175903</t>
  </si>
  <si>
    <t>814395836</t>
  </si>
  <si>
    <t>373200518</t>
  </si>
  <si>
    <t>414770479</t>
  </si>
  <si>
    <t>493479489</t>
  </si>
  <si>
    <t>395347206</t>
  </si>
  <si>
    <t>424246015</t>
  </si>
  <si>
    <t>379677636</t>
  </si>
  <si>
    <t>216704528</t>
  </si>
  <si>
    <t>216700252</t>
  </si>
  <si>
    <t>780358206</t>
  </si>
  <si>
    <t>661780221</t>
  </si>
  <si>
    <t>394049449</t>
  </si>
  <si>
    <t>325741601</t>
  </si>
  <si>
    <t>478076623</t>
  </si>
  <si>
    <t>439930553</t>
  </si>
  <si>
    <t>404350639</t>
  </si>
  <si>
    <t>799403050</t>
  </si>
  <si>
    <t>457208619</t>
  </si>
  <si>
    <t>509467320</t>
  </si>
  <si>
    <t>760200477</t>
  </si>
  <si>
    <t>385024922</t>
  </si>
  <si>
    <t>086719409</t>
  </si>
  <si>
    <t>840727705</t>
  </si>
  <si>
    <t>913705380</t>
  </si>
  <si>
    <t>878586221</t>
  </si>
  <si>
    <t xml:space="preserve"> BE 08042</t>
  </si>
  <si>
    <t>814032314</t>
  </si>
  <si>
    <t>494 009 2</t>
  </si>
  <si>
    <t>454000241</t>
  </si>
  <si>
    <t>CHE-394.8</t>
  </si>
  <si>
    <t>848820239</t>
  </si>
  <si>
    <t>509730008</t>
  </si>
  <si>
    <t>TVA</t>
  </si>
  <si>
    <t>FR50789428919</t>
  </si>
  <si>
    <t>FR82810842294</t>
  </si>
  <si>
    <t>FR56819711060</t>
  </si>
  <si>
    <t>FR33423507730</t>
  </si>
  <si>
    <t>FR37678200502</t>
  </si>
  <si>
    <t>FR01429309354</t>
  </si>
  <si>
    <t>FR23130018351</t>
  </si>
  <si>
    <t>FR35440048882</t>
  </si>
  <si>
    <t>FR57792809048</t>
  </si>
  <si>
    <t>FR00303656847</t>
  </si>
  <si>
    <t>FR35197534720</t>
  </si>
  <si>
    <t>FR53792955064</t>
  </si>
  <si>
    <t>FR95799911045</t>
  </si>
  <si>
    <t>FR92518969944</t>
  </si>
  <si>
    <t>FR03552081317</t>
  </si>
  <si>
    <t>FR22973505357</t>
  </si>
  <si>
    <t>FR17329778112</t>
  </si>
  <si>
    <t>FR44652930129</t>
  </si>
  <si>
    <t>FR26311799456</t>
  </si>
  <si>
    <t>FR84403201767</t>
  </si>
  <si>
    <t>FR46505341461</t>
  </si>
  <si>
    <t>FR12443222682</t>
  </si>
  <si>
    <t>FR82418647335</t>
  </si>
  <si>
    <t>FR78393070503</t>
  </si>
  <si>
    <t>FR72512299215</t>
  </si>
  <si>
    <t>FR75487629982</t>
  </si>
  <si>
    <t>FR65200050425</t>
  </si>
  <si>
    <t>FR80216700674</t>
  </si>
  <si>
    <t>FR83216703488</t>
  </si>
  <si>
    <t>FR39216703538</t>
  </si>
  <si>
    <t>FR46216704478</t>
  </si>
  <si>
    <t>FR18592014476</t>
  </si>
  <si>
    <t>FR37478792849</t>
  </si>
  <si>
    <t>FR61954506077</t>
  </si>
  <si>
    <t>FR04791354871</t>
  </si>
  <si>
    <t>FR65517797981</t>
  </si>
  <si>
    <t>FR17334668852</t>
  </si>
  <si>
    <t>FR58792040388</t>
  </si>
  <si>
    <t>FR44842070138</t>
  </si>
  <si>
    <t>FR29515180909</t>
  </si>
  <si>
    <t>FR44433250834</t>
  </si>
  <si>
    <t>FR08525134169</t>
  </si>
  <si>
    <t>FR68752925594</t>
  </si>
  <si>
    <t>FR02401449855</t>
  </si>
  <si>
    <t>FR13403200256</t>
  </si>
  <si>
    <t>FR61442848925</t>
  </si>
  <si>
    <t>FR95379012719</t>
  </si>
  <si>
    <t>FR16880543756</t>
  </si>
  <si>
    <t>FR53391967734</t>
  </si>
  <si>
    <t>FR82381192434</t>
  </si>
  <si>
    <t>FR46790704597</t>
  </si>
  <si>
    <t>FR27512057282</t>
  </si>
  <si>
    <t>FR30322813775</t>
  </si>
  <si>
    <t>FR16322960014</t>
  </si>
  <si>
    <t>FR66254200546</t>
  </si>
  <si>
    <t>FR75216802975</t>
  </si>
  <si>
    <t>FR09252701974</t>
  </si>
  <si>
    <t>FR95335146312</t>
  </si>
  <si>
    <t>FR73834064479</t>
  </si>
  <si>
    <t>FR70562136036</t>
  </si>
  <si>
    <t>FR06302565502</t>
  </si>
  <si>
    <t>FR60531262905</t>
  </si>
  <si>
    <t>FR48444384366</t>
  </si>
  <si>
    <t>FR81830702882</t>
  </si>
  <si>
    <t>FR27840565824</t>
  </si>
  <si>
    <t>FR74442231783</t>
  </si>
  <si>
    <t>FR95382634699</t>
  </si>
  <si>
    <t>FR01408363174</t>
  </si>
  <si>
    <t>FR67433891850</t>
  </si>
  <si>
    <t>FR70353347222</t>
  </si>
  <si>
    <t>FR16332564954</t>
  </si>
  <si>
    <t>FR67524536992</t>
  </si>
  <si>
    <t>FR38309624914</t>
  </si>
  <si>
    <t>FR00419423728</t>
  </si>
  <si>
    <t>FR42428635056</t>
  </si>
  <si>
    <t>FR41382597821</t>
  </si>
  <si>
    <t>FR50403253586</t>
  </si>
  <si>
    <t>FR00402254437</t>
  </si>
  <si>
    <t>FR35433115904</t>
  </si>
  <si>
    <t>FR22424761419</t>
  </si>
  <si>
    <t>FR17499326643</t>
  </si>
  <si>
    <t>FR52219400595</t>
  </si>
  <si>
    <t>FR73245400676</t>
  </si>
  <si>
    <t>FR13857500144</t>
  </si>
  <si>
    <t>FR50490657376</t>
  </si>
  <si>
    <t>FR93423458280</t>
  </si>
  <si>
    <t>FR75747251064</t>
  </si>
  <si>
    <t>FR95389818907</t>
  </si>
  <si>
    <t>FR80414894857</t>
  </si>
  <si>
    <t>FR32388739179</t>
  </si>
  <si>
    <t>FR31388758708</t>
  </si>
  <si>
    <t>FR47401070891</t>
  </si>
  <si>
    <t>FR83394204176</t>
  </si>
  <si>
    <t>FR24568006590</t>
  </si>
  <si>
    <t>FR72848545059</t>
  </si>
  <si>
    <t>FR60434085395</t>
  </si>
  <si>
    <t>FR93306552910</t>
  </si>
  <si>
    <t>FR40348552696</t>
  </si>
  <si>
    <t>FR25200053742</t>
  </si>
  <si>
    <t>FR45385107180</t>
  </si>
  <si>
    <t>FR23349691535</t>
  </si>
  <si>
    <t>FR34417531431</t>
  </si>
  <si>
    <t>FR89784352437</t>
  </si>
  <si>
    <t>FR89538133166</t>
  </si>
  <si>
    <t>FR49432786432</t>
  </si>
  <si>
    <t>FR32488181348</t>
  </si>
  <si>
    <t>FR31824513360</t>
  </si>
  <si>
    <t>FR75451540744</t>
  </si>
  <si>
    <t>FR76334983087</t>
  </si>
  <si>
    <t>FR78434784674</t>
  </si>
  <si>
    <t>FR77492888482</t>
  </si>
  <si>
    <t>FR71444517296</t>
  </si>
  <si>
    <t>FR55339644221</t>
  </si>
  <si>
    <t>FR62828966317</t>
  </si>
  <si>
    <t>FR32432993780</t>
  </si>
  <si>
    <t>FR11751517038</t>
  </si>
  <si>
    <t>FR30841448137</t>
  </si>
  <si>
    <t>FR01801718156</t>
  </si>
  <si>
    <t>FR08332548817</t>
  </si>
  <si>
    <t>FR27522800614</t>
  </si>
  <si>
    <t>FR57498569151</t>
  </si>
  <si>
    <t>FR63775728223</t>
  </si>
  <si>
    <t>FR65851154583</t>
  </si>
  <si>
    <t>FR90488404823</t>
  </si>
  <si>
    <t>FR60337508121</t>
  </si>
  <si>
    <t>FR71419671425</t>
  </si>
  <si>
    <t>FR68352256424</t>
  </si>
  <si>
    <t>FR40820893808</t>
  </si>
  <si>
    <t>FR46515401719</t>
  </si>
  <si>
    <t>FR67391504693</t>
  </si>
  <si>
    <t>FR68813144649</t>
  </si>
  <si>
    <t>FR95440315943</t>
  </si>
  <si>
    <t>FR72217500016</t>
  </si>
  <si>
    <t>FR74397480930</t>
  </si>
  <si>
    <t>FR58825404023</t>
  </si>
  <si>
    <t>FR80200039857</t>
  </si>
  <si>
    <t>FR60200039915</t>
  </si>
  <si>
    <t>FR80483425260</t>
  </si>
  <si>
    <t>FR93692036924</t>
  </si>
  <si>
    <t>FR32240600585</t>
  </si>
  <si>
    <t>FR40519085971</t>
  </si>
  <si>
    <t>FR85387837032</t>
  </si>
  <si>
    <t>FR22393984968</t>
  </si>
  <si>
    <t>FR29822910790</t>
  </si>
  <si>
    <t>FR82383960135</t>
  </si>
  <si>
    <t>FR51892380031</t>
  </si>
  <si>
    <t>FR34843202060</t>
  </si>
  <si>
    <t>FR70388734568</t>
  </si>
  <si>
    <t>FR42456500537</t>
  </si>
  <si>
    <t>FR66488662156</t>
  </si>
  <si>
    <t>FR46380414482</t>
  </si>
  <si>
    <t>FR44306807454</t>
  </si>
  <si>
    <t>FR84530974047</t>
  </si>
  <si>
    <t>FR74420540643</t>
  </si>
  <si>
    <t>FR79420291387</t>
  </si>
  <si>
    <t>FR66444608442</t>
  </si>
  <si>
    <t>FR81824132005</t>
  </si>
  <si>
    <t>FR82449930320</t>
  </si>
  <si>
    <t>FR04431961044</t>
  </si>
  <si>
    <t>FR08322791393</t>
  </si>
  <si>
    <t>FR00806420360</t>
  </si>
  <si>
    <t>FR23200080869</t>
  </si>
  <si>
    <t>FR21632041042</t>
  </si>
  <si>
    <t>FR42500494984</t>
  </si>
  <si>
    <t>FR04351329503</t>
  </si>
  <si>
    <t>FR92309020816</t>
  </si>
  <si>
    <t>FR92343282380</t>
  </si>
  <si>
    <t>FR60421938861</t>
  </si>
  <si>
    <t>FR88818611220</t>
  </si>
  <si>
    <t>FR62382613057</t>
  </si>
  <si>
    <t>FR22514933589</t>
  </si>
  <si>
    <t>FR10552062663</t>
  </si>
  <si>
    <t>FR50334556537</t>
  </si>
  <si>
    <t>FR35305545675</t>
  </si>
  <si>
    <t>FR07794514356</t>
  </si>
  <si>
    <t>FR59712063759</t>
  </si>
  <si>
    <t>FR71410290167</t>
  </si>
  <si>
    <t>FR04545750580</t>
  </si>
  <si>
    <t>FR39522761139</t>
  </si>
  <si>
    <t>FR71320229644</t>
  </si>
  <si>
    <t>FR92483205753</t>
  </si>
  <si>
    <t>FR27434646626</t>
  </si>
  <si>
    <t>FR01438843872</t>
  </si>
  <si>
    <t>FR75504352006</t>
  </si>
  <si>
    <t>FR41537845836</t>
  </si>
  <si>
    <t>FR29389749045</t>
  </si>
  <si>
    <t>FR39356000000</t>
  </si>
  <si>
    <t>FR89380129866</t>
  </si>
  <si>
    <t>FR19969501196</t>
  </si>
  <si>
    <t>FR18444713283</t>
  </si>
  <si>
    <t>FR65829825835</t>
  </si>
  <si>
    <t>FR22200046175</t>
  </si>
  <si>
    <t>FR59352532774</t>
  </si>
  <si>
    <t>FR47732007828</t>
  </si>
  <si>
    <t>FR73622050318</t>
  </si>
  <si>
    <t>FR85402559595</t>
  </si>
  <si>
    <t>FR39388055493</t>
  </si>
  <si>
    <t>FR01959505728</t>
  </si>
  <si>
    <t>FR13679804971</t>
  </si>
  <si>
    <t>FR71751918541</t>
  </si>
  <si>
    <t>FR18394461560</t>
  </si>
  <si>
    <t>FR66343989372</t>
  </si>
  <si>
    <t>FR10331843078</t>
  </si>
  <si>
    <t>FR27433981206</t>
  </si>
  <si>
    <t>FR81419357504</t>
  </si>
  <si>
    <t>FR03879321487</t>
  </si>
  <si>
    <t>FR14501555023</t>
  </si>
  <si>
    <t>FR38488985771</t>
  </si>
  <si>
    <t>FR87493198659</t>
  </si>
  <si>
    <t>FR50517762183</t>
  </si>
  <si>
    <t>FR73490934254</t>
  </si>
  <si>
    <t>FR33388245029</t>
  </si>
  <si>
    <t>FR87434231098</t>
  </si>
  <si>
    <t>FR85807437595</t>
  </si>
  <si>
    <t>FR45891624884</t>
  </si>
  <si>
    <t>FR08887504926</t>
  </si>
  <si>
    <t>FR52379063662</t>
  </si>
  <si>
    <t>FR71812611150</t>
  </si>
  <si>
    <t>FR76410339477</t>
  </si>
  <si>
    <t>FR92389996125</t>
  </si>
  <si>
    <t>FR00326876901</t>
  </si>
  <si>
    <t>FR46511237315</t>
  </si>
  <si>
    <t>FR08510367956</t>
  </si>
  <si>
    <t>FR17319755393</t>
  </si>
  <si>
    <t>FR24451276984</t>
  </si>
  <si>
    <t>FR16792039695</t>
  </si>
  <si>
    <t>FR00384674545</t>
  </si>
  <si>
    <t>FR04332746825</t>
  </si>
  <si>
    <t>FR57398636647</t>
  </si>
  <si>
    <t>FR28478281850</t>
  </si>
  <si>
    <t>FR69402262414</t>
  </si>
  <si>
    <t>FR30397485830</t>
  </si>
  <si>
    <t>FR03848221735</t>
  </si>
  <si>
    <t>FR03538809971</t>
  </si>
  <si>
    <t>FR33317306116</t>
  </si>
  <si>
    <t>FR20478090434</t>
  </si>
  <si>
    <t>FR78798066940</t>
  </si>
  <si>
    <t>FR63817804883</t>
  </si>
  <si>
    <t>FR47444963391</t>
  </si>
  <si>
    <t>FR56453608713</t>
  </si>
  <si>
    <t>FR55542086616</t>
  </si>
  <si>
    <t>FR30524555539</t>
  </si>
  <si>
    <t>FR26309304616</t>
  </si>
  <si>
    <t>FR68334534039</t>
  </si>
  <si>
    <t>FR81825234313</t>
  </si>
  <si>
    <t>FR41562077503</t>
  </si>
  <si>
    <t>FR93421106709</t>
  </si>
  <si>
    <t>FR05492041066</t>
  </si>
  <si>
    <t>FR35252803283</t>
  </si>
  <si>
    <t>FR94255601106</t>
  </si>
  <si>
    <t>FR19257600445</t>
  </si>
  <si>
    <t>FR87200045938</t>
  </si>
  <si>
    <t>FR83444302251</t>
  </si>
  <si>
    <t>FR13452717010</t>
  </si>
  <si>
    <t>FR71343059564</t>
  </si>
  <si>
    <t>FR83493799605</t>
  </si>
  <si>
    <t>FR77403609779</t>
  </si>
  <si>
    <t>FR69349100594</t>
  </si>
  <si>
    <t>FR54518991336</t>
  </si>
  <si>
    <t>FR50703780247</t>
  </si>
  <si>
    <t>FR43519589402</t>
  </si>
  <si>
    <t>FR68450889225</t>
  </si>
  <si>
    <t>FR03723650164</t>
  </si>
  <si>
    <t>FR76258302744</t>
  </si>
  <si>
    <t>FR16433887759</t>
  </si>
  <si>
    <t>FR76821401130</t>
  </si>
  <si>
    <t>FR44390412724</t>
  </si>
  <si>
    <t>FR53510602808</t>
  </si>
  <si>
    <t>FR22531680445</t>
  </si>
  <si>
    <t>FR23334175221</t>
  </si>
  <si>
    <t>FR79402125033</t>
  </si>
  <si>
    <t>FR50419235015</t>
  </si>
  <si>
    <t>FR93751999996</t>
  </si>
  <si>
    <t>FR92384308821</t>
  </si>
  <si>
    <t>FR72866819277</t>
  </si>
  <si>
    <t>FR27439398462</t>
  </si>
  <si>
    <t>FR06794389452</t>
  </si>
  <si>
    <t>FR67479076002</t>
  </si>
  <si>
    <t>FR59413871500</t>
  </si>
  <si>
    <t>FR51839803897</t>
  </si>
  <si>
    <t>FR58332680107</t>
  </si>
  <si>
    <t>FR91418895561</t>
  </si>
  <si>
    <t>FR46352880256</t>
  </si>
  <si>
    <t>FR56315535906</t>
  </si>
  <si>
    <t>FR04531876670</t>
  </si>
  <si>
    <t>FR95528743859</t>
  </si>
  <si>
    <t>FR63794519645</t>
  </si>
  <si>
    <t>FR28400826962</t>
  </si>
  <si>
    <t>FR05522613041</t>
  </si>
  <si>
    <t>FR05256102922</t>
  </si>
  <si>
    <t>FR78453384133</t>
  </si>
  <si>
    <t xml:space="preserve">FR28 807 789 </t>
  </si>
  <si>
    <t>FR78692012669</t>
  </si>
  <si>
    <t>FR20304381379</t>
  </si>
  <si>
    <t>FR00537527145</t>
  </si>
  <si>
    <t>FR22794622613</t>
  </si>
  <si>
    <t>FR77775726417</t>
  </si>
  <si>
    <t>FR77381166792</t>
  </si>
  <si>
    <t>FR80384841250</t>
  </si>
  <si>
    <t>FR22339453508</t>
  </si>
  <si>
    <t>FR35399256890</t>
  </si>
  <si>
    <t>FR88487820268</t>
  </si>
  <si>
    <t>FR41384229167</t>
  </si>
  <si>
    <t>FR02822193660</t>
  </si>
  <si>
    <t>FR51958506289</t>
  </si>
  <si>
    <t>FR12834096695</t>
  </si>
  <si>
    <t>FR57520901364</t>
  </si>
  <si>
    <t>FR65831670872</t>
  </si>
  <si>
    <t>FR40339508319</t>
  </si>
  <si>
    <t>FR24391820446</t>
  </si>
  <si>
    <t>FR60393168273</t>
  </si>
  <si>
    <t>FR70539998211</t>
  </si>
  <si>
    <t>FR85539188169</t>
  </si>
  <si>
    <t>FR71419855143</t>
  </si>
  <si>
    <t>FR60378615363</t>
  </si>
  <si>
    <t>FR96790182786</t>
  </si>
  <si>
    <t>FR86847794898</t>
  </si>
  <si>
    <t>FR13572078905</t>
  </si>
  <si>
    <t>FR17259102457</t>
  </si>
  <si>
    <t>FR05398598250</t>
  </si>
  <si>
    <t>FR53345351183</t>
  </si>
  <si>
    <t>FR81775563232</t>
  </si>
  <si>
    <t>FR76305443483</t>
  </si>
  <si>
    <t>FR58434380242</t>
  </si>
  <si>
    <t>FR60306589953</t>
  </si>
  <si>
    <t>FR48479292047</t>
  </si>
  <si>
    <t>FR90804575256</t>
  </si>
  <si>
    <t>FR20351528229</t>
  </si>
  <si>
    <t>FR94433725116</t>
  </si>
  <si>
    <t>FR22255002883</t>
  </si>
  <si>
    <t>FR02252901145</t>
  </si>
  <si>
    <t>FR50582071437</t>
  </si>
  <si>
    <t>FR41448180588</t>
  </si>
  <si>
    <t>FR84442768552</t>
  </si>
  <si>
    <t>FR30430347393</t>
  </si>
  <si>
    <t>FR59494926058</t>
  </si>
  <si>
    <t>FR77532792439</t>
  </si>
  <si>
    <t>FR02398535781</t>
  </si>
  <si>
    <t>FR40413922063</t>
  </si>
  <si>
    <t>FR74200014926</t>
  </si>
  <si>
    <t>FR56538600404</t>
  </si>
  <si>
    <t>FR63819130873</t>
  </si>
  <si>
    <t>FR14251001889</t>
  </si>
  <si>
    <t>FR08814368866</t>
  </si>
  <si>
    <t>FR32330581083</t>
  </si>
  <si>
    <t>FR57900111709</t>
  </si>
  <si>
    <t>FR19885354860</t>
  </si>
  <si>
    <t>FR22902693126</t>
  </si>
  <si>
    <t>FR64524935855</t>
  </si>
  <si>
    <t>FR35819926684</t>
  </si>
  <si>
    <t>FR50200093391</t>
  </si>
  <si>
    <t>FR09778114793</t>
  </si>
  <si>
    <t>FR82575851258</t>
  </si>
  <si>
    <t>FR39482064110</t>
  </si>
  <si>
    <t>FR13837521442</t>
  </si>
  <si>
    <t>FR09381973098</t>
  </si>
  <si>
    <t>FR16391063617</t>
  </si>
  <si>
    <t>FR88321255069</t>
  </si>
  <si>
    <t>FR53572139996</t>
  </si>
  <si>
    <t>FR63497842914</t>
  </si>
  <si>
    <t>FR46902657923</t>
  </si>
  <si>
    <t>FR27402423420</t>
  </si>
  <si>
    <t>FR52751479254</t>
  </si>
  <si>
    <t>FR08490999190</t>
  </si>
  <si>
    <t>FR83442814950</t>
  </si>
  <si>
    <t>FR27499495588</t>
  </si>
  <si>
    <t>FR90662821008</t>
  </si>
  <si>
    <t>FR65791430713</t>
  </si>
  <si>
    <t>FR93490873668</t>
  </si>
  <si>
    <t>FR14433127537</t>
  </si>
  <si>
    <t>FR84351874896</t>
  </si>
  <si>
    <t>FR90521096248</t>
  </si>
  <si>
    <t>FR56403214885</t>
  </si>
  <si>
    <t>FR23485308787</t>
  </si>
  <si>
    <t>FR44481935716</t>
  </si>
  <si>
    <t>FR65219200359</t>
  </si>
  <si>
    <t>FR58662029057</t>
  </si>
  <si>
    <t>FR42665009700</t>
  </si>
  <si>
    <t>FR92809675549</t>
  </si>
  <si>
    <t>FR95341531531</t>
  </si>
  <si>
    <t>FR82415055037</t>
  </si>
  <si>
    <t>FR76533670709</t>
  </si>
  <si>
    <t>FR68467800496</t>
  </si>
  <si>
    <t>FR36431817915</t>
  </si>
  <si>
    <t>FR06799827951</t>
  </si>
  <si>
    <t>FR87322417452</t>
  </si>
  <si>
    <t>FR07850288580</t>
  </si>
  <si>
    <t>FR48572154318</t>
  </si>
  <si>
    <t>FR74799025234</t>
  </si>
  <si>
    <t>FR79224900019</t>
  </si>
  <si>
    <t>FR12389643859</t>
  </si>
  <si>
    <t>FR92893467738</t>
  </si>
  <si>
    <t>FR48257400085</t>
  </si>
  <si>
    <t>FR49335042636</t>
  </si>
  <si>
    <t>FR60422993154</t>
  </si>
  <si>
    <t>FR53411088859</t>
  </si>
  <si>
    <t>FR44432709574</t>
  </si>
  <si>
    <t>FR48510992811</t>
  </si>
  <si>
    <t>FR28410299788</t>
  </si>
  <si>
    <t>FR18751176538</t>
  </si>
  <si>
    <t>FR89330892084</t>
  </si>
  <si>
    <t>FR22798025276</t>
  </si>
  <si>
    <t>FR93377853536</t>
  </si>
  <si>
    <t>FR37399392141</t>
  </si>
  <si>
    <t>FR15200055614</t>
  </si>
  <si>
    <t>FR89200050433</t>
  </si>
  <si>
    <t>FR09451192298</t>
  </si>
  <si>
    <t>FR16453635310</t>
  </si>
  <si>
    <t>FR17790490767</t>
  </si>
  <si>
    <t>FR31490068806</t>
  </si>
  <si>
    <t>FR15511774135</t>
  </si>
  <si>
    <t>FR72391378239</t>
  </si>
  <si>
    <t>FR16790184279</t>
  </si>
  <si>
    <t>FR60778870246</t>
  </si>
  <si>
    <t>FR05407997162</t>
  </si>
  <si>
    <t>FR78448665471</t>
  </si>
  <si>
    <t>FR76429584568</t>
  </si>
  <si>
    <t>FR30378744460</t>
  </si>
  <si>
    <t>FR85216900431</t>
  </si>
  <si>
    <t>FR44216700468</t>
  </si>
  <si>
    <t>FR34487884173</t>
  </si>
  <si>
    <t>FR77497933937</t>
  </si>
  <si>
    <t>FR19805340239</t>
  </si>
  <si>
    <t>FR05401752399</t>
  </si>
  <si>
    <t>FR54782354096</t>
  </si>
  <si>
    <t>FR72453929465</t>
  </si>
  <si>
    <t>FR40332235647</t>
  </si>
  <si>
    <t>FR17391248176</t>
  </si>
  <si>
    <t>FR68310520622</t>
  </si>
  <si>
    <t>FR38776944142</t>
  </si>
  <si>
    <t>FR28388334526</t>
  </si>
  <si>
    <t>FR39842032468</t>
  </si>
  <si>
    <t>FR11390112886</t>
  </si>
  <si>
    <t>FR23381069483</t>
  </si>
  <si>
    <t>FR76216704585</t>
  </si>
  <si>
    <t>FR87524460789</t>
  </si>
  <si>
    <t>FR29130022718</t>
  </si>
  <si>
    <t>FR34262100183</t>
  </si>
  <si>
    <t>FR16519954986</t>
  </si>
  <si>
    <t>FR04314843244</t>
  </si>
  <si>
    <t>FR85410317267</t>
  </si>
  <si>
    <t>FR79384386934</t>
  </si>
  <si>
    <t>FR68391952801</t>
  </si>
  <si>
    <t>FR75216203612</t>
  </si>
  <si>
    <t>FR71537916074</t>
  </si>
  <si>
    <t>FR77440731776</t>
  </si>
  <si>
    <t>FR16544800857</t>
  </si>
  <si>
    <t>FR44830858684</t>
  </si>
  <si>
    <t>FR64424670156</t>
  </si>
  <si>
    <t>FR23319392809</t>
  </si>
  <si>
    <t>FR33811815802</t>
  </si>
  <si>
    <t>FR20305918732</t>
  </si>
  <si>
    <t>FR78318697208</t>
  </si>
  <si>
    <t>FR33186400057</t>
  </si>
  <si>
    <t>FR65246700926</t>
  </si>
  <si>
    <t>FR33552016628</t>
  </si>
  <si>
    <t>FR30652720863</t>
  </si>
  <si>
    <t>FR23813362399</t>
  </si>
  <si>
    <t>FR62488917394</t>
  </si>
  <si>
    <t>FR16879919561</t>
  </si>
  <si>
    <t>FR38810146563</t>
  </si>
  <si>
    <t>FR31311274914</t>
  </si>
  <si>
    <t>FR86449100163</t>
  </si>
  <si>
    <t>FR65420428120</t>
  </si>
  <si>
    <t>FR75428702385</t>
  </si>
  <si>
    <t>FR30403731466</t>
  </si>
  <si>
    <t>FR66318724655</t>
  </si>
  <si>
    <t>FR78325147320</t>
  </si>
  <si>
    <t>FR60800528309</t>
  </si>
  <si>
    <t>FR57344814645</t>
  </si>
  <si>
    <t>FR72318870060</t>
  </si>
  <si>
    <t>FR77348877044</t>
  </si>
  <si>
    <t>FR45379833775</t>
  </si>
  <si>
    <t>FR63817808181</t>
  </si>
  <si>
    <t>FR49347604621</t>
  </si>
  <si>
    <t>FR66908746555</t>
  </si>
  <si>
    <t>FR37344091277</t>
  </si>
  <si>
    <t>FR12481319044</t>
  </si>
  <si>
    <t>FR02534116173</t>
  </si>
  <si>
    <t>FR45810029066</t>
  </si>
  <si>
    <t>FR05750938722</t>
  </si>
  <si>
    <t>FR10835124280</t>
  </si>
  <si>
    <t>FR17435272596</t>
  </si>
  <si>
    <t>FR49968505016</t>
  </si>
  <si>
    <t>FR20325421261</t>
  </si>
  <si>
    <t>FR43911879518</t>
  </si>
  <si>
    <t>FR91572186989</t>
  </si>
  <si>
    <t>FR40451668255</t>
  </si>
  <si>
    <t>FR22200042489</t>
  </si>
  <si>
    <t>FR82793288010</t>
  </si>
  <si>
    <t>FR75421589763</t>
  </si>
  <si>
    <t>FR03394699011</t>
  </si>
  <si>
    <t>FR76483993226</t>
  </si>
  <si>
    <t>FR67489455584</t>
  </si>
  <si>
    <t>FR90434400461</t>
  </si>
  <si>
    <t>FR00200030195</t>
  </si>
  <si>
    <t>FR58441642147</t>
  </si>
  <si>
    <t>FR81527737738</t>
  </si>
  <si>
    <t>FR42522082528</t>
  </si>
  <si>
    <t>FR77180020026</t>
  </si>
  <si>
    <t>FR61429955297</t>
  </si>
  <si>
    <t>FR25405100587</t>
  </si>
  <si>
    <t>FR45352745749</t>
  </si>
  <si>
    <t>FR09552024671</t>
  </si>
  <si>
    <t>FR12808271803</t>
  </si>
  <si>
    <t>FR66343958138</t>
  </si>
  <si>
    <t>FR33820772200</t>
  </si>
  <si>
    <t>FR49305273724</t>
  </si>
  <si>
    <t>FR63799416011</t>
  </si>
  <si>
    <t>FR76342133345</t>
  </si>
  <si>
    <t>FR08217703339</t>
  </si>
  <si>
    <t>FR57675980114</t>
  </si>
  <si>
    <t>FR65834422180</t>
  </si>
  <si>
    <t>FR94840516538</t>
  </si>
  <si>
    <t>FR44433061975</t>
  </si>
  <si>
    <t>FR73844192443</t>
  </si>
  <si>
    <t>FR90812327302</t>
  </si>
  <si>
    <t>FR77480885896</t>
  </si>
  <si>
    <t>FR67412806960</t>
  </si>
  <si>
    <t>FR07844324632</t>
  </si>
  <si>
    <t>FR60337957328</t>
  </si>
  <si>
    <t>FR77322625740</t>
  </si>
  <si>
    <t>FR31751222100</t>
  </si>
  <si>
    <t>FR49519450209</t>
  </si>
  <si>
    <t>FR14399373380</t>
  </si>
  <si>
    <t>FR36572184190</t>
  </si>
  <si>
    <t>FR12254701824</t>
  </si>
  <si>
    <t>FR27251600060</t>
  </si>
  <si>
    <t>FR15251702197</t>
  </si>
  <si>
    <t>FR33252401476</t>
  </si>
  <si>
    <t>FR15253303473</t>
  </si>
  <si>
    <t>FR58402241814</t>
  </si>
  <si>
    <t>FR06311460596</t>
  </si>
  <si>
    <t>FR26852642453</t>
  </si>
  <si>
    <t>FR40790184675</t>
  </si>
  <si>
    <t>FR32518720925</t>
  </si>
  <si>
    <t>FR26200056232</t>
  </si>
  <si>
    <t>FR18384189163</t>
  </si>
  <si>
    <t>FR71389809781</t>
  </si>
  <si>
    <t>FR36817649965</t>
  </si>
  <si>
    <t>FR81418139960</t>
  </si>
  <si>
    <t>FR49389682154</t>
  </si>
  <si>
    <t>FR49414375444</t>
  </si>
  <si>
    <t>FR76795087261</t>
  </si>
  <si>
    <t>FR62821947009</t>
  </si>
  <si>
    <t>FR09484225842</t>
  </si>
  <si>
    <t>FR73398222430</t>
  </si>
  <si>
    <t>FR81851054064</t>
  </si>
  <si>
    <t>FR82413701111</t>
  </si>
  <si>
    <t>FR12417501871</t>
  </si>
  <si>
    <t>FR39923197412</t>
  </si>
  <si>
    <t>FR56823195300</t>
  </si>
  <si>
    <t>FR03817680606</t>
  </si>
  <si>
    <t>FR55522546548</t>
  </si>
  <si>
    <t>FR24408604841</t>
  </si>
  <si>
    <t>FR79348607417</t>
  </si>
  <si>
    <t>FR03314634338</t>
  </si>
  <si>
    <t>FR60345291595</t>
  </si>
  <si>
    <t>FR58937080414</t>
  </si>
  <si>
    <t>FR36343100939</t>
  </si>
  <si>
    <t>FR10304602956</t>
  </si>
  <si>
    <t>FR50495041873</t>
  </si>
  <si>
    <t>FR21845172352</t>
  </si>
  <si>
    <t>FR36848778429</t>
  </si>
  <si>
    <t>FR92377550249</t>
  </si>
  <si>
    <t>FR18429627649</t>
  </si>
  <si>
    <t>FR32334365053</t>
  </si>
  <si>
    <t>FR38304994619</t>
  </si>
  <si>
    <t>FR15818943938</t>
  </si>
  <si>
    <t>FR83798800876</t>
  </si>
  <si>
    <t>FR61438093791</t>
  </si>
  <si>
    <t>FR86968502377</t>
  </si>
  <si>
    <t>FR80533421582</t>
  </si>
  <si>
    <t>FR67822184693</t>
  </si>
  <si>
    <t>FR48254001399</t>
  </si>
  <si>
    <t>FR15256402041</t>
  </si>
  <si>
    <t>FR28216705442</t>
  </si>
  <si>
    <t>FR32552115891</t>
  </si>
  <si>
    <t>FR19752535476</t>
  </si>
  <si>
    <t>FR48780130175</t>
  </si>
  <si>
    <t>FR83777347386</t>
  </si>
  <si>
    <t>FR55439793811</t>
  </si>
  <si>
    <t>FR89305800997</t>
  </si>
  <si>
    <t>FR55258708585</t>
  </si>
  <si>
    <t>FR45528286552</t>
  </si>
  <si>
    <t>FR36432498855</t>
  </si>
  <si>
    <t>FR01389707746</t>
  </si>
  <si>
    <t>FR36832489801</t>
  </si>
  <si>
    <t>FR49200073344</t>
  </si>
  <si>
    <t>FR01959502139</t>
  </si>
  <si>
    <t>FR95200089720</t>
  </si>
  <si>
    <t>FR76833035892</t>
  </si>
  <si>
    <t>FR76398422154</t>
  </si>
  <si>
    <t>FR88784176026</t>
  </si>
  <si>
    <t>FR29302475041</t>
  </si>
  <si>
    <t>FR28401418371</t>
  </si>
  <si>
    <t>FR36812646123</t>
  </si>
  <si>
    <t>FR15844799288</t>
  </si>
  <si>
    <t>FR83433702479</t>
  </si>
  <si>
    <t>FR90402525000</t>
  </si>
  <si>
    <t>FR36421017062</t>
  </si>
  <si>
    <t>FR35409240421</t>
  </si>
  <si>
    <t>FR35833970635</t>
  </si>
  <si>
    <t>FR22420594202</t>
  </si>
  <si>
    <t>FR51419070180</t>
  </si>
  <si>
    <t>FR49397831512</t>
  </si>
  <si>
    <t>FR21380610543</t>
  </si>
  <si>
    <t>FR68530194000</t>
  </si>
  <si>
    <t>FR74411207012</t>
  </si>
  <si>
    <t>FR05814919825</t>
  </si>
  <si>
    <t>FR66897586996</t>
  </si>
  <si>
    <t>FR49829889591</t>
  </si>
  <si>
    <t>FR72892461906</t>
  </si>
  <si>
    <t>FR45330283847</t>
  </si>
  <si>
    <t>FR75324018530</t>
  </si>
  <si>
    <t>FR52348460841</t>
  </si>
  <si>
    <t>FR25380817122</t>
  </si>
  <si>
    <t>FR26451270615</t>
  </si>
  <si>
    <t>FR91337795801</t>
  </si>
  <si>
    <t>FR50899943153</t>
  </si>
  <si>
    <t>FR36213300098</t>
  </si>
  <si>
    <t>FR75790710750</t>
  </si>
  <si>
    <t>FR01735550188</t>
  </si>
  <si>
    <t>FR07799306253</t>
  </si>
  <si>
    <t>FR03702012956</t>
  </si>
  <si>
    <t>FR14478764194</t>
  </si>
  <si>
    <t>FR67391301090</t>
  </si>
  <si>
    <t>FR22518563911</t>
  </si>
  <si>
    <t>FR94200082477</t>
  </si>
  <si>
    <t>FR46200035319</t>
  </si>
  <si>
    <t>FR10853420032</t>
  </si>
  <si>
    <t>FR23394443261</t>
  </si>
  <si>
    <t>FR12822045415</t>
  </si>
  <si>
    <t>FR13301570446</t>
  </si>
  <si>
    <t>FR08850797895</t>
  </si>
  <si>
    <t>FR65894878594</t>
  </si>
  <si>
    <t>FR47450489869</t>
  </si>
  <si>
    <t>FR86848189494</t>
  </si>
  <si>
    <t>FR71888731221</t>
  </si>
  <si>
    <t>FR00792817371</t>
  </si>
  <si>
    <t>FR31824896898</t>
  </si>
  <si>
    <t>FR77809027972</t>
  </si>
  <si>
    <t>FR32662011071</t>
  </si>
  <si>
    <t>FR41491270898</t>
  </si>
  <si>
    <t>FR48803425404</t>
  </si>
  <si>
    <t>FR54814014023</t>
  </si>
  <si>
    <t>FR12383527330</t>
  </si>
  <si>
    <t>FR83383078664</t>
  </si>
  <si>
    <t>FR86438872871</t>
  </si>
  <si>
    <t>FR24820332302</t>
  </si>
  <si>
    <t>FR44907502652</t>
  </si>
  <si>
    <t>FR10200070324</t>
  </si>
  <si>
    <t>FR30807940069</t>
  </si>
  <si>
    <t>FR77399630839</t>
  </si>
  <si>
    <t>FR66539698415</t>
  </si>
  <si>
    <t>FR69778134601</t>
  </si>
  <si>
    <t>FR74320508229</t>
  </si>
  <si>
    <t>FR77200078947</t>
  </si>
  <si>
    <t>FR23252309646</t>
  </si>
  <si>
    <t>FR52908679491</t>
  </si>
  <si>
    <t>FR17878869213</t>
  </si>
  <si>
    <t>FR40433755071</t>
  </si>
  <si>
    <t>FR58200051134</t>
  </si>
  <si>
    <t>FR62390072551</t>
  </si>
  <si>
    <t>FR10492308432</t>
  </si>
  <si>
    <t>FR10823074455</t>
  </si>
  <si>
    <t>FR51442170536</t>
  </si>
  <si>
    <t>FR44919679159</t>
  </si>
  <si>
    <t>FR16751369729</t>
  </si>
  <si>
    <t>FR56903869618</t>
  </si>
  <si>
    <t>FR93814736492</t>
  </si>
  <si>
    <t>FR78818725418</t>
  </si>
  <si>
    <t>FR31908569486</t>
  </si>
  <si>
    <t>FR33439055278</t>
  </si>
  <si>
    <t>FR33971201546</t>
  </si>
  <si>
    <t>FR92837742402</t>
  </si>
  <si>
    <t>FR85311945687</t>
  </si>
  <si>
    <t>FR91485096218</t>
  </si>
  <si>
    <t>FR57418441234</t>
  </si>
  <si>
    <t>FR92819728338</t>
  </si>
  <si>
    <t>FR38310505771</t>
  </si>
  <si>
    <t>FR83453055725</t>
  </si>
  <si>
    <t>FR35509385258</t>
  </si>
  <si>
    <t>FR92313320244</t>
  </si>
  <si>
    <t>FR94338748536</t>
  </si>
  <si>
    <t>FR40879194009</t>
  </si>
  <si>
    <t>FR44898829494</t>
  </si>
  <si>
    <t>FR32315319491</t>
  </si>
  <si>
    <t>FR13818084873</t>
  </si>
  <si>
    <t>FR43447953738</t>
  </si>
  <si>
    <t>FR81824239578</t>
  </si>
  <si>
    <t>FR52895163608</t>
  </si>
  <si>
    <t>FR45334455235</t>
  </si>
  <si>
    <t>FR74352860639</t>
  </si>
  <si>
    <t>FR05494538234</t>
  </si>
  <si>
    <t>FR91880175666</t>
  </si>
  <si>
    <t>FR56305823296</t>
  </si>
  <si>
    <t>FR65320152333</t>
  </si>
  <si>
    <t>FR84499847911</t>
  </si>
  <si>
    <t>FR60551620198</t>
  </si>
  <si>
    <t>FR67429916596</t>
  </si>
  <si>
    <t>FR79377080312</t>
  </si>
  <si>
    <t>FR34211501879</t>
  </si>
  <si>
    <t>FR50399372713</t>
  </si>
  <si>
    <t>FR81775709702</t>
  </si>
  <si>
    <t>FR05525215745</t>
  </si>
  <si>
    <t>FR02534873161</t>
  </si>
  <si>
    <t>FR25309918464</t>
  </si>
  <si>
    <t>FR01342816006</t>
  </si>
  <si>
    <t>FR46433839172</t>
  </si>
  <si>
    <t>FR39538760125</t>
  </si>
  <si>
    <t>FR95217303049</t>
  </si>
  <si>
    <t>FR95210102836</t>
  </si>
  <si>
    <t>FR94316644079</t>
  </si>
  <si>
    <t>FR59383681996</t>
  </si>
  <si>
    <t>FR56572750321</t>
  </si>
  <si>
    <t>FR00383806783</t>
  </si>
  <si>
    <t>FR24821236148</t>
  </si>
  <si>
    <t>FR79524027455</t>
  </si>
  <si>
    <t>FR19310162417</t>
  </si>
  <si>
    <t>FR40839291119</t>
  </si>
  <si>
    <t>FR88882736077</t>
  </si>
  <si>
    <t>FR41378100416</t>
  </si>
  <si>
    <t>FR21301365326</t>
  </si>
  <si>
    <t>FR74317685238</t>
  </si>
  <si>
    <t>FR73390700177</t>
  </si>
  <si>
    <t>FR82494385420</t>
  </si>
  <si>
    <t>FR76322790478</t>
  </si>
  <si>
    <t>FR38445208507</t>
  </si>
  <si>
    <t>FR81444983449</t>
  </si>
  <si>
    <t>FR69841291883</t>
  </si>
  <si>
    <t>FR93612820225</t>
  </si>
  <si>
    <t>FR19480947019</t>
  </si>
  <si>
    <t>FR03777903816</t>
  </si>
  <si>
    <t>FR17489243881</t>
  </si>
  <si>
    <t>FR27417897345</t>
  </si>
  <si>
    <t>FR14480280304</t>
  </si>
  <si>
    <t>FR42411132376</t>
  </si>
  <si>
    <t>FR58216202507</t>
  </si>
  <si>
    <t>FR69801205857</t>
  </si>
  <si>
    <t>FR23352107999</t>
  </si>
  <si>
    <t>FR73354081028</t>
  </si>
  <si>
    <t>FR76514850866</t>
  </si>
  <si>
    <t>FR64652039611</t>
  </si>
  <si>
    <t>FR30210100939</t>
  </si>
  <si>
    <t>FR60803906916</t>
  </si>
  <si>
    <t>FR78520333048</t>
  </si>
  <si>
    <t>FR36323622175</t>
  </si>
  <si>
    <t>FR26487706046</t>
  </si>
  <si>
    <t>FR02539220798</t>
  </si>
  <si>
    <t>FR86749844395</t>
  </si>
  <si>
    <t>FR56395150402</t>
  </si>
  <si>
    <t>FR82392988895</t>
  </si>
  <si>
    <t>FR96414842062</t>
  </si>
  <si>
    <t>FR88352638449</t>
  </si>
  <si>
    <t>FR78802144238</t>
  </si>
  <si>
    <t>FR36776069460</t>
  </si>
  <si>
    <t>FR81349101568</t>
  </si>
  <si>
    <t>FR04452346273</t>
  </si>
  <si>
    <t>FR55337849624</t>
  </si>
  <si>
    <t>FR43504588740</t>
  </si>
  <si>
    <t>FR15503370249</t>
  </si>
  <si>
    <t>FR31808241707</t>
  </si>
  <si>
    <t>FR69403184690</t>
  </si>
  <si>
    <t>FR31339494833</t>
  </si>
  <si>
    <t>FR95472200716</t>
  </si>
  <si>
    <t>FR91817535297</t>
  </si>
  <si>
    <t>FR00320498181</t>
  </si>
  <si>
    <t>FR63572053734</t>
  </si>
  <si>
    <t>FR65401556576</t>
  </si>
  <si>
    <t>FR96433473337</t>
  </si>
  <si>
    <t>FR36381346196</t>
  </si>
  <si>
    <t>FR21332663152</t>
  </si>
  <si>
    <t>FR25378040497</t>
  </si>
  <si>
    <t>FR41200031987</t>
  </si>
  <si>
    <t>FR18347775363</t>
  </si>
  <si>
    <t>FR48535258040</t>
  </si>
  <si>
    <t>FR47214003287</t>
  </si>
  <si>
    <t>FR60301768859</t>
  </si>
  <si>
    <t>FR12637250036</t>
  </si>
  <si>
    <t>FR12302555222</t>
  </si>
  <si>
    <t>FR63305544488</t>
  </si>
  <si>
    <t>FR78307180786</t>
  </si>
  <si>
    <t>FR77309467884</t>
  </si>
  <si>
    <t>FR51323961680</t>
  </si>
  <si>
    <t>FR08328031042</t>
  </si>
  <si>
    <t>FR77341050987</t>
  </si>
  <si>
    <t>FR60344543046</t>
  </si>
  <si>
    <t>FR04344750963</t>
  </si>
  <si>
    <t>FR61347697260</t>
  </si>
  <si>
    <t>FR01350656807</t>
  </si>
  <si>
    <t>FR63353944093</t>
  </si>
  <si>
    <t>FR20373200260</t>
  </si>
  <si>
    <t>FR65381830850</t>
  </si>
  <si>
    <t>FR48382616415</t>
  </si>
  <si>
    <t>FR49499316016</t>
  </si>
  <si>
    <t>FR80384461398</t>
  </si>
  <si>
    <t>FR33302020177</t>
  </si>
  <si>
    <t>FR51391127875</t>
  </si>
  <si>
    <t>FR08393332606</t>
  </si>
  <si>
    <t>FR35398113357</t>
  </si>
  <si>
    <t>FR05408059533</t>
  </si>
  <si>
    <t>FR55414897306</t>
  </si>
  <si>
    <t>FR88420856221</t>
  </si>
  <si>
    <t>FR38421716465</t>
  </si>
  <si>
    <t>FR96423589134</t>
  </si>
  <si>
    <t>FR69431784461</t>
  </si>
  <si>
    <t>FR36437857717</t>
  </si>
  <si>
    <t>FR09668500622</t>
  </si>
  <si>
    <t>FR96819761578</t>
  </si>
  <si>
    <t>FR86200067213</t>
  </si>
  <si>
    <t>FR90349604322</t>
  </si>
  <si>
    <t>FR00824897599</t>
  </si>
  <si>
    <t>FR51571722669</t>
  </si>
  <si>
    <t>FR34348776667</t>
  </si>
  <si>
    <t>FR24432301844</t>
  </si>
  <si>
    <t>FR81339361701</t>
  </si>
  <si>
    <t>FR74838961977</t>
  </si>
  <si>
    <t>FR10414982942</t>
  </si>
  <si>
    <t>FR29381627041</t>
  </si>
  <si>
    <t>FR25418814059</t>
  </si>
  <si>
    <t>FR73485920227</t>
  </si>
  <si>
    <t>FR34512585514</t>
  </si>
  <si>
    <t>FR91415050772</t>
  </si>
  <si>
    <t>FR82883238826</t>
  </si>
  <si>
    <t>FR67439381468</t>
  </si>
  <si>
    <t>FR23334795051</t>
  </si>
  <si>
    <t>FR39797992625</t>
  </si>
  <si>
    <t>FR61424341907</t>
  </si>
  <si>
    <t>FR54789673910</t>
  </si>
  <si>
    <t>FR94786195859</t>
  </si>
  <si>
    <t>FR16394256275</t>
  </si>
  <si>
    <t>FR88822316329</t>
  </si>
  <si>
    <t>FR96834720336</t>
  </si>
  <si>
    <t>FR58546450453</t>
  </si>
  <si>
    <t>FR15348224957</t>
  </si>
  <si>
    <t>FR67389496308</t>
  </si>
  <si>
    <t>FR56443951199</t>
  </si>
  <si>
    <t>FR07332107499</t>
  </si>
  <si>
    <t>FR47318226974</t>
  </si>
  <si>
    <t>FR29388956070</t>
  </si>
  <si>
    <t>FR03200046977</t>
  </si>
  <si>
    <t>FR78521903575</t>
  </si>
  <si>
    <t>FR33853731636</t>
  </si>
  <si>
    <t>FR30820150720</t>
  </si>
  <si>
    <t>FR27879149029</t>
  </si>
  <si>
    <t>FR40528971823</t>
  </si>
  <si>
    <t>FR58798689253</t>
  </si>
  <si>
    <t>FR71216902916</t>
  </si>
  <si>
    <t>FR44442721429</t>
  </si>
  <si>
    <t>FR54488212945</t>
  </si>
  <si>
    <t>FR50804495638</t>
  </si>
  <si>
    <t>FR57409564085</t>
  </si>
  <si>
    <t>FR91421159153</t>
  </si>
  <si>
    <t>FR45899886956</t>
  </si>
  <si>
    <t>FR15843965864</t>
  </si>
  <si>
    <t>FR51426250023</t>
  </si>
  <si>
    <t>FR53342667193</t>
  </si>
  <si>
    <t>FR51878054295</t>
  </si>
  <si>
    <t>FR20721720290</t>
  </si>
  <si>
    <t>FR43303742480</t>
  </si>
  <si>
    <t>FR57912251162</t>
  </si>
  <si>
    <t>FR45349687145</t>
  </si>
  <si>
    <t>FR84379041395</t>
  </si>
  <si>
    <t>FR82501193171</t>
  </si>
  <si>
    <t>FR69315667410</t>
  </si>
  <si>
    <t>FR25784404246</t>
  </si>
  <si>
    <t>FR80423788108</t>
  </si>
  <si>
    <t>FR65312212301</t>
  </si>
  <si>
    <t>FR64881628523</t>
  </si>
  <si>
    <t>FR15451906317</t>
  </si>
  <si>
    <t>FR01871800074</t>
  </si>
  <si>
    <t>FR76824007520</t>
  </si>
  <si>
    <t>FR03987220019</t>
  </si>
  <si>
    <t>FR79326521002</t>
  </si>
  <si>
    <t>FR93495314619</t>
  </si>
  <si>
    <t>FR28380765131</t>
  </si>
  <si>
    <t>FR28487741969</t>
  </si>
  <si>
    <t>FR95331566430</t>
  </si>
  <si>
    <t>FR46316085828</t>
  </si>
  <si>
    <t>FR42972802340</t>
  </si>
  <si>
    <t>FR41302476403</t>
  </si>
  <si>
    <t>FR73799130026</t>
  </si>
  <si>
    <t>FR44709806079</t>
  </si>
  <si>
    <t>FR70395301856</t>
  </si>
  <si>
    <t>FR74572058329</t>
  </si>
  <si>
    <t>FR09323480061</t>
  </si>
  <si>
    <t>FR71791915036</t>
  </si>
  <si>
    <t>FR07537767287</t>
  </si>
  <si>
    <t>FR30582144051</t>
  </si>
  <si>
    <t>FR60328759303</t>
  </si>
  <si>
    <t>FR55330943127</t>
  </si>
  <si>
    <t>FR81319528402</t>
  </si>
  <si>
    <t>FR05438712309</t>
  </si>
  <si>
    <t>FR61777023722</t>
  </si>
  <si>
    <t>FR45378637862</t>
  </si>
  <si>
    <t>FR04489969857</t>
  </si>
  <si>
    <t>FR25843173345</t>
  </si>
  <si>
    <t>FR42881288757</t>
  </si>
  <si>
    <t>FR14535273387</t>
  </si>
  <si>
    <t>FR23424365336</t>
  </si>
  <si>
    <t>FR22782947402</t>
  </si>
  <si>
    <t>FR80508766995</t>
  </si>
  <si>
    <t>FR47388657025</t>
  </si>
  <si>
    <t>FR47401205042</t>
  </si>
  <si>
    <t>FR46400447892</t>
  </si>
  <si>
    <t>FR30997858600</t>
  </si>
  <si>
    <t>FR00411798655</t>
  </si>
  <si>
    <t>FR69882889751</t>
  </si>
  <si>
    <t>FR00316359967</t>
  </si>
  <si>
    <t>FR85342043429</t>
  </si>
  <si>
    <t>FR55353152150</t>
  </si>
  <si>
    <t>FR83900120189</t>
  </si>
  <si>
    <t>FR01945950269</t>
  </si>
  <si>
    <t>FR47790570220</t>
  </si>
  <si>
    <t>FR88352611677</t>
  </si>
  <si>
    <t>FR94518068168</t>
  </si>
  <si>
    <t>FR23401213376</t>
  </si>
  <si>
    <t>FR26390443661</t>
  </si>
  <si>
    <t>FR08390412906</t>
  </si>
  <si>
    <t>FR58480106236</t>
  </si>
  <si>
    <t>FR57429459076</t>
  </si>
  <si>
    <t>FR80785447467</t>
  </si>
  <si>
    <t>FR27325528222</t>
  </si>
  <si>
    <t>FR92510300569</t>
  </si>
  <si>
    <t>FR06592052302</t>
  </si>
  <si>
    <t>FR91538865064</t>
  </si>
  <si>
    <t>FR59483281887</t>
  </si>
  <si>
    <t>FR27793532755</t>
  </si>
  <si>
    <t>FR42621620921</t>
  </si>
  <si>
    <t>FR87451580906</t>
  </si>
  <si>
    <t>FR91315043190</t>
  </si>
  <si>
    <t>FR68775997141</t>
  </si>
  <si>
    <t>FR79351429923</t>
  </si>
  <si>
    <t>FR47781452511</t>
  </si>
  <si>
    <t>FR92216207530</t>
  </si>
  <si>
    <t>FR92957203140</t>
  </si>
  <si>
    <t>FR66845206317</t>
  </si>
  <si>
    <t>FR58403585458</t>
  </si>
  <si>
    <t>FR59310370754</t>
  </si>
  <si>
    <t>FR69338959729</t>
  </si>
  <si>
    <t>FR00402390819</t>
  </si>
  <si>
    <t>FR46341522332</t>
  </si>
  <si>
    <t>FR44452183973</t>
  </si>
  <si>
    <t>FR11794581546</t>
  </si>
  <si>
    <t>FR89480264324</t>
  </si>
  <si>
    <t>FR15912804242</t>
  </si>
  <si>
    <t>FR52451545651</t>
  </si>
  <si>
    <t>FR43810151738</t>
  </si>
  <si>
    <t>FR54403180805</t>
  </si>
  <si>
    <t>FR80779859297</t>
  </si>
  <si>
    <t>FR68312744832</t>
  </si>
  <si>
    <t>FR03353550932</t>
  </si>
  <si>
    <t>FR78389675018</t>
  </si>
  <si>
    <t>FR57608013960</t>
  </si>
  <si>
    <t>FR58328297841</t>
  </si>
  <si>
    <t>FR36333050284</t>
  </si>
  <si>
    <t>FR10349760918</t>
  </si>
  <si>
    <t>FR48391208287</t>
  </si>
  <si>
    <t>FR17110002011</t>
  </si>
  <si>
    <t>FR49542083704</t>
  </si>
  <si>
    <t>FR81821206000</t>
  </si>
  <si>
    <t>FR82775581242</t>
  </si>
  <si>
    <t>FR18545920076</t>
  </si>
  <si>
    <t>FR47660802844</t>
  </si>
  <si>
    <t>FR67713002269</t>
  </si>
  <si>
    <t>FR54382464709</t>
  </si>
  <si>
    <t>FR30435368501</t>
  </si>
  <si>
    <t>FR55384986386</t>
  </si>
  <si>
    <t>FR72326397551</t>
  </si>
  <si>
    <t>FR71388362832</t>
  </si>
  <si>
    <t>FR24341260263</t>
  </si>
  <si>
    <t>FR29429913932</t>
  </si>
  <si>
    <t>FR55450408133</t>
  </si>
  <si>
    <t>FR60500047238</t>
  </si>
  <si>
    <t>FR60448517540</t>
  </si>
  <si>
    <t>FR57345293534</t>
  </si>
  <si>
    <t>FR64351758263</t>
  </si>
  <si>
    <t>FR52492442306</t>
  </si>
  <si>
    <t>FR88388280711</t>
  </si>
  <si>
    <t>FR47384254389</t>
  </si>
  <si>
    <t>FR32200062248</t>
  </si>
  <si>
    <t>FR72301861886</t>
  </si>
  <si>
    <t>FR03323648451</t>
  </si>
  <si>
    <t>FR88439678780</t>
  </si>
  <si>
    <t>FR87383735420</t>
  </si>
  <si>
    <t>FR17313221376</t>
  </si>
  <si>
    <t>FR54493254908</t>
  </si>
  <si>
    <t>FR01870800489</t>
  </si>
  <si>
    <t>FR81318994126</t>
  </si>
  <si>
    <t>FR35405720194</t>
  </si>
  <si>
    <t>FR45403174691</t>
  </si>
  <si>
    <t>FR08343762308</t>
  </si>
  <si>
    <t>FR42797542255</t>
  </si>
  <si>
    <t>FR38431835602</t>
  </si>
  <si>
    <t>FR03404499212</t>
  </si>
  <si>
    <t>FR91531072569</t>
  </si>
  <si>
    <t>FR96491878880</t>
  </si>
  <si>
    <t>FR37481581890</t>
  </si>
  <si>
    <t>FR48330066374</t>
  </si>
  <si>
    <t>FR33301367561</t>
  </si>
  <si>
    <t>FR86445720295</t>
  </si>
  <si>
    <t>FR51395099443</t>
  </si>
  <si>
    <t>FR85444413058</t>
  </si>
  <si>
    <t>FR48501365852</t>
  </si>
  <si>
    <t>FR63402244370</t>
  </si>
  <si>
    <t>FR71381479518</t>
  </si>
  <si>
    <t>FR68417350311</t>
  </si>
  <si>
    <t>FR32612041327</t>
  </si>
  <si>
    <t>FR22320153612</t>
  </si>
  <si>
    <t>FR48499838878</t>
  </si>
  <si>
    <t>FR58383578432</t>
  </si>
  <si>
    <t>FR20384136719</t>
  </si>
  <si>
    <t>FR62315030635</t>
  </si>
  <si>
    <t>FR93828414656</t>
  </si>
  <si>
    <t>FR85775722572</t>
  </si>
  <si>
    <t>FR88311349138</t>
  </si>
  <si>
    <t>FR52838835320</t>
  </si>
  <si>
    <t>FR62907794531</t>
  </si>
  <si>
    <t>FR25424151678</t>
  </si>
  <si>
    <t>FR45340325190</t>
  </si>
  <si>
    <t>FR70480323229</t>
  </si>
  <si>
    <t>FR37880082722</t>
  </si>
  <si>
    <t>FR46380271213</t>
  </si>
  <si>
    <t>FR37404978371</t>
  </si>
  <si>
    <t>FR69383995859</t>
  </si>
  <si>
    <t>FR77531652980</t>
  </si>
  <si>
    <t>FR68617220363</t>
  </si>
  <si>
    <t>FR09315765651</t>
  </si>
  <si>
    <t>FR19410766646</t>
  </si>
  <si>
    <t>FR72340936202</t>
  </si>
  <si>
    <t>FR39334719267</t>
  </si>
  <si>
    <t>FR49349204636</t>
  </si>
  <si>
    <t>FR58661780155</t>
  </si>
  <si>
    <t>FR79338222888</t>
  </si>
  <si>
    <t>FR56439256496</t>
  </si>
  <si>
    <t>FR51338647480</t>
  </si>
  <si>
    <t>FR25493918346</t>
  </si>
  <si>
    <t>FR49311732275</t>
  </si>
  <si>
    <t>FR78391958980</t>
  </si>
  <si>
    <t>FR59798191805</t>
  </si>
  <si>
    <t>FR06529256539</t>
  </si>
  <si>
    <t>FR09481981553</t>
  </si>
  <si>
    <t>FR80327236733</t>
  </si>
  <si>
    <t>FR18979037686</t>
  </si>
  <si>
    <t>FR84327731790</t>
  </si>
  <si>
    <t>FR19408750404</t>
  </si>
  <si>
    <t>FR07423574037</t>
  </si>
  <si>
    <t>FR74256300146</t>
  </si>
  <si>
    <t>FR80319150231</t>
  </si>
  <si>
    <t>FR34800988339</t>
  </si>
  <si>
    <t>FR92352208805</t>
  </si>
  <si>
    <t>FR50407893775</t>
  </si>
  <si>
    <t>FR69382402634</t>
  </si>
  <si>
    <t>FR55216701474</t>
  </si>
  <si>
    <t>FR83351745724</t>
  </si>
  <si>
    <t>FR55351705298</t>
  </si>
  <si>
    <t>FR83844254979</t>
  </si>
  <si>
    <t>FR27951478437</t>
  </si>
  <si>
    <t>FR52844606723</t>
  </si>
  <si>
    <t>FR53380192807</t>
  </si>
  <si>
    <t>FR15331047712</t>
  </si>
  <si>
    <t>FR08348006446</t>
  </si>
  <si>
    <t>FR67408897569</t>
  </si>
  <si>
    <t>FR64882393853</t>
  </si>
  <si>
    <t>FR26891118473</t>
  </si>
  <si>
    <t>FR59399973825</t>
  </si>
  <si>
    <t>FR57197308588</t>
  </si>
  <si>
    <t>FR10672040896</t>
  </si>
  <si>
    <t>FR26523595270</t>
  </si>
  <si>
    <t>FR01523099042</t>
  </si>
  <si>
    <t>FR41809514318</t>
  </si>
  <si>
    <t>FR69409899127</t>
  </si>
  <si>
    <t>FR10920605821</t>
  </si>
  <si>
    <t>FR48911482628</t>
  </si>
  <si>
    <t>FR81328524764</t>
  </si>
  <si>
    <t>FR53344558499</t>
  </si>
  <si>
    <t>FR45433888674</t>
  </si>
  <si>
    <t>FR16442278453</t>
  </si>
  <si>
    <t>FR36869801142</t>
  </si>
  <si>
    <t>FR08306523523</t>
  </si>
  <si>
    <t>FR03853962777</t>
  </si>
  <si>
    <t>FR78809189251</t>
  </si>
  <si>
    <t>FR67951461540</t>
  </si>
  <si>
    <t>FR63662780162</t>
  </si>
  <si>
    <t>FR33350142071</t>
  </si>
  <si>
    <t>FR78784355505</t>
  </si>
  <si>
    <t>FR90410192850</t>
  </si>
  <si>
    <t>FR73889264172</t>
  </si>
  <si>
    <t>FR16824024863</t>
  </si>
  <si>
    <t>FR31910404144</t>
  </si>
  <si>
    <t>FR82862200011</t>
  </si>
  <si>
    <t>FR46881604946</t>
  </si>
  <si>
    <t>FR69897541116</t>
  </si>
  <si>
    <t>FR43897849923</t>
  </si>
  <si>
    <t>FR61889612495</t>
  </si>
  <si>
    <t>FR84381182864</t>
  </si>
  <si>
    <t>FR13479204703</t>
  </si>
  <si>
    <t>FR67421694779</t>
  </si>
  <si>
    <t>FR47392621124</t>
  </si>
  <si>
    <t>FR35978431377</t>
  </si>
  <si>
    <t>FR70387679111</t>
  </si>
  <si>
    <t>FR89912345295</t>
  </si>
  <si>
    <t>FR49317425981</t>
  </si>
  <si>
    <t>FR84329892368</t>
  </si>
  <si>
    <t>FR54749986360</t>
  </si>
  <si>
    <t>FR04893737692</t>
  </si>
  <si>
    <t>FR85818019713</t>
  </si>
  <si>
    <t>FR10315871640</t>
  </si>
  <si>
    <t>FR21945752137</t>
  </si>
  <si>
    <t>FR51709802557</t>
  </si>
  <si>
    <t>FR08781843602</t>
  </si>
  <si>
    <t>FR24786016030</t>
  </si>
  <si>
    <t>FR22323037713</t>
  </si>
  <si>
    <t>FR71407794551</t>
  </si>
  <si>
    <t>FR51423806884</t>
  </si>
  <si>
    <t>FR54383064557</t>
  </si>
  <si>
    <t>FR26531049914</t>
  </si>
  <si>
    <t>FR90130023385</t>
  </si>
  <si>
    <t>FR21811565829</t>
  </si>
  <si>
    <t>FR79331982199</t>
  </si>
  <si>
    <t>FR63817389141</t>
  </si>
  <si>
    <t>FR12962201588</t>
  </si>
  <si>
    <t>FR56775758808</t>
  </si>
  <si>
    <t>FR25842718512</t>
  </si>
  <si>
    <t>FR27491485231</t>
  </si>
  <si>
    <t>FR85830975421</t>
  </si>
  <si>
    <t>FR04800034043</t>
  </si>
  <si>
    <t>FR02877817825</t>
  </si>
  <si>
    <t>FR18790493548</t>
  </si>
  <si>
    <t>FR54215402579</t>
  </si>
  <si>
    <t>FR60245400510</t>
  </si>
  <si>
    <t>FR64215404393</t>
  </si>
  <si>
    <t>FR05200070290</t>
  </si>
  <si>
    <t>FR42245400601</t>
  </si>
  <si>
    <t>FR13245400171</t>
  </si>
  <si>
    <t>FR17215403957</t>
  </si>
  <si>
    <t>FR71225400019</t>
  </si>
  <si>
    <t>FR23884571845</t>
  </si>
  <si>
    <t>FR04824641294</t>
  </si>
  <si>
    <t>FR36500871827</t>
  </si>
  <si>
    <t>FR36493360341</t>
  </si>
  <si>
    <t>FR48912043676</t>
  </si>
  <si>
    <t>FR96246900724</t>
  </si>
  <si>
    <t>FR53378756431</t>
  </si>
  <si>
    <t>FR11344817572</t>
  </si>
  <si>
    <t>FR70833581903</t>
  </si>
  <si>
    <t>FR25378310254</t>
  </si>
  <si>
    <t>FR78327765350</t>
  </si>
  <si>
    <t>FR90592028468</t>
  </si>
  <si>
    <t>FR44495040222</t>
  </si>
  <si>
    <t>FR73378012868</t>
  </si>
  <si>
    <t>FR33338068190</t>
  </si>
  <si>
    <t>FR30387854409</t>
  </si>
  <si>
    <t>FR10315589952</t>
  </si>
  <si>
    <t>FR93330288325</t>
  </si>
  <si>
    <t>FR37215401571</t>
  </si>
  <si>
    <t>FR08423528124</t>
  </si>
  <si>
    <t>FR66348858093</t>
  </si>
  <si>
    <t>FR50901101527</t>
  </si>
  <si>
    <t>FR10333928190</t>
  </si>
  <si>
    <t>FR22849403266</t>
  </si>
  <si>
    <t>FR48351858394</t>
  </si>
  <si>
    <t>FR76317612133</t>
  </si>
  <si>
    <t>FR82719807406</t>
  </si>
  <si>
    <t>FR04844518340</t>
  </si>
  <si>
    <t>FR26840758304</t>
  </si>
  <si>
    <t>FR37529788465</t>
  </si>
  <si>
    <t>FR21409377736</t>
  </si>
  <si>
    <t>FR52804060820</t>
  </si>
  <si>
    <t>FR69304487093</t>
  </si>
  <si>
    <t>FR17878188176</t>
  </si>
  <si>
    <t>FR30399737006</t>
  </si>
  <si>
    <t>FR16323998690</t>
  </si>
  <si>
    <t>FR04840227060</t>
  </si>
  <si>
    <t>FR78130017270</t>
  </si>
  <si>
    <t>FR11380644716</t>
  </si>
  <si>
    <t>FR85813602042</t>
  </si>
  <si>
    <t>FR65379622160</t>
  </si>
  <si>
    <t>FR40832973994</t>
  </si>
  <si>
    <t>FR06579800038</t>
  </si>
  <si>
    <t>FR95504483868</t>
  </si>
  <si>
    <t>FR08775737646</t>
  </si>
  <si>
    <t>FR75419552278</t>
  </si>
  <si>
    <t>FR88317007342</t>
  </si>
  <si>
    <t>FR41401610209</t>
  </si>
  <si>
    <t>FR16384564423</t>
  </si>
  <si>
    <t>FR81531156115</t>
  </si>
  <si>
    <t>FR51643780380</t>
  </si>
  <si>
    <t>FR56319665196</t>
  </si>
  <si>
    <t>FR90438843740</t>
  </si>
  <si>
    <t>FR17784538944</t>
  </si>
  <si>
    <t>FR41412880445</t>
  </si>
  <si>
    <t>FR89403761588</t>
  </si>
  <si>
    <t>FR52391681616</t>
  </si>
  <si>
    <t>FR44351597398</t>
  </si>
  <si>
    <t>FR08341796506</t>
  </si>
  <si>
    <t>FR68380622522</t>
  </si>
  <si>
    <t>FR80481281269</t>
  </si>
  <si>
    <t>FR77430069245</t>
  </si>
  <si>
    <t>FR76888755311</t>
  </si>
  <si>
    <t>FR37878513068</t>
  </si>
  <si>
    <t>FR76381515733</t>
  </si>
  <si>
    <t>FR34383000692</t>
  </si>
  <si>
    <t>FR62398726018</t>
  </si>
  <si>
    <t>FR49434967477</t>
  </si>
  <si>
    <t>FR31518069117</t>
  </si>
  <si>
    <t>FR95812089977</t>
  </si>
  <si>
    <t>FR33340605807</t>
  </si>
  <si>
    <t>FR62508806080</t>
  </si>
  <si>
    <t>FR69521320408</t>
  </si>
  <si>
    <t>FR43492853098</t>
  </si>
  <si>
    <t>FR03351842471</t>
  </si>
  <si>
    <t>FR07410218010</t>
  </si>
  <si>
    <t>FR88266307867</t>
  </si>
  <si>
    <t>FR67781985759</t>
  </si>
  <si>
    <t>FR29349711325</t>
  </si>
  <si>
    <t>FR54775688450</t>
  </si>
  <si>
    <t>FR15218715407</t>
  </si>
  <si>
    <t>FR56452714082</t>
  </si>
  <si>
    <t>FR73392421442</t>
  </si>
  <si>
    <t>FR20453231565</t>
  </si>
  <si>
    <t>FR33176902302</t>
  </si>
  <si>
    <t>FR16318811809</t>
  </si>
  <si>
    <t>FR32440110088</t>
  </si>
  <si>
    <t>FR84442825394</t>
  </si>
  <si>
    <t>FR74776758302</t>
  </si>
  <si>
    <t>FR53489263293</t>
  </si>
  <si>
    <t>FR32491087565</t>
  </si>
  <si>
    <t>FR52491196341</t>
  </si>
  <si>
    <t>FR68493291223</t>
  </si>
  <si>
    <t>FR64493373898</t>
  </si>
  <si>
    <t>FR33493425136</t>
  </si>
  <si>
    <t>FR06497673145</t>
  </si>
  <si>
    <t>FR94514683838</t>
  </si>
  <si>
    <t>FR69517741302</t>
  </si>
  <si>
    <t>FR69533198834</t>
  </si>
  <si>
    <t>FR61552141541</t>
  </si>
  <si>
    <t>FR84605520584</t>
  </si>
  <si>
    <t>FR24632011458</t>
  </si>
  <si>
    <t>FR33681980041</t>
  </si>
  <si>
    <t>FR73712042456</t>
  </si>
  <si>
    <t>FR23712046093</t>
  </si>
  <si>
    <t>FR62776086670</t>
  </si>
  <si>
    <t>FR65780141271</t>
  </si>
  <si>
    <t>FR45782812903</t>
  </si>
  <si>
    <t>FR47808158745</t>
  </si>
  <si>
    <t>FR22824423438</t>
  </si>
  <si>
    <t>FR96831280425</t>
  </si>
  <si>
    <t>FR69850302407</t>
  </si>
  <si>
    <t>FR43872500913</t>
  </si>
  <si>
    <t>FR04877641415</t>
  </si>
  <si>
    <t>FR96880489786</t>
  </si>
  <si>
    <t>FR27897692810</t>
  </si>
  <si>
    <t>FR03898018916</t>
  </si>
  <si>
    <t>FR64911124477</t>
  </si>
  <si>
    <t>FR19926620212</t>
  </si>
  <si>
    <t>FR36897603379</t>
  </si>
  <si>
    <t>FR09410698096</t>
  </si>
  <si>
    <t>FR73947350294</t>
  </si>
  <si>
    <t>FR12318761012</t>
  </si>
  <si>
    <t>FR21348610049</t>
  </si>
  <si>
    <t>FR38384098992</t>
  </si>
  <si>
    <t>FR62888959459</t>
  </si>
  <si>
    <t>FR25811163054</t>
  </si>
  <si>
    <t>FR25391007457</t>
  </si>
  <si>
    <t>FR49502198856</t>
  </si>
  <si>
    <t>FR02890915929</t>
  </si>
  <si>
    <t>FR11838168011</t>
  </si>
  <si>
    <t>FR96252601026</t>
  </si>
  <si>
    <t>FR20435308002</t>
  </si>
  <si>
    <t>FR27882060387</t>
  </si>
  <si>
    <t>FR72483927588</t>
  </si>
  <si>
    <t>FR12000000000</t>
  </si>
  <si>
    <t>FR18433929502</t>
  </si>
  <si>
    <t>FR77406680314</t>
  </si>
  <si>
    <t>FR64414996637</t>
  </si>
  <si>
    <t>FR50420527152</t>
  </si>
  <si>
    <t>FR50908034796</t>
  </si>
  <si>
    <t>FR29343123667</t>
  </si>
  <si>
    <t>FR21342707502</t>
  </si>
  <si>
    <t>FR00130022676</t>
  </si>
  <si>
    <t>FR18498001494</t>
  </si>
  <si>
    <t>FR47893476259</t>
  </si>
  <si>
    <t>FR07918280827</t>
  </si>
  <si>
    <t>FR71825378193</t>
  </si>
  <si>
    <t>FR88316040252</t>
  </si>
  <si>
    <t>FR25838210243</t>
  </si>
  <si>
    <t>FR77950789495</t>
  </si>
  <si>
    <t>FR61809134893</t>
  </si>
  <si>
    <t>FR86380303107</t>
  </si>
  <si>
    <t>FR14973102481</t>
  </si>
  <si>
    <t>FR85908511595</t>
  </si>
  <si>
    <t>FR18493656573</t>
  </si>
  <si>
    <t>FR03868800285</t>
  </si>
  <si>
    <t>FR85313484883</t>
  </si>
  <si>
    <t>FR05439289265</t>
  </si>
  <si>
    <t>FR58413219692</t>
  </si>
  <si>
    <t>FR6814254298</t>
  </si>
  <si>
    <t>FR23823053087</t>
  </si>
  <si>
    <t>FR32804448587</t>
  </si>
  <si>
    <t>FR63450130166</t>
  </si>
  <si>
    <t>FR17442227690</t>
  </si>
  <si>
    <t>FR89801284563</t>
  </si>
  <si>
    <t>FR61804606739</t>
  </si>
  <si>
    <t>FR69802739136</t>
  </si>
  <si>
    <t>FR79345360051</t>
  </si>
  <si>
    <t>FR32834241846</t>
  </si>
  <si>
    <t>FR78318771995</t>
  </si>
  <si>
    <t>FR19306486408</t>
  </si>
  <si>
    <t>FR93497833418</t>
  </si>
  <si>
    <t>FR67484981071</t>
  </si>
  <si>
    <t>FR71155512780</t>
  </si>
  <si>
    <t>FR82851253658</t>
  </si>
  <si>
    <t>FR73932812613</t>
  </si>
  <si>
    <t>FR81830505681</t>
  </si>
  <si>
    <t>FR29814077194</t>
  </si>
  <si>
    <t>FR35883748998</t>
  </si>
  <si>
    <t>FR10801764234</t>
  </si>
  <si>
    <t>FR35810869891</t>
  </si>
  <si>
    <t>FR61489359067</t>
  </si>
  <si>
    <t>FR76335324042</t>
  </si>
  <si>
    <t>FR01829476258</t>
  </si>
  <si>
    <t>FR11888163169</t>
  </si>
  <si>
    <t>FR15505042044</t>
  </si>
  <si>
    <t>FR82391087210</t>
  </si>
  <si>
    <t>FR82798100665</t>
  </si>
  <si>
    <t>FR30501529291</t>
  </si>
  <si>
    <t>FR22439206368</t>
  </si>
  <si>
    <t>FR57807886437</t>
  </si>
  <si>
    <t>FR39408605913</t>
  </si>
  <si>
    <t>FR76409554359</t>
  </si>
  <si>
    <t>FR75919313932</t>
  </si>
  <si>
    <t>FR00948055686</t>
  </si>
  <si>
    <t>FR09834157513</t>
  </si>
  <si>
    <t>FR00499548444</t>
  </si>
  <si>
    <t>FR76829634781</t>
  </si>
  <si>
    <t>FR23431925031</t>
  </si>
  <si>
    <t>FR25790208920</t>
  </si>
  <si>
    <t>FR04312708274</t>
  </si>
  <si>
    <t>FR18216701300</t>
  </si>
  <si>
    <t>FR13434909362</t>
  </si>
  <si>
    <t>FR42216702860</t>
  </si>
  <si>
    <t>FR66397524448</t>
  </si>
  <si>
    <t>FR94403894512</t>
  </si>
  <si>
    <t>FR16792366585</t>
  </si>
  <si>
    <t>FR08378093421</t>
  </si>
  <si>
    <t>FR91835082306</t>
  </si>
  <si>
    <t>FR79534886411</t>
  </si>
  <si>
    <t>FR19305731069</t>
  </si>
  <si>
    <t>FR83479096539</t>
  </si>
  <si>
    <t>FR05438584948</t>
  </si>
  <si>
    <t>FR08840052914</t>
  </si>
  <si>
    <t>FR34539210559</t>
  </si>
  <si>
    <t>FR96384174348</t>
  </si>
  <si>
    <t>FR82822094876</t>
  </si>
  <si>
    <t>FR12402335145</t>
  </si>
  <si>
    <t>FR01823982954</t>
  </si>
  <si>
    <t>FR25529434896</t>
  </si>
  <si>
    <t>FR05507991552</t>
  </si>
  <si>
    <t>FR11500569405</t>
  </si>
  <si>
    <t>FR46702000522</t>
  </si>
  <si>
    <t>FR14401948245</t>
  </si>
  <si>
    <t>FR17438549644</t>
  </si>
  <si>
    <t>FR60056500382</t>
  </si>
  <si>
    <t>FR89809443815</t>
  </si>
  <si>
    <t>FR41401206107</t>
  </si>
  <si>
    <t>FR79941966699</t>
  </si>
  <si>
    <t>FR79318990892</t>
  </si>
  <si>
    <t>FR43934595463</t>
  </si>
  <si>
    <t>FR14352262711</t>
  </si>
  <si>
    <t>FR09931272652</t>
  </si>
  <si>
    <t>FR21349173716</t>
  </si>
  <si>
    <t>FR63499968378</t>
  </si>
  <si>
    <t>FR83398248591</t>
  </si>
  <si>
    <t>FR11391806312</t>
  </si>
  <si>
    <t>FR19341149649</t>
  </si>
  <si>
    <t>FR86400030870</t>
  </si>
  <si>
    <t>FR91305730608</t>
  </si>
  <si>
    <t>FR94409197696</t>
  </si>
  <si>
    <t>FR19334665684</t>
  </si>
  <si>
    <t>FR52400495909</t>
  </si>
  <si>
    <t>FR25309124519</t>
  </si>
  <si>
    <t>FR48838001733</t>
  </si>
  <si>
    <t>FR22479608226</t>
  </si>
  <si>
    <t>FR47808661011</t>
  </si>
  <si>
    <t>FR19842403842</t>
  </si>
  <si>
    <t>FR15525247920</t>
  </si>
  <si>
    <t>FR69921721373</t>
  </si>
  <si>
    <t>FR44432860021</t>
  </si>
  <si>
    <t>FR75420705220</t>
  </si>
  <si>
    <t>FR12058812652</t>
  </si>
  <si>
    <t>FR93337953459</t>
  </si>
  <si>
    <t>FR88325444693</t>
  </si>
  <si>
    <t>FR57532511391</t>
  </si>
  <si>
    <t>FR65060801396</t>
  </si>
  <si>
    <t>FR13327467700</t>
  </si>
  <si>
    <t>FR89901197376</t>
  </si>
  <si>
    <t>FR03843411117</t>
  </si>
  <si>
    <t>FR74329777452</t>
  </si>
  <si>
    <t>FR39212202253</t>
  </si>
  <si>
    <t>FR72794256487</t>
  </si>
  <si>
    <t>FR23368500708</t>
  </si>
  <si>
    <t>FR51329461289</t>
  </si>
  <si>
    <t>FR83828945469</t>
  </si>
  <si>
    <t>FR33494348576</t>
  </si>
  <si>
    <t>FR16492109293</t>
  </si>
  <si>
    <t>FR82833996000</t>
  </si>
  <si>
    <t>FR25414599506</t>
  </si>
  <si>
    <t>FR70400186000</t>
  </si>
  <si>
    <t>FR76401072000</t>
  </si>
  <si>
    <t>FR69395253000</t>
  </si>
  <si>
    <t>FR88330385000</t>
  </si>
  <si>
    <t>FR67345326000</t>
  </si>
  <si>
    <t>FR79328959000</t>
  </si>
  <si>
    <t>FR51592027000</t>
  </si>
  <si>
    <t>FR95492956000</t>
  </si>
  <si>
    <t>FR60834983000</t>
  </si>
  <si>
    <t>FR13440366000</t>
  </si>
  <si>
    <t>FR16200052090</t>
  </si>
  <si>
    <t>FR80930626882</t>
  </si>
  <si>
    <t>FR10840396618</t>
  </si>
  <si>
    <t>FR17452988967</t>
  </si>
  <si>
    <t>FR67477181010</t>
  </si>
  <si>
    <t>FR90489967687</t>
  </si>
  <si>
    <t>FR83522903194</t>
  </si>
  <si>
    <t>FR21539539320</t>
  </si>
  <si>
    <t>FR89559164706</t>
  </si>
  <si>
    <t>FR71902261460</t>
  </si>
  <si>
    <t>FR78433816808</t>
  </si>
  <si>
    <t>FR11753406016</t>
  </si>
  <si>
    <t>FR17938166089</t>
  </si>
  <si>
    <t>FR69947986451</t>
  </si>
  <si>
    <t>FR22421131000</t>
  </si>
  <si>
    <t>FR53482001000</t>
  </si>
  <si>
    <t>FR62342389000</t>
  </si>
  <si>
    <t>FR73417604000</t>
  </si>
  <si>
    <t>FR32440003000</t>
  </si>
  <si>
    <t>FR02430432000</t>
  </si>
  <si>
    <t>FR67348624000</t>
  </si>
  <si>
    <t>FR35431716000</t>
  </si>
  <si>
    <t>FR85445178000</t>
  </si>
  <si>
    <t>FR12424860000</t>
  </si>
  <si>
    <t>FR13492843000</t>
  </si>
  <si>
    <t>FR85421995000</t>
  </si>
  <si>
    <t>FR88440577000</t>
  </si>
  <si>
    <t>FR62437643000</t>
  </si>
  <si>
    <t>FR34399720000</t>
  </si>
  <si>
    <t>FR83433081000</t>
  </si>
  <si>
    <t>FR56310269000</t>
  </si>
  <si>
    <t>FR91520172000</t>
  </si>
  <si>
    <t>FR83389819000</t>
  </si>
  <si>
    <t>FR03770500000</t>
  </si>
  <si>
    <t>FR90305525000</t>
  </si>
  <si>
    <t>FR95869801000</t>
  </si>
  <si>
    <t>FR86822786067</t>
  </si>
  <si>
    <t>FR45792666745</t>
  </si>
  <si>
    <t>FR06646950519</t>
  </si>
  <si>
    <t>FR89389191412</t>
  </si>
  <si>
    <t>FR91831025960</t>
  </si>
  <si>
    <t>FR16490596384</t>
  </si>
  <si>
    <t>FR77385082391</t>
  </si>
  <si>
    <t>FR02437528326</t>
  </si>
  <si>
    <t>FR23380927475</t>
  </si>
  <si>
    <t>FR55442091062</t>
  </si>
  <si>
    <t>FR95492931944</t>
  </si>
  <si>
    <t>FR27 91865116</t>
  </si>
  <si>
    <t>FR49889958781</t>
  </si>
  <si>
    <t>FR38920697851</t>
  </si>
  <si>
    <t>FR74843982794</t>
  </si>
  <si>
    <t>FR66562106385</t>
  </si>
  <si>
    <t>FR35775637648</t>
  </si>
  <si>
    <t>FR82350544896</t>
  </si>
  <si>
    <t>FR25419013297</t>
  </si>
  <si>
    <t>FR74412773368</t>
  </si>
  <si>
    <t>FR69383491750</t>
  </si>
  <si>
    <t>FR67349844357</t>
  </si>
  <si>
    <t>FR83900781147</t>
  </si>
  <si>
    <t>FR78350251211</t>
  </si>
  <si>
    <t>FR54951547801</t>
  </si>
  <si>
    <t>FR42658036370</t>
  </si>
  <si>
    <t>FR16801577511</t>
  </si>
  <si>
    <t>FR58789612090</t>
  </si>
  <si>
    <t>FR00311878276</t>
  </si>
  <si>
    <t>FR52480827138</t>
  </si>
  <si>
    <t>FR92514032838</t>
  </si>
  <si>
    <t>FR44492774690</t>
  </si>
  <si>
    <t>FR65318413705</t>
  </si>
  <si>
    <t>FR80834982845</t>
  </si>
  <si>
    <t>FR20331152991</t>
  </si>
  <si>
    <t>FR75819339524</t>
  </si>
  <si>
    <t>FR09777746678</t>
  </si>
  <si>
    <t>FR84378183818</t>
  </si>
  <si>
    <t>FR74902833276</t>
  </si>
  <si>
    <t>FR00405325069</t>
  </si>
  <si>
    <t>FR02908816697</t>
  </si>
  <si>
    <t>FR59977522010</t>
  </si>
  <si>
    <t>FR86499449759</t>
  </si>
  <si>
    <t>FR47822150025</t>
  </si>
  <si>
    <t>FR41424982650</t>
  </si>
  <si>
    <t>FR78390662963</t>
  </si>
  <si>
    <t>FR88752056416</t>
  </si>
  <si>
    <t>FR76900458167</t>
  </si>
  <si>
    <t>FR27898270251</t>
  </si>
  <si>
    <t>FR37849100243</t>
  </si>
  <si>
    <t>FR30308635770</t>
  </si>
  <si>
    <t>FR56912432002</t>
  </si>
  <si>
    <t>FR4850324000</t>
  </si>
  <si>
    <t>FR49822762613</t>
  </si>
  <si>
    <t>FR37844256354</t>
  </si>
  <si>
    <t>FR46753996693</t>
  </si>
  <si>
    <t>FR55830965323</t>
  </si>
  <si>
    <t>FR61789479201</t>
  </si>
  <si>
    <t>FR18980825202</t>
  </si>
  <si>
    <t>FR07841563042</t>
  </si>
  <si>
    <t>FR84321702755</t>
  </si>
  <si>
    <t>FR63325921278</t>
  </si>
  <si>
    <t>FR33443586730</t>
  </si>
  <si>
    <t>FR02881246581</t>
  </si>
  <si>
    <t>FR90880147665</t>
  </si>
  <si>
    <t>FR94843127390</t>
  </si>
  <si>
    <t>FR17849249487</t>
  </si>
  <si>
    <t>FR14982399834</t>
  </si>
  <si>
    <t>FR23328751466</t>
  </si>
  <si>
    <t>FR76331901397</t>
  </si>
  <si>
    <t>FR89939114773</t>
  </si>
  <si>
    <t>FR32833184740</t>
  </si>
  <si>
    <t>FR13522075308</t>
  </si>
  <si>
    <t>FR25980677926</t>
  </si>
  <si>
    <t>FR04537915308</t>
  </si>
  <si>
    <t>FR54382054690</t>
  </si>
  <si>
    <t>FR02326793999</t>
  </si>
  <si>
    <t>FR36878985878</t>
  </si>
  <si>
    <t>FR08830867693</t>
  </si>
  <si>
    <t>FR95920266608</t>
  </si>
  <si>
    <t>FR73939420253</t>
  </si>
  <si>
    <t>FR61519191902</t>
  </si>
  <si>
    <t>FR37329035422</t>
  </si>
  <si>
    <t>FR49216701763</t>
  </si>
  <si>
    <t>FR40492187968</t>
  </si>
  <si>
    <t>FR27439684903</t>
  </si>
  <si>
    <t>FR52389795451</t>
  </si>
  <si>
    <t>FR96392026886</t>
  </si>
  <si>
    <t>FR12345271985</t>
  </si>
  <si>
    <t>FR48884070913</t>
  </si>
  <si>
    <t>FR62421123027</t>
  </si>
  <si>
    <t>FR64927618066</t>
  </si>
  <si>
    <t>FR96448970251</t>
  </si>
  <si>
    <t>FR90303275473</t>
  </si>
  <si>
    <t>FR92348964446</t>
  </si>
  <si>
    <t>FR65795315563</t>
  </si>
  <si>
    <t>FR58432887024</t>
  </si>
  <si>
    <t>FR45831039557</t>
  </si>
  <si>
    <t>FR84440133353</t>
  </si>
  <si>
    <t>FR53938097425</t>
  </si>
  <si>
    <t>FR57501572853</t>
  </si>
  <si>
    <t>FR43682011440</t>
  </si>
  <si>
    <t>FR52401090519</t>
  </si>
  <si>
    <t>FR44514080837</t>
  </si>
  <si>
    <t>FR80334960358</t>
  </si>
  <si>
    <t>FR69333454106</t>
  </si>
  <si>
    <t>FR73795255652</t>
  </si>
  <si>
    <t>FR18403891997</t>
  </si>
  <si>
    <t>FR19414001305</t>
  </si>
  <si>
    <t>FR14378970206</t>
  </si>
  <si>
    <t>FR25778329524</t>
  </si>
  <si>
    <t>FR48311999833</t>
  </si>
  <si>
    <t>FR03775724420</t>
  </si>
  <si>
    <t>FR14420175903</t>
  </si>
  <si>
    <t>FR20814395836</t>
  </si>
  <si>
    <t>FR18373200518</t>
  </si>
  <si>
    <t>FR08414770479</t>
  </si>
  <si>
    <t>FR35493479489</t>
  </si>
  <si>
    <t>FR29395347206</t>
  </si>
  <si>
    <t>FR87424246015</t>
  </si>
  <si>
    <t>FR41379677636</t>
  </si>
  <si>
    <t>FR02216704528</t>
  </si>
  <si>
    <t>FR75216700252</t>
  </si>
  <si>
    <t>FR00780358206</t>
  </si>
  <si>
    <t>FR62661780221</t>
  </si>
  <si>
    <t>FR47394049449</t>
  </si>
  <si>
    <t>FR61325741601</t>
  </si>
  <si>
    <t>FR06478076623</t>
  </si>
  <si>
    <t>FR68439930553</t>
  </si>
  <si>
    <t>FR96404350639</t>
  </si>
  <si>
    <t>FR77799403050</t>
  </si>
  <si>
    <t>FR85457208619</t>
  </si>
  <si>
    <t>FR35509467320</t>
  </si>
  <si>
    <t>FR08760200477</t>
  </si>
  <si>
    <t>FR39385024922</t>
  </si>
  <si>
    <t>FR68086719409</t>
  </si>
  <si>
    <t>FR88840727705</t>
  </si>
  <si>
    <t>FR06 07688024</t>
  </si>
  <si>
    <t>FR39913705380</t>
  </si>
  <si>
    <t>FR82878586221</t>
  </si>
  <si>
    <t>FR25814032314</t>
  </si>
  <si>
    <t>FR67454000241</t>
  </si>
  <si>
    <t>FR45848820239</t>
  </si>
  <si>
    <t>FR71509730008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</si>
</sst>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9"/>
  <sheetViews>
    <sheetView tabSelected="1" workbookViewId="0">
      <selection activeCell="B8" sqref="B8"/>
    </sheetView>
  </sheetViews>
  <sheetFormatPr baseColWidth="10" defaultColWidth="8.7265625" defaultRowHeight="14.5" x14ac:dyDescent="0.35"/>
  <cols>
    <col min="1" max="1" width="10.36328125" bestFit="1" customWidth="1"/>
    <col min="2" max="2" width="74.54296875" bestFit="1" customWidth="1"/>
    <col min="3" max="3" width="21.26953125" bestFit="1" customWidth="1"/>
    <col min="4" max="4" width="18.26953125" customWidth="1"/>
    <col min="5" max="5" width="20.26953125" customWidth="1"/>
    <col min="6" max="6" width="15.6328125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5741</v>
      </c>
      <c r="E1" t="s">
        <v>7378</v>
      </c>
      <c r="F1" t="s">
        <v>3</v>
      </c>
      <c r="G1" t="s">
        <v>4</v>
      </c>
    </row>
    <row r="2" spans="1:7" x14ac:dyDescent="0.35">
      <c r="A2" s="2" t="s">
        <v>5</v>
      </c>
      <c r="B2" s="2" t="s">
        <v>6</v>
      </c>
      <c r="C2" s="2" t="s">
        <v>7</v>
      </c>
      <c r="D2" t="s">
        <v>5742</v>
      </c>
      <c r="E2" t="s">
        <v>7379</v>
      </c>
      <c r="F2" t="s">
        <v>0</v>
      </c>
      <c r="G2" s="1">
        <f>DATE(2020,3,20)</f>
        <v>43910</v>
      </c>
    </row>
    <row r="3" spans="1:7" x14ac:dyDescent="0.35">
      <c r="A3" s="2" t="s">
        <v>8</v>
      </c>
      <c r="B3" s="2" t="s">
        <v>9</v>
      </c>
      <c r="C3" s="2" t="s">
        <v>10</v>
      </c>
      <c r="D3" t="s">
        <v>5743</v>
      </c>
      <c r="E3" t="s">
        <v>7380</v>
      </c>
      <c r="F3" t="s">
        <v>0</v>
      </c>
      <c r="G3" s="1">
        <f>DATE(2021,12,22)</f>
        <v>44552</v>
      </c>
    </row>
    <row r="4" spans="1:7" x14ac:dyDescent="0.35">
      <c r="A4" s="2" t="s">
        <v>11</v>
      </c>
      <c r="B4" s="2" t="s">
        <v>12</v>
      </c>
      <c r="C4" s="2" t="s">
        <v>13</v>
      </c>
      <c r="D4" t="s">
        <v>5744</v>
      </c>
      <c r="E4" t="s">
        <v>7381</v>
      </c>
      <c r="F4" t="s">
        <v>0</v>
      </c>
      <c r="G4" s="1">
        <f>DATE(2020,3,20)</f>
        <v>43910</v>
      </c>
    </row>
    <row r="5" spans="1:7" x14ac:dyDescent="0.35">
      <c r="A5" s="2" t="s">
        <v>14</v>
      </c>
      <c r="B5" s="2" t="s">
        <v>15</v>
      </c>
      <c r="C5" s="2" t="s">
        <v>16</v>
      </c>
      <c r="D5" t="s">
        <v>5745</v>
      </c>
      <c r="E5" t="s">
        <v>7382</v>
      </c>
      <c r="F5" t="s">
        <v>0</v>
      </c>
      <c r="G5" s="1">
        <f>DATE(2022,10,20)</f>
        <v>44854</v>
      </c>
    </row>
    <row r="6" spans="1:7" x14ac:dyDescent="0.35">
      <c r="A6" s="2" t="s">
        <v>17</v>
      </c>
      <c r="B6" s="2" t="s">
        <v>18</v>
      </c>
      <c r="C6" s="2" t="s">
        <v>19</v>
      </c>
      <c r="D6" t="s">
        <v>5746</v>
      </c>
      <c r="E6" t="s">
        <v>7383</v>
      </c>
      <c r="F6" t="s">
        <v>0</v>
      </c>
      <c r="G6" s="1">
        <f>DATE(2020,3,20)</f>
        <v>43910</v>
      </c>
    </row>
    <row r="7" spans="1:7" x14ac:dyDescent="0.35">
      <c r="A7" s="2" t="s">
        <v>20</v>
      </c>
      <c r="B7" s="2" t="s">
        <v>21</v>
      </c>
      <c r="C7" s="2" t="s">
        <v>22</v>
      </c>
      <c r="D7" t="s">
        <v>5747</v>
      </c>
      <c r="E7" t="s">
        <v>7384</v>
      </c>
      <c r="F7" t="s">
        <v>0</v>
      </c>
      <c r="G7" s="1">
        <f>DATE(2020,3,20)</f>
        <v>43910</v>
      </c>
    </row>
    <row r="8" spans="1:7" x14ac:dyDescent="0.35">
      <c r="A8" s="2" t="s">
        <v>23</v>
      </c>
      <c r="B8" s="2" t="s">
        <v>24</v>
      </c>
      <c r="C8" s="2" t="s">
        <v>25</v>
      </c>
      <c r="D8" t="s">
        <v>5748</v>
      </c>
      <c r="E8" t="s">
        <v>7385</v>
      </c>
      <c r="F8" t="s">
        <v>0</v>
      </c>
      <c r="G8" s="1">
        <f>DATE(2021,2,17)</f>
        <v>44244</v>
      </c>
    </row>
    <row r="9" spans="1:7" x14ac:dyDescent="0.35">
      <c r="A9" s="2" t="s">
        <v>26</v>
      </c>
      <c r="B9" s="2" t="s">
        <v>27</v>
      </c>
      <c r="C9" s="2" t="s">
        <v>28</v>
      </c>
      <c r="D9" t="s">
        <v>5749</v>
      </c>
      <c r="E9" t="s">
        <v>7386</v>
      </c>
      <c r="F9" t="s">
        <v>0</v>
      </c>
      <c r="G9" s="1">
        <f>DATE(2024,1,16)</f>
        <v>45307</v>
      </c>
    </row>
    <row r="10" spans="1:7" x14ac:dyDescent="0.35">
      <c r="A10" s="2" t="s">
        <v>29</v>
      </c>
      <c r="B10" s="2" t="s">
        <v>30</v>
      </c>
      <c r="C10" s="2" t="s">
        <v>31</v>
      </c>
      <c r="D10" t="s">
        <v>5750</v>
      </c>
      <c r="E10" t="s">
        <v>7387</v>
      </c>
      <c r="F10" t="s">
        <v>0</v>
      </c>
      <c r="G10" s="1">
        <f>DATE(2023,9,25)</f>
        <v>45194</v>
      </c>
    </row>
    <row r="11" spans="1:7" x14ac:dyDescent="0.35">
      <c r="A11" s="2" t="s">
        <v>32</v>
      </c>
      <c r="B11" s="2" t="s">
        <v>33</v>
      </c>
      <c r="C11" s="2" t="s">
        <v>34</v>
      </c>
      <c r="D11" t="s">
        <v>5751</v>
      </c>
      <c r="E11" t="s">
        <v>7388</v>
      </c>
      <c r="F11" t="s">
        <v>0</v>
      </c>
      <c r="G11" s="1">
        <f>DATE(2022,12,7)</f>
        <v>44902</v>
      </c>
    </row>
    <row r="12" spans="1:7" x14ac:dyDescent="0.35">
      <c r="A12" s="2" t="s">
        <v>35</v>
      </c>
      <c r="B12" s="2" t="s">
        <v>36</v>
      </c>
      <c r="C12" s="2" t="s">
        <v>37</v>
      </c>
      <c r="D12" t="s">
        <v>5752</v>
      </c>
      <c r="E12" t="s">
        <v>7389</v>
      </c>
      <c r="F12" t="s">
        <v>0</v>
      </c>
      <c r="G12" s="1">
        <f>DATE(2020,3,20)</f>
        <v>43910</v>
      </c>
    </row>
    <row r="13" spans="1:7" x14ac:dyDescent="0.35">
      <c r="A13" s="2" t="s">
        <v>38</v>
      </c>
      <c r="B13" s="2" t="s">
        <v>39</v>
      </c>
      <c r="C13" s="2" t="s">
        <v>40</v>
      </c>
      <c r="D13" t="s">
        <v>5753</v>
      </c>
      <c r="E13" t="s">
        <v>7390</v>
      </c>
      <c r="F13" t="s">
        <v>0</v>
      </c>
      <c r="G13" s="1">
        <f>DATE(2020,3,20)</f>
        <v>43910</v>
      </c>
    </row>
    <row r="14" spans="1:7" x14ac:dyDescent="0.35">
      <c r="A14" s="2" t="s">
        <v>41</v>
      </c>
      <c r="B14" s="2" t="s">
        <v>42</v>
      </c>
      <c r="C14" s="2" t="s">
        <v>43</v>
      </c>
      <c r="D14" t="s">
        <v>5754</v>
      </c>
      <c r="E14" t="s">
        <v>7391</v>
      </c>
      <c r="F14" t="s">
        <v>0</v>
      </c>
      <c r="G14" s="1">
        <f>DATE(2020,3,20)</f>
        <v>43910</v>
      </c>
    </row>
    <row r="15" spans="1:7" x14ac:dyDescent="0.35">
      <c r="A15" s="2" t="s">
        <v>44</v>
      </c>
      <c r="B15" s="2" t="s">
        <v>45</v>
      </c>
      <c r="C15" s="2" t="s">
        <v>46</v>
      </c>
      <c r="D15" t="s">
        <v>5755</v>
      </c>
      <c r="E15" t="s">
        <v>7392</v>
      </c>
      <c r="F15" t="s">
        <v>0</v>
      </c>
      <c r="G15" s="1">
        <f>DATE(2022,9,16)</f>
        <v>44820</v>
      </c>
    </row>
    <row r="16" spans="1:7" x14ac:dyDescent="0.35">
      <c r="A16" s="2" t="s">
        <v>47</v>
      </c>
      <c r="B16" s="2" t="s">
        <v>48</v>
      </c>
      <c r="D16" t="s">
        <v>5756</v>
      </c>
      <c r="E16" t="e">
        <v>#VALUE!</v>
      </c>
      <c r="F16" t="s">
        <v>0</v>
      </c>
      <c r="G16" s="1">
        <f>DATE(2021,10,28)</f>
        <v>44497</v>
      </c>
    </row>
    <row r="17" spans="1:7" x14ac:dyDescent="0.35">
      <c r="A17" s="2" t="s">
        <v>49</v>
      </c>
      <c r="B17" s="2" t="s">
        <v>50</v>
      </c>
      <c r="C17" s="2" t="s">
        <v>51</v>
      </c>
      <c r="D17" t="s">
        <v>5757</v>
      </c>
      <c r="E17" t="s">
        <v>7393</v>
      </c>
      <c r="F17" t="s">
        <v>0</v>
      </c>
      <c r="G17" s="1">
        <f>DATE(2023,3,1)</f>
        <v>44986</v>
      </c>
    </row>
    <row r="18" spans="1:7" x14ac:dyDescent="0.35">
      <c r="A18" s="2" t="s">
        <v>52</v>
      </c>
      <c r="B18" s="2" t="s">
        <v>53</v>
      </c>
      <c r="C18" s="2" t="s">
        <v>54</v>
      </c>
      <c r="D18" t="s">
        <v>5758</v>
      </c>
      <c r="E18" t="s">
        <v>7394</v>
      </c>
      <c r="F18" t="s">
        <v>0</v>
      </c>
      <c r="G18" s="1">
        <f>DATE(2020,7,27)</f>
        <v>44039</v>
      </c>
    </row>
    <row r="19" spans="1:7" x14ac:dyDescent="0.35">
      <c r="A19" s="2" t="s">
        <v>55</v>
      </c>
      <c r="B19" s="2" t="s">
        <v>56</v>
      </c>
      <c r="D19" t="s">
        <v>5756</v>
      </c>
      <c r="E19" t="e">
        <v>#VALUE!</v>
      </c>
      <c r="F19" t="s">
        <v>0</v>
      </c>
      <c r="G19" s="1">
        <f>DATE(2023,6,16)</f>
        <v>45093</v>
      </c>
    </row>
    <row r="20" spans="1:7" x14ac:dyDescent="0.35">
      <c r="A20" s="2" t="s">
        <v>57</v>
      </c>
      <c r="B20" s="2" t="s">
        <v>58</v>
      </c>
      <c r="C20" s="2" t="s">
        <v>59</v>
      </c>
      <c r="D20" t="s">
        <v>5759</v>
      </c>
      <c r="E20" t="s">
        <v>7395</v>
      </c>
      <c r="F20" t="s">
        <v>0</v>
      </c>
      <c r="G20" s="1">
        <f>DATE(2020,7,27)</f>
        <v>44039</v>
      </c>
    </row>
    <row r="21" spans="1:7" x14ac:dyDescent="0.35">
      <c r="A21" s="2" t="s">
        <v>60</v>
      </c>
      <c r="B21" s="2" t="s">
        <v>61</v>
      </c>
      <c r="C21" s="2" t="s">
        <v>62</v>
      </c>
      <c r="D21" t="s">
        <v>5760</v>
      </c>
      <c r="E21" t="s">
        <v>7396</v>
      </c>
      <c r="F21" t="s">
        <v>0</v>
      </c>
      <c r="G21" s="1">
        <f>DATE(2020,5,4)</f>
        <v>43955</v>
      </c>
    </row>
    <row r="22" spans="1:7" x14ac:dyDescent="0.35">
      <c r="A22" s="2" t="s">
        <v>63</v>
      </c>
      <c r="B22" s="2" t="s">
        <v>64</v>
      </c>
      <c r="C22" s="2" t="s">
        <v>65</v>
      </c>
      <c r="D22" t="s">
        <v>5761</v>
      </c>
      <c r="E22" t="s">
        <v>7397</v>
      </c>
      <c r="F22" t="s">
        <v>0</v>
      </c>
      <c r="G22" s="1">
        <f>DATE(2021,10,11)</f>
        <v>44480</v>
      </c>
    </row>
    <row r="23" spans="1:7" x14ac:dyDescent="0.35">
      <c r="A23" s="2" t="s">
        <v>66</v>
      </c>
      <c r="B23" s="2" t="s">
        <v>67</v>
      </c>
      <c r="C23" s="2" t="s">
        <v>68</v>
      </c>
      <c r="D23" t="s">
        <v>5762</v>
      </c>
      <c r="E23" t="s">
        <v>7398</v>
      </c>
      <c r="F23" t="s">
        <v>0</v>
      </c>
      <c r="G23" s="1">
        <f>DATE(2020,3,20)</f>
        <v>43910</v>
      </c>
    </row>
    <row r="24" spans="1:7" x14ac:dyDescent="0.35">
      <c r="A24" s="2" t="s">
        <v>69</v>
      </c>
      <c r="B24" s="2" t="s">
        <v>70</v>
      </c>
      <c r="C24" s="2" t="s">
        <v>71</v>
      </c>
      <c r="D24" t="s">
        <v>5763</v>
      </c>
      <c r="E24" t="s">
        <v>7399</v>
      </c>
      <c r="F24" t="s">
        <v>0</v>
      </c>
      <c r="G24" s="1">
        <f>DATE(2020,7,6)</f>
        <v>44018</v>
      </c>
    </row>
    <row r="25" spans="1:7" x14ac:dyDescent="0.35">
      <c r="A25" s="2" t="s">
        <v>72</v>
      </c>
      <c r="B25" s="2" t="s">
        <v>73</v>
      </c>
      <c r="D25" t="s">
        <v>5756</v>
      </c>
      <c r="E25" t="e">
        <v>#VALUE!</v>
      </c>
      <c r="F25" t="s">
        <v>0</v>
      </c>
      <c r="G25" s="1">
        <f>DATE(2020,6,18)</f>
        <v>44000</v>
      </c>
    </row>
    <row r="26" spans="1:7" x14ac:dyDescent="0.35">
      <c r="A26" s="2" t="s">
        <v>74</v>
      </c>
      <c r="B26" s="2" t="s">
        <v>75</v>
      </c>
      <c r="C26" s="2" t="s">
        <v>76</v>
      </c>
      <c r="D26" t="s">
        <v>5764</v>
      </c>
      <c r="E26" t="s">
        <v>7400</v>
      </c>
      <c r="F26" t="s">
        <v>0</v>
      </c>
      <c r="G26" s="1">
        <f>DATE(2023,6,13)</f>
        <v>45090</v>
      </c>
    </row>
    <row r="27" spans="1:7" x14ac:dyDescent="0.35">
      <c r="A27" s="2" t="s">
        <v>77</v>
      </c>
      <c r="B27" s="2" t="s">
        <v>78</v>
      </c>
      <c r="C27" s="2" t="s">
        <v>76</v>
      </c>
      <c r="D27" t="s">
        <v>5764</v>
      </c>
      <c r="E27" t="s">
        <v>7400</v>
      </c>
      <c r="F27" t="s">
        <v>0</v>
      </c>
      <c r="G27" s="1">
        <f>DATE(2023,6,13)</f>
        <v>45090</v>
      </c>
    </row>
    <row r="28" spans="1:7" x14ac:dyDescent="0.35">
      <c r="A28" s="2" t="s">
        <v>79</v>
      </c>
      <c r="B28" s="2" t="s">
        <v>80</v>
      </c>
      <c r="C28" s="2" t="s">
        <v>81</v>
      </c>
      <c r="D28" t="s">
        <v>5765</v>
      </c>
      <c r="E28" t="s">
        <v>7401</v>
      </c>
      <c r="F28" t="s">
        <v>0</v>
      </c>
      <c r="G28" s="1">
        <f>DATE(2021,4,28)</f>
        <v>44314</v>
      </c>
    </row>
    <row r="29" spans="1:7" x14ac:dyDescent="0.35">
      <c r="A29" s="2" t="s">
        <v>82</v>
      </c>
      <c r="B29" s="2" t="s">
        <v>83</v>
      </c>
      <c r="C29" s="2" t="s">
        <v>84</v>
      </c>
      <c r="D29" t="s">
        <v>5766</v>
      </c>
      <c r="E29" t="s">
        <v>7402</v>
      </c>
      <c r="F29" t="s">
        <v>0</v>
      </c>
      <c r="G29" s="1">
        <f>DATE(2020,3,20)</f>
        <v>43910</v>
      </c>
    </row>
    <row r="30" spans="1:7" x14ac:dyDescent="0.35">
      <c r="A30" s="2" t="s">
        <v>85</v>
      </c>
      <c r="B30" s="2" t="s">
        <v>86</v>
      </c>
      <c r="C30" s="2" t="s">
        <v>87</v>
      </c>
      <c r="D30" t="s">
        <v>5767</v>
      </c>
      <c r="E30" t="s">
        <v>7403</v>
      </c>
      <c r="F30" t="s">
        <v>0</v>
      </c>
      <c r="G30" s="1">
        <f>DATE(2020,7,25)</f>
        <v>44037</v>
      </c>
    </row>
    <row r="31" spans="1:7" x14ac:dyDescent="0.35">
      <c r="A31" s="2" t="s">
        <v>88</v>
      </c>
      <c r="B31" s="2" t="s">
        <v>89</v>
      </c>
      <c r="C31" s="2" t="s">
        <v>90</v>
      </c>
      <c r="D31" t="s">
        <v>5768</v>
      </c>
      <c r="E31" t="s">
        <v>7404</v>
      </c>
      <c r="F31" t="s">
        <v>0</v>
      </c>
      <c r="G31" s="1">
        <f>DATE(2020,7,3)</f>
        <v>44015</v>
      </c>
    </row>
    <row r="32" spans="1:7" x14ac:dyDescent="0.35">
      <c r="A32" s="2" t="s">
        <v>91</v>
      </c>
      <c r="B32" s="2" t="s">
        <v>92</v>
      </c>
      <c r="C32" s="2" t="s">
        <v>93</v>
      </c>
      <c r="D32" t="s">
        <v>5769</v>
      </c>
      <c r="E32" t="s">
        <v>7405</v>
      </c>
      <c r="F32" t="s">
        <v>0</v>
      </c>
      <c r="G32" s="1">
        <f>DATE(2023,9,25)</f>
        <v>45194</v>
      </c>
    </row>
    <row r="33" spans="1:7" x14ac:dyDescent="0.35">
      <c r="A33" s="2" t="s">
        <v>94</v>
      </c>
      <c r="B33" s="2" t="s">
        <v>95</v>
      </c>
      <c r="C33" s="2" t="s">
        <v>96</v>
      </c>
      <c r="D33" t="s">
        <v>5770</v>
      </c>
      <c r="E33" t="s">
        <v>7406</v>
      </c>
      <c r="F33" t="s">
        <v>0</v>
      </c>
      <c r="G33" s="1">
        <f>DATE(2020,3,20)</f>
        <v>43910</v>
      </c>
    </row>
    <row r="34" spans="1:7" x14ac:dyDescent="0.35">
      <c r="A34" s="2" t="s">
        <v>97</v>
      </c>
      <c r="B34" s="2" t="s">
        <v>98</v>
      </c>
      <c r="C34" s="2" t="s">
        <v>99</v>
      </c>
      <c r="D34" t="s">
        <v>5771</v>
      </c>
      <c r="E34" t="s">
        <v>7407</v>
      </c>
      <c r="F34" t="s">
        <v>0</v>
      </c>
      <c r="G34" s="1">
        <f>DATE(2022,3,11)</f>
        <v>44631</v>
      </c>
    </row>
    <row r="35" spans="1:7" x14ac:dyDescent="0.35">
      <c r="A35" s="2" t="s">
        <v>100</v>
      </c>
      <c r="B35" s="2" t="s">
        <v>101</v>
      </c>
      <c r="C35" s="2" t="s">
        <v>102</v>
      </c>
      <c r="D35" t="s">
        <v>5772</v>
      </c>
      <c r="E35" t="s">
        <v>7408</v>
      </c>
      <c r="F35" t="s">
        <v>0</v>
      </c>
      <c r="G35" s="1">
        <f>DATE(2021,5,21)</f>
        <v>44337</v>
      </c>
    </row>
    <row r="36" spans="1:7" x14ac:dyDescent="0.35">
      <c r="A36" s="2" t="s">
        <v>103</v>
      </c>
      <c r="B36" s="2" t="s">
        <v>104</v>
      </c>
      <c r="C36" s="2" t="s">
        <v>105</v>
      </c>
      <c r="D36" t="s">
        <v>5773</v>
      </c>
      <c r="E36" t="s">
        <v>7409</v>
      </c>
      <c r="F36" t="s">
        <v>0</v>
      </c>
      <c r="G36" s="1">
        <f>DATE(2022,3,11)</f>
        <v>44631</v>
      </c>
    </row>
    <row r="37" spans="1:7" x14ac:dyDescent="0.35">
      <c r="A37" s="2" t="s">
        <v>106</v>
      </c>
      <c r="B37" s="2" t="s">
        <v>107</v>
      </c>
      <c r="C37" s="2" t="s">
        <v>108</v>
      </c>
      <c r="D37" t="s">
        <v>5774</v>
      </c>
      <c r="E37" t="s">
        <v>7410</v>
      </c>
      <c r="F37" t="s">
        <v>0</v>
      </c>
      <c r="G37" s="1">
        <f>DATE(2021,6,4)</f>
        <v>44351</v>
      </c>
    </row>
    <row r="38" spans="1:7" x14ac:dyDescent="0.35">
      <c r="A38" s="2" t="s">
        <v>109</v>
      </c>
      <c r="B38" s="2" t="s">
        <v>110</v>
      </c>
      <c r="C38" s="2" t="s">
        <v>111</v>
      </c>
      <c r="D38" t="s">
        <v>5775</v>
      </c>
      <c r="E38" t="s">
        <v>7411</v>
      </c>
      <c r="F38" t="s">
        <v>0</v>
      </c>
      <c r="G38" s="1">
        <f>DATE(2020,5,6)</f>
        <v>43957</v>
      </c>
    </row>
    <row r="39" spans="1:7" x14ac:dyDescent="0.35">
      <c r="A39" s="2" t="s">
        <v>112</v>
      </c>
      <c r="B39" s="2" t="s">
        <v>113</v>
      </c>
      <c r="C39" s="2" t="s">
        <v>114</v>
      </c>
      <c r="D39" t="s">
        <v>5776</v>
      </c>
      <c r="E39" t="s">
        <v>7412</v>
      </c>
      <c r="F39" t="s">
        <v>0</v>
      </c>
      <c r="G39" s="1">
        <f>DATE(2023,3,17)</f>
        <v>45002</v>
      </c>
    </row>
    <row r="40" spans="1:7" x14ac:dyDescent="0.35">
      <c r="A40" s="2" t="s">
        <v>115</v>
      </c>
      <c r="B40" s="2" t="s">
        <v>116</v>
      </c>
      <c r="C40" s="2" t="s">
        <v>117</v>
      </c>
      <c r="D40" t="s">
        <v>5777</v>
      </c>
      <c r="E40" t="s">
        <v>7413</v>
      </c>
      <c r="F40" t="s">
        <v>0</v>
      </c>
      <c r="G40" s="1">
        <f>DATE(2022,6,24)</f>
        <v>44736</v>
      </c>
    </row>
    <row r="41" spans="1:7" x14ac:dyDescent="0.35">
      <c r="A41" s="2" t="s">
        <v>118</v>
      </c>
      <c r="B41" s="2" t="s">
        <v>119</v>
      </c>
      <c r="D41" t="s">
        <v>5756</v>
      </c>
      <c r="E41" t="e">
        <v>#VALUE!</v>
      </c>
      <c r="F41" t="s">
        <v>0</v>
      </c>
      <c r="G41" s="1">
        <f>DATE(2020,9,21)</f>
        <v>44095</v>
      </c>
    </row>
    <row r="42" spans="1:7" x14ac:dyDescent="0.35">
      <c r="A42" s="2" t="s">
        <v>120</v>
      </c>
      <c r="B42" s="2" t="s">
        <v>121</v>
      </c>
      <c r="C42" s="2" t="s">
        <v>122</v>
      </c>
      <c r="D42" t="s">
        <v>5778</v>
      </c>
      <c r="E42" t="s">
        <v>7414</v>
      </c>
      <c r="F42" t="s">
        <v>0</v>
      </c>
      <c r="G42" s="1">
        <f>DATE(2021,1,20)</f>
        <v>44216</v>
      </c>
    </row>
    <row r="43" spans="1:7" x14ac:dyDescent="0.35">
      <c r="A43" s="2" t="s">
        <v>123</v>
      </c>
      <c r="B43" s="2" t="s">
        <v>124</v>
      </c>
      <c r="C43" s="2" t="s">
        <v>125</v>
      </c>
      <c r="D43" t="s">
        <v>5779</v>
      </c>
      <c r="E43" t="s">
        <v>7415</v>
      </c>
      <c r="F43" t="s">
        <v>0</v>
      </c>
      <c r="G43" s="1">
        <f>DATE(2020,7,9)</f>
        <v>44021</v>
      </c>
    </row>
    <row r="44" spans="1:7" x14ac:dyDescent="0.35">
      <c r="A44" s="2" t="s">
        <v>126</v>
      </c>
      <c r="B44" s="2" t="s">
        <v>127</v>
      </c>
      <c r="C44" s="2" t="s">
        <v>128</v>
      </c>
      <c r="D44" t="s">
        <v>5780</v>
      </c>
      <c r="E44" t="s">
        <v>7416</v>
      </c>
      <c r="F44" t="s">
        <v>0</v>
      </c>
      <c r="G44" s="1">
        <f>DATE(2022,1,4)</f>
        <v>44565</v>
      </c>
    </row>
    <row r="45" spans="1:7" x14ac:dyDescent="0.35">
      <c r="A45" s="2" t="s">
        <v>129</v>
      </c>
      <c r="B45" s="2" t="s">
        <v>130</v>
      </c>
      <c r="C45" s="2" t="s">
        <v>131</v>
      </c>
      <c r="D45" t="s">
        <v>5781</v>
      </c>
      <c r="E45" t="s">
        <v>7417</v>
      </c>
      <c r="F45" t="s">
        <v>0</v>
      </c>
      <c r="G45" s="1">
        <f>DATE(2020,5,20)</f>
        <v>43971</v>
      </c>
    </row>
    <row r="46" spans="1:7" x14ac:dyDescent="0.35">
      <c r="A46" s="2" t="s">
        <v>132</v>
      </c>
      <c r="B46" s="2" t="s">
        <v>133</v>
      </c>
      <c r="C46" s="2" t="s">
        <v>134</v>
      </c>
      <c r="D46" t="s">
        <v>5782</v>
      </c>
      <c r="E46" t="s">
        <v>7418</v>
      </c>
      <c r="F46" t="s">
        <v>0</v>
      </c>
      <c r="G46" s="1">
        <f>DATE(2020,3,20)</f>
        <v>43910</v>
      </c>
    </row>
    <row r="47" spans="1:7" x14ac:dyDescent="0.35">
      <c r="A47" s="2" t="s">
        <v>135</v>
      </c>
      <c r="B47" s="2" t="s">
        <v>136</v>
      </c>
      <c r="D47" t="s">
        <v>5756</v>
      </c>
      <c r="E47" t="e">
        <v>#VALUE!</v>
      </c>
      <c r="F47" t="s">
        <v>0</v>
      </c>
      <c r="G47" s="1">
        <f>DATE(2020,9,3)</f>
        <v>44077</v>
      </c>
    </row>
    <row r="48" spans="1:7" x14ac:dyDescent="0.35">
      <c r="A48" s="2" t="s">
        <v>137</v>
      </c>
      <c r="B48" s="2" t="s">
        <v>138</v>
      </c>
      <c r="C48" s="2" t="s">
        <v>139</v>
      </c>
      <c r="D48" t="s">
        <v>5783</v>
      </c>
      <c r="E48" t="s">
        <v>7419</v>
      </c>
      <c r="F48" t="s">
        <v>0</v>
      </c>
      <c r="G48" s="1">
        <f>DATE(2020,6,24)</f>
        <v>44006</v>
      </c>
    </row>
    <row r="49" spans="1:7" x14ac:dyDescent="0.35">
      <c r="A49" s="2" t="s">
        <v>140</v>
      </c>
      <c r="B49" s="2" t="s">
        <v>141</v>
      </c>
      <c r="C49" s="2" t="s">
        <v>142</v>
      </c>
      <c r="D49" t="s">
        <v>5784</v>
      </c>
      <c r="E49" t="s">
        <v>7420</v>
      </c>
      <c r="F49" t="s">
        <v>0</v>
      </c>
      <c r="G49" s="1">
        <f>DATE(2020,10,14)</f>
        <v>44118</v>
      </c>
    </row>
    <row r="50" spans="1:7" x14ac:dyDescent="0.35">
      <c r="A50" s="2" t="s">
        <v>143</v>
      </c>
      <c r="B50" s="2" t="s">
        <v>144</v>
      </c>
      <c r="C50" s="2" t="s">
        <v>145</v>
      </c>
      <c r="D50" t="s">
        <v>5785</v>
      </c>
      <c r="E50" t="s">
        <v>7421</v>
      </c>
      <c r="F50" t="s">
        <v>0</v>
      </c>
      <c r="G50" s="1">
        <f>DATE(2022,11,17)</f>
        <v>44882</v>
      </c>
    </row>
    <row r="51" spans="1:7" x14ac:dyDescent="0.35">
      <c r="A51" s="2" t="s">
        <v>146</v>
      </c>
      <c r="B51" s="2" t="s">
        <v>147</v>
      </c>
      <c r="C51" s="2" t="s">
        <v>148</v>
      </c>
      <c r="D51" t="s">
        <v>5786</v>
      </c>
      <c r="E51" t="s">
        <v>7422</v>
      </c>
      <c r="F51" t="s">
        <v>0</v>
      </c>
      <c r="G51" s="1">
        <f>DATE(2022,8,8)</f>
        <v>44781</v>
      </c>
    </row>
    <row r="52" spans="1:7" x14ac:dyDescent="0.35">
      <c r="A52" s="2" t="s">
        <v>149</v>
      </c>
      <c r="B52" s="2" t="s">
        <v>150</v>
      </c>
      <c r="C52" s="2" t="s">
        <v>151</v>
      </c>
      <c r="D52" t="s">
        <v>5787</v>
      </c>
      <c r="E52" t="s">
        <v>7423</v>
      </c>
      <c r="F52" t="s">
        <v>0</v>
      </c>
      <c r="G52" s="1">
        <f>DATE(2020,7,3)</f>
        <v>44015</v>
      </c>
    </row>
    <row r="53" spans="1:7" x14ac:dyDescent="0.35">
      <c r="A53" s="2" t="s">
        <v>152</v>
      </c>
      <c r="B53" s="2" t="s">
        <v>153</v>
      </c>
      <c r="C53" s="2" t="s">
        <v>154</v>
      </c>
      <c r="D53" t="s">
        <v>5788</v>
      </c>
      <c r="E53" t="s">
        <v>7424</v>
      </c>
      <c r="F53" t="s">
        <v>0</v>
      </c>
      <c r="G53" s="1">
        <f>DATE(2021,6,25)</f>
        <v>44372</v>
      </c>
    </row>
    <row r="54" spans="1:7" x14ac:dyDescent="0.35">
      <c r="A54" s="2" t="s">
        <v>155</v>
      </c>
      <c r="B54" s="2" t="s">
        <v>156</v>
      </c>
      <c r="C54" s="2" t="s">
        <v>157</v>
      </c>
      <c r="D54" t="s">
        <v>5789</v>
      </c>
      <c r="E54" t="s">
        <v>7425</v>
      </c>
      <c r="F54" t="s">
        <v>0</v>
      </c>
      <c r="G54" s="1">
        <f>DATE(2020,8,12)</f>
        <v>44055</v>
      </c>
    </row>
    <row r="55" spans="1:7" x14ac:dyDescent="0.35">
      <c r="A55" s="2" t="s">
        <v>158</v>
      </c>
      <c r="B55" s="2" t="s">
        <v>159</v>
      </c>
      <c r="C55" s="2" t="s">
        <v>160</v>
      </c>
      <c r="D55" t="s">
        <v>5790</v>
      </c>
      <c r="E55" t="s">
        <v>7426</v>
      </c>
      <c r="F55" t="s">
        <v>0</v>
      </c>
      <c r="G55" s="1">
        <f>DATE(2020,8,12)</f>
        <v>44055</v>
      </c>
    </row>
    <row r="56" spans="1:7" x14ac:dyDescent="0.35">
      <c r="A56" s="2" t="s">
        <v>161</v>
      </c>
      <c r="B56" s="2" t="s">
        <v>162</v>
      </c>
      <c r="C56" s="2" t="s">
        <v>163</v>
      </c>
      <c r="D56" t="s">
        <v>5791</v>
      </c>
      <c r="E56" t="s">
        <v>7427</v>
      </c>
      <c r="F56" t="s">
        <v>0</v>
      </c>
      <c r="G56" s="1">
        <f>DATE(2020,8,12)</f>
        <v>44055</v>
      </c>
    </row>
    <row r="57" spans="1:7" x14ac:dyDescent="0.35">
      <c r="A57" s="2" t="s">
        <v>164</v>
      </c>
      <c r="B57" s="2" t="s">
        <v>165</v>
      </c>
      <c r="C57" s="2" t="s">
        <v>166</v>
      </c>
      <c r="D57" t="s">
        <v>5792</v>
      </c>
      <c r="E57" t="s">
        <v>7428</v>
      </c>
      <c r="F57" t="s">
        <v>0</v>
      </c>
      <c r="G57" s="1">
        <f>DATE(2021,1,15)</f>
        <v>44211</v>
      </c>
    </row>
    <row r="58" spans="1:7" x14ac:dyDescent="0.35">
      <c r="A58" s="2" t="s">
        <v>167</v>
      </c>
      <c r="B58" s="2" t="s">
        <v>168</v>
      </c>
      <c r="C58" s="2" t="s">
        <v>169</v>
      </c>
      <c r="D58" t="s">
        <v>5793</v>
      </c>
      <c r="E58" t="s">
        <v>7429</v>
      </c>
      <c r="F58" t="s">
        <v>0</v>
      </c>
      <c r="G58" s="1">
        <f>DATE(2020,7,10)</f>
        <v>44022</v>
      </c>
    </row>
    <row r="59" spans="1:7" x14ac:dyDescent="0.35">
      <c r="A59" s="2" t="s">
        <v>170</v>
      </c>
      <c r="B59" s="2" t="s">
        <v>171</v>
      </c>
      <c r="C59" s="2" t="s">
        <v>172</v>
      </c>
      <c r="D59" t="s">
        <v>5794</v>
      </c>
      <c r="E59" t="s">
        <v>7430</v>
      </c>
      <c r="F59" t="s">
        <v>0</v>
      </c>
      <c r="G59" s="1">
        <f>DATE(2020,7,10)</f>
        <v>44022</v>
      </c>
    </row>
    <row r="60" spans="1:7" x14ac:dyDescent="0.35">
      <c r="A60" s="2" t="s">
        <v>173</v>
      </c>
      <c r="B60" s="2" t="s">
        <v>174</v>
      </c>
      <c r="C60" s="2" t="s">
        <v>175</v>
      </c>
      <c r="D60" t="s">
        <v>5795</v>
      </c>
      <c r="E60" t="s">
        <v>7431</v>
      </c>
      <c r="F60" t="s">
        <v>0</v>
      </c>
      <c r="G60" s="1">
        <f>DATE(2020,7,26)</f>
        <v>44038</v>
      </c>
    </row>
    <row r="61" spans="1:7" x14ac:dyDescent="0.35">
      <c r="A61" s="2" t="s">
        <v>176</v>
      </c>
      <c r="B61" s="2" t="s">
        <v>177</v>
      </c>
      <c r="C61" s="2" t="s">
        <v>178</v>
      </c>
      <c r="D61" t="s">
        <v>5796</v>
      </c>
      <c r="E61" t="s">
        <v>7432</v>
      </c>
      <c r="F61" t="s">
        <v>0</v>
      </c>
      <c r="G61" s="1">
        <f>DATE(2020,7,25)</f>
        <v>44037</v>
      </c>
    </row>
    <row r="62" spans="1:7" x14ac:dyDescent="0.35">
      <c r="A62" s="2" t="s">
        <v>179</v>
      </c>
      <c r="B62" s="2" t="s">
        <v>180</v>
      </c>
      <c r="C62" s="2" t="s">
        <v>181</v>
      </c>
      <c r="D62" t="s">
        <v>5797</v>
      </c>
      <c r="E62" t="s">
        <v>7433</v>
      </c>
      <c r="F62" t="s">
        <v>0</v>
      </c>
      <c r="G62" s="1">
        <f>DATE(2021,6,17)</f>
        <v>44364</v>
      </c>
    </row>
    <row r="63" spans="1:7" x14ac:dyDescent="0.35">
      <c r="A63" s="2" t="s">
        <v>182</v>
      </c>
      <c r="B63" s="2" t="s">
        <v>183</v>
      </c>
      <c r="C63" s="2" t="s">
        <v>184</v>
      </c>
      <c r="D63" t="s">
        <v>5798</v>
      </c>
      <c r="E63" t="s">
        <v>7434</v>
      </c>
      <c r="F63" t="s">
        <v>0</v>
      </c>
      <c r="G63" s="1">
        <f>DATE(2020,7,22)</f>
        <v>44034</v>
      </c>
    </row>
    <row r="64" spans="1:7" x14ac:dyDescent="0.35">
      <c r="A64" s="2" t="s">
        <v>185</v>
      </c>
      <c r="B64" s="2" t="s">
        <v>186</v>
      </c>
      <c r="C64" s="2" t="s">
        <v>187</v>
      </c>
      <c r="D64" t="s">
        <v>5799</v>
      </c>
      <c r="E64" t="s">
        <v>7435</v>
      </c>
      <c r="F64" t="s">
        <v>0</v>
      </c>
      <c r="G64" s="1">
        <f>DATE(2022,6,24)</f>
        <v>44736</v>
      </c>
    </row>
    <row r="65" spans="1:7" x14ac:dyDescent="0.35">
      <c r="A65" s="2" t="s">
        <v>188</v>
      </c>
      <c r="B65" s="2" t="s">
        <v>189</v>
      </c>
      <c r="C65" s="2" t="s">
        <v>190</v>
      </c>
      <c r="D65" t="s">
        <v>5800</v>
      </c>
      <c r="E65" t="s">
        <v>7436</v>
      </c>
      <c r="F65" t="s">
        <v>0</v>
      </c>
      <c r="G65" s="1">
        <f>DATE(2023,5,24)</f>
        <v>45070</v>
      </c>
    </row>
    <row r="66" spans="1:7" x14ac:dyDescent="0.35">
      <c r="A66" s="2" t="s">
        <v>191</v>
      </c>
      <c r="B66" s="2" t="s">
        <v>192</v>
      </c>
      <c r="C66" s="2" t="s">
        <v>193</v>
      </c>
      <c r="D66" t="s">
        <v>5801</v>
      </c>
      <c r="E66" t="s">
        <v>7437</v>
      </c>
      <c r="F66" t="s">
        <v>0</v>
      </c>
      <c r="G66" s="1">
        <f>DATE(2020,7,29)</f>
        <v>44041</v>
      </c>
    </row>
    <row r="67" spans="1:7" x14ac:dyDescent="0.35">
      <c r="A67" s="2" t="s">
        <v>194</v>
      </c>
      <c r="B67" s="2" t="s">
        <v>195</v>
      </c>
      <c r="C67" s="2" t="s">
        <v>196</v>
      </c>
      <c r="D67" t="s">
        <v>5802</v>
      </c>
      <c r="E67" t="s">
        <v>7438</v>
      </c>
      <c r="F67" t="s">
        <v>0</v>
      </c>
      <c r="G67" s="1">
        <f>DATE(2020,11,20)</f>
        <v>44155</v>
      </c>
    </row>
    <row r="68" spans="1:7" x14ac:dyDescent="0.35">
      <c r="A68" s="2" t="s">
        <v>197</v>
      </c>
      <c r="B68" s="2" t="s">
        <v>198</v>
      </c>
      <c r="C68" s="2" t="s">
        <v>199</v>
      </c>
      <c r="D68" t="s">
        <v>5803</v>
      </c>
      <c r="E68" t="s">
        <v>7439</v>
      </c>
      <c r="F68" t="s">
        <v>0</v>
      </c>
      <c r="G68" s="1">
        <f>DATE(2020,7,27)</f>
        <v>44039</v>
      </c>
    </row>
    <row r="69" spans="1:7" x14ac:dyDescent="0.35">
      <c r="A69" s="2" t="s">
        <v>200</v>
      </c>
      <c r="B69" s="2" t="s">
        <v>201</v>
      </c>
      <c r="C69" s="2" t="s">
        <v>202</v>
      </c>
      <c r="D69" t="s">
        <v>5804</v>
      </c>
      <c r="E69" t="s">
        <v>7440</v>
      </c>
      <c r="F69" t="s">
        <v>0</v>
      </c>
      <c r="G69" s="1">
        <f>DATE(2021,1,22)</f>
        <v>44218</v>
      </c>
    </row>
    <row r="70" spans="1:7" x14ac:dyDescent="0.35">
      <c r="A70" s="2" t="s">
        <v>203</v>
      </c>
      <c r="B70" s="2" t="s">
        <v>204</v>
      </c>
      <c r="C70" s="2" t="s">
        <v>205</v>
      </c>
      <c r="D70" t="s">
        <v>5805</v>
      </c>
      <c r="E70" t="s">
        <v>7441</v>
      </c>
      <c r="F70" t="s">
        <v>0</v>
      </c>
      <c r="G70" s="1">
        <f>DATE(2023,6,7)</f>
        <v>45084</v>
      </c>
    </row>
    <row r="71" spans="1:7" x14ac:dyDescent="0.35">
      <c r="A71" s="2" t="s">
        <v>206</v>
      </c>
      <c r="B71" s="2" t="s">
        <v>207</v>
      </c>
      <c r="C71" s="2" t="s">
        <v>208</v>
      </c>
      <c r="D71" t="s">
        <v>5806</v>
      </c>
      <c r="E71" t="s">
        <v>7442</v>
      </c>
      <c r="F71" t="s">
        <v>0</v>
      </c>
      <c r="G71" s="1">
        <f>DATE(2021,3,31)</f>
        <v>44286</v>
      </c>
    </row>
    <row r="72" spans="1:7" x14ac:dyDescent="0.35">
      <c r="A72" s="2" t="s">
        <v>209</v>
      </c>
      <c r="B72" s="2" t="s">
        <v>210</v>
      </c>
      <c r="D72" t="s">
        <v>5756</v>
      </c>
      <c r="E72" t="e">
        <v>#VALUE!</v>
      </c>
      <c r="F72" t="s">
        <v>0</v>
      </c>
      <c r="G72" s="1">
        <f>DATE(2023,6,13)</f>
        <v>45090</v>
      </c>
    </row>
    <row r="73" spans="1:7" x14ac:dyDescent="0.35">
      <c r="A73" s="2" t="s">
        <v>211</v>
      </c>
      <c r="B73" s="2" t="s">
        <v>212</v>
      </c>
      <c r="C73" s="2" t="s">
        <v>213</v>
      </c>
      <c r="D73" t="s">
        <v>5807</v>
      </c>
      <c r="E73" t="s">
        <v>7443</v>
      </c>
      <c r="F73" t="s">
        <v>0</v>
      </c>
      <c r="G73" s="1">
        <f>DATE(2024,1,5)</f>
        <v>45296</v>
      </c>
    </row>
    <row r="74" spans="1:7" x14ac:dyDescent="0.35">
      <c r="A74" s="2" t="s">
        <v>214</v>
      </c>
      <c r="B74" s="2" t="s">
        <v>215</v>
      </c>
      <c r="C74" s="2" t="s">
        <v>216</v>
      </c>
      <c r="D74" t="s">
        <v>5808</v>
      </c>
      <c r="E74" t="s">
        <v>7444</v>
      </c>
      <c r="F74" t="s">
        <v>0</v>
      </c>
      <c r="G74" s="1">
        <f>DATE(2024,1,5)</f>
        <v>45296</v>
      </c>
    </row>
    <row r="75" spans="1:7" x14ac:dyDescent="0.35">
      <c r="A75" s="2" t="s">
        <v>217</v>
      </c>
      <c r="B75" s="2" t="s">
        <v>218</v>
      </c>
      <c r="C75" s="2" t="s">
        <v>219</v>
      </c>
      <c r="D75" t="s">
        <v>5809</v>
      </c>
      <c r="E75" t="s">
        <v>7445</v>
      </c>
      <c r="F75" t="s">
        <v>0</v>
      </c>
      <c r="G75" s="1">
        <f>DATE(2021,3,5)</f>
        <v>44260</v>
      </c>
    </row>
    <row r="76" spans="1:7" x14ac:dyDescent="0.35">
      <c r="A76" s="2" t="s">
        <v>220</v>
      </c>
      <c r="B76" s="2" t="s">
        <v>221</v>
      </c>
      <c r="C76" s="2" t="s">
        <v>222</v>
      </c>
      <c r="D76" t="s">
        <v>5810</v>
      </c>
      <c r="E76" t="s">
        <v>7446</v>
      </c>
      <c r="F76" t="s">
        <v>0</v>
      </c>
      <c r="G76" s="1">
        <f>DATE(2023,9,25)</f>
        <v>45194</v>
      </c>
    </row>
    <row r="77" spans="1:7" x14ac:dyDescent="0.35">
      <c r="A77" s="2" t="s">
        <v>223</v>
      </c>
      <c r="B77" s="2" t="s">
        <v>224</v>
      </c>
      <c r="C77" s="2" t="s">
        <v>225</v>
      </c>
      <c r="D77" t="s">
        <v>5811</v>
      </c>
      <c r="E77" t="s">
        <v>7447</v>
      </c>
      <c r="F77" t="s">
        <v>0</v>
      </c>
      <c r="G77" s="1">
        <f>DATE(2023,9,25)</f>
        <v>45194</v>
      </c>
    </row>
    <row r="78" spans="1:7" x14ac:dyDescent="0.35">
      <c r="A78" s="2" t="s">
        <v>226</v>
      </c>
      <c r="B78" s="2" t="s">
        <v>227</v>
      </c>
      <c r="C78" s="2" t="s">
        <v>228</v>
      </c>
      <c r="D78" t="s">
        <v>5812</v>
      </c>
      <c r="E78" t="s">
        <v>7448</v>
      </c>
      <c r="F78" t="s">
        <v>0</v>
      </c>
      <c r="G78" s="1">
        <f>DATE(2023,3,9)</f>
        <v>44994</v>
      </c>
    </row>
    <row r="79" spans="1:7" x14ac:dyDescent="0.35">
      <c r="A79" s="2" t="s">
        <v>229</v>
      </c>
      <c r="B79" s="2" t="s">
        <v>230</v>
      </c>
      <c r="C79" s="2" t="s">
        <v>231</v>
      </c>
      <c r="D79" t="s">
        <v>5813</v>
      </c>
      <c r="E79" t="s">
        <v>7449</v>
      </c>
      <c r="F79" t="s">
        <v>0</v>
      </c>
      <c r="G79" s="1">
        <f>DATE(2022,2,9)</f>
        <v>44601</v>
      </c>
    </row>
    <row r="80" spans="1:7" x14ac:dyDescent="0.35">
      <c r="A80" s="2" t="s">
        <v>232</v>
      </c>
      <c r="B80" s="2" t="s">
        <v>233</v>
      </c>
      <c r="C80" s="2" t="s">
        <v>234</v>
      </c>
      <c r="D80" t="s">
        <v>5814</v>
      </c>
      <c r="E80" t="s">
        <v>7450</v>
      </c>
      <c r="F80" t="s">
        <v>0</v>
      </c>
      <c r="G80" s="1">
        <f>DATE(2023,6,13)</f>
        <v>45090</v>
      </c>
    </row>
    <row r="81" spans="1:7" x14ac:dyDescent="0.35">
      <c r="A81" s="2" t="s">
        <v>235</v>
      </c>
      <c r="B81" s="2" t="s">
        <v>236</v>
      </c>
      <c r="C81" s="2" t="s">
        <v>237</v>
      </c>
      <c r="D81" t="s">
        <v>5815</v>
      </c>
      <c r="E81" t="s">
        <v>7451</v>
      </c>
      <c r="F81" t="s">
        <v>0</v>
      </c>
      <c r="G81" s="1">
        <f>DATE(2023,9,25)</f>
        <v>45194</v>
      </c>
    </row>
    <row r="82" spans="1:7" x14ac:dyDescent="0.35">
      <c r="A82" s="2" t="s">
        <v>238</v>
      </c>
      <c r="B82" s="2" t="s">
        <v>239</v>
      </c>
      <c r="C82" s="2" t="s">
        <v>240</v>
      </c>
      <c r="D82" t="s">
        <v>5816</v>
      </c>
      <c r="E82" t="s">
        <v>7452</v>
      </c>
      <c r="F82" t="s">
        <v>0</v>
      </c>
      <c r="G82" s="1">
        <f>DATE(2021,10,5)</f>
        <v>44474</v>
      </c>
    </row>
    <row r="83" spans="1:7" x14ac:dyDescent="0.35">
      <c r="A83" s="2" t="s">
        <v>241</v>
      </c>
      <c r="B83" s="2" t="s">
        <v>242</v>
      </c>
      <c r="C83" s="2" t="s">
        <v>243</v>
      </c>
      <c r="D83" t="s">
        <v>5817</v>
      </c>
      <c r="E83" t="s">
        <v>7453</v>
      </c>
      <c r="F83" t="s">
        <v>0</v>
      </c>
      <c r="G83" s="1">
        <f>DATE(2021,2,18)</f>
        <v>44245</v>
      </c>
    </row>
    <row r="84" spans="1:7" x14ac:dyDescent="0.35">
      <c r="A84" s="2" t="s">
        <v>244</v>
      </c>
      <c r="B84" s="2" t="s">
        <v>245</v>
      </c>
      <c r="C84" s="2" t="s">
        <v>246</v>
      </c>
      <c r="D84" t="s">
        <v>5818</v>
      </c>
      <c r="E84" t="s">
        <v>7454</v>
      </c>
      <c r="F84" t="s">
        <v>0</v>
      </c>
      <c r="G84" s="1">
        <f>DATE(2023,9,25)</f>
        <v>45194</v>
      </c>
    </row>
    <row r="85" spans="1:7" x14ac:dyDescent="0.35">
      <c r="A85" s="2" t="s">
        <v>247</v>
      </c>
      <c r="B85" s="2" t="s">
        <v>248</v>
      </c>
      <c r="C85" s="2" t="s">
        <v>249</v>
      </c>
      <c r="D85" t="s">
        <v>5819</v>
      </c>
      <c r="E85" t="s">
        <v>7455</v>
      </c>
      <c r="F85" t="s">
        <v>0</v>
      </c>
      <c r="G85" s="1">
        <f>DATE(2020,3,20)</f>
        <v>43910</v>
      </c>
    </row>
    <row r="86" spans="1:7" x14ac:dyDescent="0.35">
      <c r="A86" s="2" t="s">
        <v>250</v>
      </c>
      <c r="B86" s="2" t="s">
        <v>251</v>
      </c>
      <c r="C86" s="2" t="s">
        <v>252</v>
      </c>
      <c r="D86" t="s">
        <v>5820</v>
      </c>
      <c r="E86" t="s">
        <v>7456</v>
      </c>
      <c r="F86" t="s">
        <v>0</v>
      </c>
      <c r="G86" s="1">
        <f>DATE(2023,9,25)</f>
        <v>45194</v>
      </c>
    </row>
    <row r="87" spans="1:7" x14ac:dyDescent="0.35">
      <c r="A87" s="2" t="s">
        <v>253</v>
      </c>
      <c r="B87" s="2" t="s">
        <v>254</v>
      </c>
      <c r="C87" s="2" t="s">
        <v>255</v>
      </c>
      <c r="D87" t="s">
        <v>5821</v>
      </c>
      <c r="E87" t="s">
        <v>7457</v>
      </c>
      <c r="F87" t="s">
        <v>0</v>
      </c>
      <c r="G87" s="1">
        <f>DATE(2020,3,20)</f>
        <v>43910</v>
      </c>
    </row>
    <row r="88" spans="1:7" x14ac:dyDescent="0.35">
      <c r="A88" s="2" t="s">
        <v>256</v>
      </c>
      <c r="B88" s="2" t="s">
        <v>257</v>
      </c>
      <c r="D88" t="s">
        <v>5756</v>
      </c>
      <c r="E88" t="e">
        <v>#VALUE!</v>
      </c>
      <c r="F88" t="s">
        <v>0</v>
      </c>
      <c r="G88" s="1">
        <f>DATE(2023,9,25)</f>
        <v>45194</v>
      </c>
    </row>
    <row r="89" spans="1:7" x14ac:dyDescent="0.35">
      <c r="A89" s="2" t="s">
        <v>258</v>
      </c>
      <c r="B89" s="2" t="s">
        <v>259</v>
      </c>
      <c r="C89" s="2" t="s">
        <v>260</v>
      </c>
      <c r="D89" t="s">
        <v>5822</v>
      </c>
      <c r="E89" t="s">
        <v>7458</v>
      </c>
      <c r="F89" t="s">
        <v>0</v>
      </c>
      <c r="G89" s="1">
        <f>DATE(2020,7,7)</f>
        <v>44019</v>
      </c>
    </row>
    <row r="90" spans="1:7" x14ac:dyDescent="0.35">
      <c r="A90" s="2" t="s">
        <v>261</v>
      </c>
      <c r="B90" s="2" t="s">
        <v>262</v>
      </c>
      <c r="C90" s="2" t="s">
        <v>263</v>
      </c>
      <c r="D90" t="s">
        <v>5823</v>
      </c>
      <c r="E90" t="s">
        <v>7459</v>
      </c>
      <c r="F90" t="s">
        <v>0</v>
      </c>
      <c r="G90" s="1">
        <f>DATE(2020,3,20)</f>
        <v>43910</v>
      </c>
    </row>
    <row r="91" spans="1:7" x14ac:dyDescent="0.35">
      <c r="A91" s="2" t="s">
        <v>264</v>
      </c>
      <c r="B91" s="2" t="s">
        <v>265</v>
      </c>
      <c r="C91" s="2" t="s">
        <v>266</v>
      </c>
      <c r="D91" t="s">
        <v>5824</v>
      </c>
      <c r="E91" t="s">
        <v>7460</v>
      </c>
      <c r="F91" t="s">
        <v>0</v>
      </c>
      <c r="G91" s="1">
        <f>DATE(2022,2,4)</f>
        <v>44596</v>
      </c>
    </row>
    <row r="92" spans="1:7" x14ac:dyDescent="0.35">
      <c r="A92" s="2" t="s">
        <v>267</v>
      </c>
      <c r="B92" s="2" t="s">
        <v>268</v>
      </c>
      <c r="C92" s="2" t="s">
        <v>269</v>
      </c>
      <c r="D92" t="s">
        <v>5825</v>
      </c>
      <c r="E92" t="s">
        <v>7461</v>
      </c>
      <c r="F92" t="s">
        <v>0</v>
      </c>
      <c r="G92" s="1">
        <f>DATE(2023,4,13)</f>
        <v>45029</v>
      </c>
    </row>
    <row r="93" spans="1:7" x14ac:dyDescent="0.35">
      <c r="A93" s="2" t="s">
        <v>270</v>
      </c>
      <c r="B93" s="2" t="s">
        <v>271</v>
      </c>
      <c r="C93" s="2" t="s">
        <v>272</v>
      </c>
      <c r="D93" t="s">
        <v>5826</v>
      </c>
      <c r="E93" t="s">
        <v>7462</v>
      </c>
      <c r="F93" t="s">
        <v>0</v>
      </c>
      <c r="G93" s="1">
        <f>DATE(2020,3,20)</f>
        <v>43910</v>
      </c>
    </row>
    <row r="94" spans="1:7" x14ac:dyDescent="0.35">
      <c r="A94" s="2" t="s">
        <v>273</v>
      </c>
      <c r="B94" s="2" t="s">
        <v>274</v>
      </c>
      <c r="D94" t="s">
        <v>5756</v>
      </c>
      <c r="E94" t="e">
        <v>#VALUE!</v>
      </c>
      <c r="F94" t="s">
        <v>0</v>
      </c>
      <c r="G94" s="1">
        <f>DATE(2022,6,20)</f>
        <v>44732</v>
      </c>
    </row>
    <row r="95" spans="1:7" x14ac:dyDescent="0.35">
      <c r="A95" s="2" t="s">
        <v>275</v>
      </c>
      <c r="B95" s="2" t="s">
        <v>276</v>
      </c>
      <c r="D95" t="s">
        <v>5756</v>
      </c>
      <c r="E95" t="e">
        <v>#VALUE!</v>
      </c>
      <c r="F95" t="s">
        <v>0</v>
      </c>
      <c r="G95" s="1">
        <f>DATE(2023,11,29)</f>
        <v>45259</v>
      </c>
    </row>
    <row r="96" spans="1:7" x14ac:dyDescent="0.35">
      <c r="A96" s="2" t="s">
        <v>277</v>
      </c>
      <c r="B96" s="2" t="s">
        <v>278</v>
      </c>
      <c r="D96" t="s">
        <v>5756</v>
      </c>
      <c r="E96" t="e">
        <v>#VALUE!</v>
      </c>
      <c r="F96" t="s">
        <v>0</v>
      </c>
      <c r="G96" s="1">
        <f>DATE(2020,7,28)</f>
        <v>44040</v>
      </c>
    </row>
    <row r="97" spans="1:7" x14ac:dyDescent="0.35">
      <c r="A97" s="2" t="s">
        <v>279</v>
      </c>
      <c r="B97" s="2" t="s">
        <v>280</v>
      </c>
      <c r="C97" s="2" t="s">
        <v>281</v>
      </c>
      <c r="D97" t="s">
        <v>5827</v>
      </c>
      <c r="E97" t="s">
        <v>7463</v>
      </c>
      <c r="F97" t="s">
        <v>0</v>
      </c>
      <c r="G97" s="1">
        <f>DATE(2023,7,11)</f>
        <v>45118</v>
      </c>
    </row>
    <row r="98" spans="1:7" x14ac:dyDescent="0.35">
      <c r="A98" s="2" t="s">
        <v>282</v>
      </c>
      <c r="B98" s="2" t="s">
        <v>283</v>
      </c>
      <c r="C98" s="2" t="s">
        <v>284</v>
      </c>
      <c r="D98" t="s">
        <v>5828</v>
      </c>
      <c r="E98" t="s">
        <v>7464</v>
      </c>
      <c r="F98" t="s">
        <v>0</v>
      </c>
      <c r="G98" s="1">
        <f>DATE(2020,7,27)</f>
        <v>44039</v>
      </c>
    </row>
    <row r="99" spans="1:7" x14ac:dyDescent="0.35">
      <c r="A99" s="2" t="s">
        <v>285</v>
      </c>
      <c r="B99" s="2" t="s">
        <v>286</v>
      </c>
      <c r="D99" t="s">
        <v>5756</v>
      </c>
      <c r="E99" t="e">
        <v>#VALUE!</v>
      </c>
      <c r="F99" t="s">
        <v>0</v>
      </c>
      <c r="G99" s="1">
        <f>DATE(2021,6,14)</f>
        <v>44361</v>
      </c>
    </row>
    <row r="100" spans="1:7" x14ac:dyDescent="0.35">
      <c r="A100" s="2" t="s">
        <v>287</v>
      </c>
      <c r="B100" s="2" t="s">
        <v>288</v>
      </c>
      <c r="D100" t="s">
        <v>5756</v>
      </c>
      <c r="E100" t="e">
        <v>#VALUE!</v>
      </c>
      <c r="F100" t="s">
        <v>0</v>
      </c>
      <c r="G100" s="1">
        <f>DATE(2021,3,11)</f>
        <v>44266</v>
      </c>
    </row>
    <row r="101" spans="1:7" x14ac:dyDescent="0.35">
      <c r="A101" s="2" t="s">
        <v>289</v>
      </c>
      <c r="B101" s="2" t="s">
        <v>290</v>
      </c>
      <c r="C101" s="2" t="s">
        <v>291</v>
      </c>
      <c r="D101" t="s">
        <v>5829</v>
      </c>
      <c r="E101" t="s">
        <v>7465</v>
      </c>
      <c r="F101" t="s">
        <v>0</v>
      </c>
      <c r="G101" s="1">
        <f>DATE(2021,7,1)</f>
        <v>44378</v>
      </c>
    </row>
    <row r="102" spans="1:7" x14ac:dyDescent="0.35">
      <c r="A102" s="2" t="s">
        <v>292</v>
      </c>
      <c r="B102" s="2" t="s">
        <v>293</v>
      </c>
      <c r="C102" s="2" t="s">
        <v>294</v>
      </c>
      <c r="D102" t="s">
        <v>5830</v>
      </c>
      <c r="E102" t="s">
        <v>7466</v>
      </c>
      <c r="F102" t="s">
        <v>0</v>
      </c>
      <c r="G102" s="1">
        <f>DATE(2020,12,4)</f>
        <v>44169</v>
      </c>
    </row>
    <row r="103" spans="1:7" x14ac:dyDescent="0.35">
      <c r="A103" s="2" t="s">
        <v>295</v>
      </c>
      <c r="B103" s="2" t="s">
        <v>296</v>
      </c>
      <c r="C103" s="2" t="s">
        <v>297</v>
      </c>
      <c r="D103" t="s">
        <v>5831</v>
      </c>
      <c r="E103" t="s">
        <v>7467</v>
      </c>
      <c r="F103" t="s">
        <v>0</v>
      </c>
      <c r="G103" s="1">
        <f>DATE(2023,9,25)</f>
        <v>45194</v>
      </c>
    </row>
    <row r="104" spans="1:7" x14ac:dyDescent="0.35">
      <c r="A104" s="2" t="s">
        <v>298</v>
      </c>
      <c r="B104" s="2" t="s">
        <v>299</v>
      </c>
      <c r="C104" s="2" t="s">
        <v>300</v>
      </c>
      <c r="D104" t="s">
        <v>5832</v>
      </c>
      <c r="E104" t="s">
        <v>7468</v>
      </c>
      <c r="F104" t="s">
        <v>0</v>
      </c>
      <c r="G104" s="1">
        <f>DATE(2021,6,3)</f>
        <v>44350</v>
      </c>
    </row>
    <row r="105" spans="1:7" x14ac:dyDescent="0.35">
      <c r="A105" s="2" t="s">
        <v>301</v>
      </c>
      <c r="B105" s="2" t="s">
        <v>302</v>
      </c>
      <c r="C105" s="2" t="s">
        <v>303</v>
      </c>
      <c r="D105" t="s">
        <v>5833</v>
      </c>
      <c r="E105" t="s">
        <v>7469</v>
      </c>
      <c r="F105" t="s">
        <v>0</v>
      </c>
      <c r="G105" s="1">
        <f>DATE(2023,1,5)</f>
        <v>44931</v>
      </c>
    </row>
    <row r="106" spans="1:7" x14ac:dyDescent="0.35">
      <c r="A106" s="2" t="s">
        <v>304</v>
      </c>
      <c r="B106" s="2" t="s">
        <v>305</v>
      </c>
      <c r="C106" s="2" t="s">
        <v>306</v>
      </c>
      <c r="D106" t="s">
        <v>5834</v>
      </c>
      <c r="E106" t="s">
        <v>7470</v>
      </c>
      <c r="F106" t="s">
        <v>0</v>
      </c>
      <c r="G106" s="1">
        <f>DATE(2021,12,10)</f>
        <v>44540</v>
      </c>
    </row>
    <row r="107" spans="1:7" x14ac:dyDescent="0.35">
      <c r="A107" s="2" t="s">
        <v>307</v>
      </c>
      <c r="B107" s="2" t="s">
        <v>308</v>
      </c>
      <c r="C107" s="2" t="s">
        <v>309</v>
      </c>
      <c r="D107" t="s">
        <v>5835</v>
      </c>
      <c r="E107" t="s">
        <v>7471</v>
      </c>
      <c r="F107" t="s">
        <v>0</v>
      </c>
      <c r="G107" s="1">
        <f>DATE(2021,6,3)</f>
        <v>44350</v>
      </c>
    </row>
    <row r="108" spans="1:7" x14ac:dyDescent="0.35">
      <c r="A108" s="2" t="s">
        <v>310</v>
      </c>
      <c r="B108" s="2" t="s">
        <v>311</v>
      </c>
      <c r="C108" s="2" t="s">
        <v>312</v>
      </c>
      <c r="D108" t="s">
        <v>5836</v>
      </c>
      <c r="E108" t="s">
        <v>7472</v>
      </c>
      <c r="F108" t="s">
        <v>0</v>
      </c>
      <c r="G108" s="1">
        <f>DATE(2021,1,25)</f>
        <v>44221</v>
      </c>
    </row>
    <row r="109" spans="1:7" x14ac:dyDescent="0.35">
      <c r="A109" s="2" t="s">
        <v>313</v>
      </c>
      <c r="B109" s="2" t="s">
        <v>314</v>
      </c>
      <c r="C109" s="2" t="s">
        <v>315</v>
      </c>
      <c r="D109" t="s">
        <v>5837</v>
      </c>
      <c r="E109" t="s">
        <v>7473</v>
      </c>
      <c r="F109" t="s">
        <v>0</v>
      </c>
      <c r="G109" s="1">
        <f>DATE(2021,1,21)</f>
        <v>44217</v>
      </c>
    </row>
    <row r="110" spans="1:7" x14ac:dyDescent="0.35">
      <c r="A110" s="2" t="s">
        <v>316</v>
      </c>
      <c r="B110" s="2" t="s">
        <v>317</v>
      </c>
      <c r="C110" s="2" t="s">
        <v>318</v>
      </c>
      <c r="D110" t="s">
        <v>5838</v>
      </c>
      <c r="E110" t="s">
        <v>7474</v>
      </c>
      <c r="F110" t="s">
        <v>0</v>
      </c>
      <c r="G110" s="1">
        <f>DATE(2023,10,18)</f>
        <v>45217</v>
      </c>
    </row>
    <row r="111" spans="1:7" x14ac:dyDescent="0.35">
      <c r="A111" s="2" t="s">
        <v>319</v>
      </c>
      <c r="B111" s="2" t="s">
        <v>320</v>
      </c>
      <c r="C111" s="2" t="s">
        <v>321</v>
      </c>
      <c r="D111" t="s">
        <v>5839</v>
      </c>
      <c r="E111" t="s">
        <v>7475</v>
      </c>
      <c r="F111" t="s">
        <v>0</v>
      </c>
      <c r="G111" s="1">
        <f>DATE(2021,10,22)</f>
        <v>44491</v>
      </c>
    </row>
    <row r="112" spans="1:7" x14ac:dyDescent="0.35">
      <c r="A112" s="2" t="s">
        <v>322</v>
      </c>
      <c r="B112" s="2" t="s">
        <v>323</v>
      </c>
      <c r="C112" s="2" t="s">
        <v>324</v>
      </c>
      <c r="D112" t="s">
        <v>5840</v>
      </c>
      <c r="E112" t="s">
        <v>7476</v>
      </c>
      <c r="F112" t="s">
        <v>0</v>
      </c>
      <c r="G112" s="1">
        <f>DATE(2020,3,18)</f>
        <v>43908</v>
      </c>
    </row>
    <row r="113" spans="1:7" x14ac:dyDescent="0.35">
      <c r="A113" s="2" t="s">
        <v>325</v>
      </c>
      <c r="B113" s="2" t="s">
        <v>326</v>
      </c>
      <c r="C113" s="2" t="s">
        <v>327</v>
      </c>
      <c r="D113" t="s">
        <v>5841</v>
      </c>
      <c r="E113" t="s">
        <v>7477</v>
      </c>
      <c r="F113" t="s">
        <v>0</v>
      </c>
      <c r="G113" s="1">
        <f>DATE(2020,3,26)</f>
        <v>43916</v>
      </c>
    </row>
    <row r="114" spans="1:7" x14ac:dyDescent="0.35">
      <c r="A114" s="2" t="s">
        <v>328</v>
      </c>
      <c r="B114" s="2" t="s">
        <v>329</v>
      </c>
      <c r="C114" s="2" t="s">
        <v>330</v>
      </c>
      <c r="D114" t="s">
        <v>5842</v>
      </c>
      <c r="E114" t="s">
        <v>7478</v>
      </c>
      <c r="F114" t="s">
        <v>0</v>
      </c>
      <c r="G114" s="1">
        <f>DATE(2023,8,17)</f>
        <v>45155</v>
      </c>
    </row>
    <row r="115" spans="1:7" x14ac:dyDescent="0.35">
      <c r="A115" s="2" t="s">
        <v>331</v>
      </c>
      <c r="B115" s="2" t="s">
        <v>332</v>
      </c>
      <c r="C115" s="2" t="s">
        <v>333</v>
      </c>
      <c r="D115" t="s">
        <v>5843</v>
      </c>
      <c r="E115" t="s">
        <v>7479</v>
      </c>
      <c r="F115" t="s">
        <v>0</v>
      </c>
      <c r="G115" s="1">
        <f>DATE(2021,12,7)</f>
        <v>44537</v>
      </c>
    </row>
    <row r="116" spans="1:7" x14ac:dyDescent="0.35">
      <c r="A116" s="2" t="s">
        <v>334</v>
      </c>
      <c r="B116" s="2" t="s">
        <v>335</v>
      </c>
      <c r="C116" s="2" t="s">
        <v>336</v>
      </c>
      <c r="D116" t="s">
        <v>5844</v>
      </c>
      <c r="E116" t="s">
        <v>7480</v>
      </c>
      <c r="F116" t="s">
        <v>0</v>
      </c>
      <c r="G116" s="1">
        <f>DATE(2021,10,5)</f>
        <v>44474</v>
      </c>
    </row>
    <row r="117" spans="1:7" x14ac:dyDescent="0.35">
      <c r="A117" s="2" t="s">
        <v>337</v>
      </c>
      <c r="B117" s="2" t="s">
        <v>338</v>
      </c>
      <c r="C117" s="2" t="s">
        <v>339</v>
      </c>
      <c r="D117" t="s">
        <v>5845</v>
      </c>
      <c r="E117" t="s">
        <v>7481</v>
      </c>
      <c r="F117" t="s">
        <v>0</v>
      </c>
      <c r="G117" s="1">
        <f>DATE(2020,4,8)</f>
        <v>43929</v>
      </c>
    </row>
    <row r="118" spans="1:7" x14ac:dyDescent="0.35">
      <c r="A118" s="2" t="s">
        <v>340</v>
      </c>
      <c r="B118" s="2" t="s">
        <v>341</v>
      </c>
      <c r="C118" s="2" t="s">
        <v>342</v>
      </c>
      <c r="D118" t="s">
        <v>5846</v>
      </c>
      <c r="E118" t="s">
        <v>7482</v>
      </c>
      <c r="F118" t="s">
        <v>0</v>
      </c>
      <c r="G118" s="1">
        <f>DATE(2020,5,28)</f>
        <v>43979</v>
      </c>
    </row>
    <row r="119" spans="1:7" x14ac:dyDescent="0.35">
      <c r="A119" s="2" t="s">
        <v>343</v>
      </c>
      <c r="B119" s="2" t="s">
        <v>344</v>
      </c>
      <c r="C119" s="2" t="s">
        <v>345</v>
      </c>
      <c r="D119" t="s">
        <v>5847</v>
      </c>
      <c r="E119" t="s">
        <v>7483</v>
      </c>
      <c r="F119" t="s">
        <v>0</v>
      </c>
      <c r="G119" s="1">
        <f>DATE(2023,7,6)</f>
        <v>45113</v>
      </c>
    </row>
    <row r="120" spans="1:7" x14ac:dyDescent="0.35">
      <c r="A120" s="2" t="s">
        <v>346</v>
      </c>
      <c r="B120" s="2" t="s">
        <v>347</v>
      </c>
      <c r="C120" s="2" t="s">
        <v>348</v>
      </c>
      <c r="D120" t="s">
        <v>5848</v>
      </c>
      <c r="E120" t="s">
        <v>7484</v>
      </c>
      <c r="F120" t="s">
        <v>0</v>
      </c>
      <c r="G120" s="1">
        <f>DATE(2021,9,1)</f>
        <v>44440</v>
      </c>
    </row>
    <row r="121" spans="1:7" x14ac:dyDescent="0.35">
      <c r="A121" s="2" t="s">
        <v>349</v>
      </c>
      <c r="B121" s="2" t="s">
        <v>350</v>
      </c>
      <c r="C121" s="2" t="s">
        <v>351</v>
      </c>
      <c r="D121" t="s">
        <v>5849</v>
      </c>
      <c r="E121" t="s">
        <v>7485</v>
      </c>
      <c r="F121" t="s">
        <v>0</v>
      </c>
      <c r="G121" s="1">
        <f>DATE(2020,4,16)</f>
        <v>43937</v>
      </c>
    </row>
    <row r="122" spans="1:7" x14ac:dyDescent="0.35">
      <c r="A122" s="2" t="s">
        <v>352</v>
      </c>
      <c r="B122" s="2" t="s">
        <v>353</v>
      </c>
      <c r="C122" s="2" t="s">
        <v>354</v>
      </c>
      <c r="D122" t="s">
        <v>5850</v>
      </c>
      <c r="E122" t="s">
        <v>7486</v>
      </c>
      <c r="F122" t="s">
        <v>0</v>
      </c>
      <c r="G122" s="1">
        <f>DATE(2020,7,29)</f>
        <v>44041</v>
      </c>
    </row>
    <row r="123" spans="1:7" x14ac:dyDescent="0.35">
      <c r="A123" s="2" t="s">
        <v>355</v>
      </c>
      <c r="B123" s="2" t="s">
        <v>356</v>
      </c>
      <c r="C123" s="2" t="s">
        <v>357</v>
      </c>
      <c r="D123" t="s">
        <v>5851</v>
      </c>
      <c r="E123" t="s">
        <v>7487</v>
      </c>
      <c r="F123" t="s">
        <v>0</v>
      </c>
      <c r="G123" s="1">
        <f>DATE(2020,9,15)</f>
        <v>44089</v>
      </c>
    </row>
    <row r="124" spans="1:7" x14ac:dyDescent="0.35">
      <c r="A124" s="2" t="s">
        <v>358</v>
      </c>
      <c r="B124" s="2" t="s">
        <v>359</v>
      </c>
      <c r="C124" s="2" t="s">
        <v>360</v>
      </c>
      <c r="D124" t="s">
        <v>5852</v>
      </c>
      <c r="E124" t="s">
        <v>7488</v>
      </c>
      <c r="F124" t="s">
        <v>0</v>
      </c>
      <c r="G124" s="1">
        <f>DATE(2023,5,5)</f>
        <v>45051</v>
      </c>
    </row>
    <row r="125" spans="1:7" x14ac:dyDescent="0.35">
      <c r="A125" s="2" t="s">
        <v>361</v>
      </c>
      <c r="B125" s="2" t="s">
        <v>362</v>
      </c>
      <c r="C125" s="2" t="s">
        <v>363</v>
      </c>
      <c r="D125" t="s">
        <v>5853</v>
      </c>
      <c r="E125" t="s">
        <v>7489</v>
      </c>
      <c r="F125" t="s">
        <v>0</v>
      </c>
      <c r="G125" s="1">
        <f>DATE(2024,1,5)</f>
        <v>45296</v>
      </c>
    </row>
    <row r="126" spans="1:7" x14ac:dyDescent="0.35">
      <c r="A126" s="2" t="s">
        <v>364</v>
      </c>
      <c r="B126" s="2" t="s">
        <v>365</v>
      </c>
      <c r="C126" s="2" t="s">
        <v>366</v>
      </c>
      <c r="D126" t="s">
        <v>5854</v>
      </c>
      <c r="E126" t="s">
        <v>7490</v>
      </c>
      <c r="F126" t="s">
        <v>0</v>
      </c>
      <c r="G126" s="1">
        <f>DATE(2022,10,13)</f>
        <v>44847</v>
      </c>
    </row>
    <row r="127" spans="1:7" x14ac:dyDescent="0.35">
      <c r="A127" s="2" t="s">
        <v>367</v>
      </c>
      <c r="B127" s="2" t="s">
        <v>368</v>
      </c>
      <c r="C127" s="2" t="s">
        <v>369</v>
      </c>
      <c r="D127" t="s">
        <v>5855</v>
      </c>
      <c r="E127" t="s">
        <v>7491</v>
      </c>
      <c r="F127" t="s">
        <v>0</v>
      </c>
      <c r="G127" s="1">
        <f>DATE(2020,5,26)</f>
        <v>43977</v>
      </c>
    </row>
    <row r="128" spans="1:7" x14ac:dyDescent="0.35">
      <c r="A128" s="2" t="s">
        <v>370</v>
      </c>
      <c r="B128" s="2" t="s">
        <v>371</v>
      </c>
      <c r="C128" s="2" t="s">
        <v>372</v>
      </c>
      <c r="D128" t="s">
        <v>5856</v>
      </c>
      <c r="E128" t="s">
        <v>7492</v>
      </c>
      <c r="F128" t="s">
        <v>0</v>
      </c>
      <c r="G128" s="1">
        <f>DATE(2020,7,30)</f>
        <v>44042</v>
      </c>
    </row>
    <row r="129" spans="1:7" x14ac:dyDescent="0.35">
      <c r="A129" s="2" t="s">
        <v>373</v>
      </c>
      <c r="B129" s="2" t="s">
        <v>374</v>
      </c>
      <c r="D129" t="s">
        <v>5756</v>
      </c>
      <c r="E129" t="e">
        <v>#VALUE!</v>
      </c>
      <c r="F129" t="s">
        <v>0</v>
      </c>
      <c r="G129" s="1">
        <f>DATE(2020,5,18)</f>
        <v>43969</v>
      </c>
    </row>
    <row r="130" spans="1:7" x14ac:dyDescent="0.35">
      <c r="A130" s="2" t="s">
        <v>375</v>
      </c>
      <c r="B130" s="2" t="s">
        <v>376</v>
      </c>
      <c r="C130" s="2" t="s">
        <v>377</v>
      </c>
      <c r="D130" t="s">
        <v>5857</v>
      </c>
      <c r="E130" t="s">
        <v>7493</v>
      </c>
      <c r="F130" t="s">
        <v>0</v>
      </c>
      <c r="G130" s="1">
        <f>DATE(2020,7,27)</f>
        <v>44039</v>
      </c>
    </row>
    <row r="131" spans="1:7" x14ac:dyDescent="0.35">
      <c r="A131" s="2" t="s">
        <v>378</v>
      </c>
      <c r="B131" s="2" t="s">
        <v>379</v>
      </c>
      <c r="C131" s="2" t="s">
        <v>380</v>
      </c>
      <c r="D131" t="s">
        <v>5858</v>
      </c>
      <c r="E131" t="s">
        <v>7494</v>
      </c>
      <c r="F131" t="s">
        <v>0</v>
      </c>
      <c r="G131" s="1">
        <f>DATE(2020,5,28)</f>
        <v>43979</v>
      </c>
    </row>
    <row r="132" spans="1:7" x14ac:dyDescent="0.35">
      <c r="A132" s="2" t="s">
        <v>381</v>
      </c>
      <c r="B132" s="2" t="s">
        <v>382</v>
      </c>
      <c r="C132" s="2" t="s">
        <v>383</v>
      </c>
      <c r="D132" t="s">
        <v>5859</v>
      </c>
      <c r="E132" t="s">
        <v>7495</v>
      </c>
      <c r="F132" t="s">
        <v>0</v>
      </c>
      <c r="G132" s="1">
        <f>DATE(2020,5,27)</f>
        <v>43978</v>
      </c>
    </row>
    <row r="133" spans="1:7" x14ac:dyDescent="0.35">
      <c r="A133" s="2" t="s">
        <v>384</v>
      </c>
      <c r="B133" s="2" t="s">
        <v>385</v>
      </c>
      <c r="C133" s="2" t="s">
        <v>386</v>
      </c>
      <c r="D133" t="s">
        <v>5860</v>
      </c>
      <c r="E133" t="s">
        <v>7496</v>
      </c>
      <c r="F133" t="s">
        <v>0</v>
      </c>
      <c r="G133" s="1">
        <f>DATE(2020,5,26)</f>
        <v>43977</v>
      </c>
    </row>
    <row r="134" spans="1:7" x14ac:dyDescent="0.35">
      <c r="A134" s="2" t="s">
        <v>387</v>
      </c>
      <c r="B134" s="2" t="s">
        <v>388</v>
      </c>
      <c r="C134" s="2" t="s">
        <v>389</v>
      </c>
      <c r="D134" t="s">
        <v>5861</v>
      </c>
      <c r="E134" t="s">
        <v>7497</v>
      </c>
      <c r="F134" t="s">
        <v>0</v>
      </c>
      <c r="G134" s="1">
        <f>DATE(2020,11,16)</f>
        <v>44151</v>
      </c>
    </row>
    <row r="135" spans="1:7" x14ac:dyDescent="0.35">
      <c r="A135" s="2" t="s">
        <v>390</v>
      </c>
      <c r="B135" s="2" t="s">
        <v>391</v>
      </c>
      <c r="C135" s="2" t="s">
        <v>392</v>
      </c>
      <c r="D135" t="s">
        <v>5862</v>
      </c>
      <c r="E135" t="s">
        <v>7498</v>
      </c>
      <c r="F135" t="s">
        <v>0</v>
      </c>
      <c r="G135" s="1">
        <f>DATE(2020,6,4)</f>
        <v>43986</v>
      </c>
    </row>
    <row r="136" spans="1:7" x14ac:dyDescent="0.35">
      <c r="A136" s="2" t="s">
        <v>393</v>
      </c>
      <c r="B136" s="2" t="s">
        <v>394</v>
      </c>
      <c r="C136" s="2" t="s">
        <v>395</v>
      </c>
      <c r="D136" t="s">
        <v>5863</v>
      </c>
      <c r="E136" t="s">
        <v>7499</v>
      </c>
      <c r="F136" t="s">
        <v>0</v>
      </c>
      <c r="G136" s="1">
        <f>DATE(2020,11,3)</f>
        <v>44138</v>
      </c>
    </row>
    <row r="137" spans="1:7" x14ac:dyDescent="0.35">
      <c r="A137" s="2" t="s">
        <v>396</v>
      </c>
      <c r="B137" s="2" t="s">
        <v>397</v>
      </c>
      <c r="C137" s="2" t="s">
        <v>398</v>
      </c>
      <c r="D137" t="s">
        <v>5864</v>
      </c>
      <c r="E137" t="s">
        <v>7500</v>
      </c>
      <c r="F137" t="s">
        <v>0</v>
      </c>
      <c r="G137" s="1">
        <f>DATE(2023,9,11)</f>
        <v>45180</v>
      </c>
    </row>
    <row r="138" spans="1:7" x14ac:dyDescent="0.35">
      <c r="A138" s="2" t="s">
        <v>399</v>
      </c>
      <c r="B138" s="2" t="s">
        <v>400</v>
      </c>
      <c r="C138" s="2" t="s">
        <v>401</v>
      </c>
      <c r="D138" t="s">
        <v>5865</v>
      </c>
      <c r="E138" t="s">
        <v>7501</v>
      </c>
      <c r="F138" t="s">
        <v>0</v>
      </c>
      <c r="G138" s="1">
        <f>DATE(2023,9,18)</f>
        <v>45187</v>
      </c>
    </row>
    <row r="139" spans="1:7" x14ac:dyDescent="0.35">
      <c r="A139" s="2" t="s">
        <v>402</v>
      </c>
      <c r="B139" s="2" t="s">
        <v>403</v>
      </c>
      <c r="C139" s="2" t="s">
        <v>404</v>
      </c>
      <c r="D139" t="s">
        <v>5866</v>
      </c>
      <c r="E139" t="s">
        <v>7502</v>
      </c>
      <c r="F139" t="s">
        <v>0</v>
      </c>
      <c r="G139" s="1">
        <f>DATE(2022,1,14)</f>
        <v>44575</v>
      </c>
    </row>
    <row r="140" spans="1:7" x14ac:dyDescent="0.35">
      <c r="A140" s="2" t="s">
        <v>405</v>
      </c>
      <c r="B140" s="2" t="s">
        <v>406</v>
      </c>
      <c r="C140" s="2" t="s">
        <v>407</v>
      </c>
      <c r="D140" t="s">
        <v>5867</v>
      </c>
      <c r="E140" t="s">
        <v>7503</v>
      </c>
      <c r="F140" t="s">
        <v>0</v>
      </c>
      <c r="G140" s="1">
        <f>DATE(2024,1,5)</f>
        <v>45296</v>
      </c>
    </row>
    <row r="141" spans="1:7" x14ac:dyDescent="0.35">
      <c r="A141" s="2" t="s">
        <v>408</v>
      </c>
      <c r="B141" s="2" t="s">
        <v>409</v>
      </c>
      <c r="C141" s="2" t="s">
        <v>410</v>
      </c>
      <c r="D141" t="s">
        <v>5868</v>
      </c>
      <c r="E141" t="s">
        <v>7504</v>
      </c>
      <c r="F141" t="s">
        <v>0</v>
      </c>
      <c r="G141" s="1">
        <f>DATE(2023,9,7)</f>
        <v>45176</v>
      </c>
    </row>
    <row r="142" spans="1:7" x14ac:dyDescent="0.35">
      <c r="A142" s="2" t="s">
        <v>411</v>
      </c>
      <c r="B142" s="2" t="s">
        <v>412</v>
      </c>
      <c r="C142" s="2" t="s">
        <v>413</v>
      </c>
      <c r="D142" t="s">
        <v>5869</v>
      </c>
      <c r="E142" t="s">
        <v>7505</v>
      </c>
      <c r="F142" t="s">
        <v>0</v>
      </c>
      <c r="G142" s="1">
        <f>DATE(2024,1,18)</f>
        <v>45309</v>
      </c>
    </row>
    <row r="143" spans="1:7" x14ac:dyDescent="0.35">
      <c r="A143" s="2" t="s">
        <v>414</v>
      </c>
      <c r="B143" s="2" t="s">
        <v>415</v>
      </c>
      <c r="C143" s="2" t="s">
        <v>416</v>
      </c>
      <c r="D143" t="s">
        <v>5870</v>
      </c>
      <c r="E143" t="s">
        <v>7506</v>
      </c>
      <c r="F143" t="s">
        <v>0</v>
      </c>
      <c r="G143" s="1">
        <f>DATE(2020,3,20)</f>
        <v>43910</v>
      </c>
    </row>
    <row r="144" spans="1:7" x14ac:dyDescent="0.35">
      <c r="A144" s="2" t="s">
        <v>417</v>
      </c>
      <c r="B144" s="2" t="s">
        <v>418</v>
      </c>
      <c r="C144" s="2" t="s">
        <v>419</v>
      </c>
      <c r="D144" t="s">
        <v>5871</v>
      </c>
      <c r="E144" t="s">
        <v>7507</v>
      </c>
      <c r="F144" t="s">
        <v>0</v>
      </c>
      <c r="G144" s="1">
        <f>DATE(2023,6,13)</f>
        <v>45090</v>
      </c>
    </row>
    <row r="145" spans="1:7" x14ac:dyDescent="0.35">
      <c r="A145" s="2" t="s">
        <v>420</v>
      </c>
      <c r="B145" s="2" t="s">
        <v>421</v>
      </c>
      <c r="C145" s="2" t="s">
        <v>422</v>
      </c>
      <c r="D145" t="s">
        <v>5872</v>
      </c>
      <c r="E145" t="s">
        <v>7508</v>
      </c>
      <c r="F145" t="s">
        <v>0</v>
      </c>
      <c r="G145" s="1">
        <f>DATE(2022,4,22)</f>
        <v>44673</v>
      </c>
    </row>
    <row r="146" spans="1:7" x14ac:dyDescent="0.35">
      <c r="A146" s="2" t="s">
        <v>423</v>
      </c>
      <c r="B146" s="2" t="s">
        <v>424</v>
      </c>
      <c r="C146" s="2" t="s">
        <v>425</v>
      </c>
      <c r="D146" t="s">
        <v>5873</v>
      </c>
      <c r="E146" t="s">
        <v>7509</v>
      </c>
      <c r="F146" t="s">
        <v>0</v>
      </c>
      <c r="G146" s="1">
        <f>DATE(2020,3,20)</f>
        <v>43910</v>
      </c>
    </row>
    <row r="147" spans="1:7" x14ac:dyDescent="0.35">
      <c r="A147" s="2" t="s">
        <v>426</v>
      </c>
      <c r="B147" s="2" t="s">
        <v>427</v>
      </c>
      <c r="C147" s="2" t="s">
        <v>428</v>
      </c>
      <c r="D147" t="s">
        <v>5874</v>
      </c>
      <c r="E147" t="s">
        <v>7510</v>
      </c>
      <c r="F147" t="s">
        <v>0</v>
      </c>
      <c r="G147" s="1">
        <f>DATE(2023,9,25)</f>
        <v>45194</v>
      </c>
    </row>
    <row r="148" spans="1:7" x14ac:dyDescent="0.35">
      <c r="A148" s="2" t="s">
        <v>429</v>
      </c>
      <c r="B148" s="2" t="s">
        <v>430</v>
      </c>
      <c r="C148" s="2" t="s">
        <v>431</v>
      </c>
      <c r="D148" t="s">
        <v>5875</v>
      </c>
      <c r="E148" t="s">
        <v>7511</v>
      </c>
      <c r="F148" t="s">
        <v>0</v>
      </c>
      <c r="G148" s="1">
        <f>DATE(2023,9,25)</f>
        <v>45194</v>
      </c>
    </row>
    <row r="149" spans="1:7" x14ac:dyDescent="0.35">
      <c r="A149" s="2" t="s">
        <v>432</v>
      </c>
      <c r="B149" s="2" t="s">
        <v>433</v>
      </c>
      <c r="D149" t="s">
        <v>5756</v>
      </c>
      <c r="E149" t="e">
        <v>#VALUE!</v>
      </c>
      <c r="F149" t="s">
        <v>0</v>
      </c>
      <c r="G149" s="1">
        <f>DATE(2020,4,17)</f>
        <v>43938</v>
      </c>
    </row>
    <row r="150" spans="1:7" x14ac:dyDescent="0.35">
      <c r="A150" s="2" t="s">
        <v>434</v>
      </c>
      <c r="B150" s="2" t="s">
        <v>435</v>
      </c>
      <c r="D150" t="s">
        <v>5756</v>
      </c>
      <c r="E150" t="e">
        <v>#VALUE!</v>
      </c>
      <c r="F150" t="s">
        <v>0</v>
      </c>
      <c r="G150" s="1">
        <f>DATE(2024,1,5)</f>
        <v>45296</v>
      </c>
    </row>
    <row r="151" spans="1:7" x14ac:dyDescent="0.35">
      <c r="A151" s="2" t="s">
        <v>436</v>
      </c>
      <c r="B151" s="2" t="s">
        <v>437</v>
      </c>
      <c r="C151" s="2" t="s">
        <v>438</v>
      </c>
      <c r="D151" t="s">
        <v>5876</v>
      </c>
      <c r="E151" t="s">
        <v>7512</v>
      </c>
      <c r="F151" t="s">
        <v>0</v>
      </c>
      <c r="G151" s="1">
        <f>DATE(2020,3,20)</f>
        <v>43910</v>
      </c>
    </row>
    <row r="152" spans="1:7" x14ac:dyDescent="0.35">
      <c r="A152" s="2" t="s">
        <v>439</v>
      </c>
      <c r="B152" s="2" t="s">
        <v>440</v>
      </c>
      <c r="C152" s="2" t="s">
        <v>441</v>
      </c>
      <c r="D152" t="s">
        <v>5877</v>
      </c>
      <c r="E152" t="s">
        <v>7513</v>
      </c>
      <c r="F152" t="s">
        <v>0</v>
      </c>
      <c r="G152" s="1">
        <f>DATE(2020,9,29)</f>
        <v>44103</v>
      </c>
    </row>
    <row r="153" spans="1:7" x14ac:dyDescent="0.35">
      <c r="A153" s="2" t="s">
        <v>442</v>
      </c>
      <c r="B153" s="2" t="s">
        <v>443</v>
      </c>
      <c r="C153" s="2" t="s">
        <v>444</v>
      </c>
      <c r="D153" t="s">
        <v>5878</v>
      </c>
      <c r="E153" t="s">
        <v>7514</v>
      </c>
      <c r="F153" t="s">
        <v>0</v>
      </c>
      <c r="G153" s="1">
        <f>DATE(2023,9,7)</f>
        <v>45176</v>
      </c>
    </row>
    <row r="154" spans="1:7" x14ac:dyDescent="0.35">
      <c r="A154" s="2" t="s">
        <v>445</v>
      </c>
      <c r="B154" s="2" t="s">
        <v>446</v>
      </c>
      <c r="C154" s="2" t="s">
        <v>447</v>
      </c>
      <c r="D154" t="s">
        <v>5879</v>
      </c>
      <c r="E154" t="s">
        <v>7515</v>
      </c>
      <c r="F154" t="s">
        <v>0</v>
      </c>
      <c r="G154" s="1">
        <f>DATE(2023,9,7)</f>
        <v>45176</v>
      </c>
    </row>
    <row r="155" spans="1:7" x14ac:dyDescent="0.35">
      <c r="A155" s="2" t="s">
        <v>448</v>
      </c>
      <c r="B155" s="2" t="s">
        <v>449</v>
      </c>
      <c r="C155" s="2" t="s">
        <v>450</v>
      </c>
      <c r="D155" t="s">
        <v>5880</v>
      </c>
      <c r="E155" t="s">
        <v>7516</v>
      </c>
      <c r="F155" t="s">
        <v>0</v>
      </c>
      <c r="G155" s="1">
        <f>DATE(2023,6,21)</f>
        <v>45098</v>
      </c>
    </row>
    <row r="156" spans="1:7" x14ac:dyDescent="0.35">
      <c r="A156" s="2" t="s">
        <v>451</v>
      </c>
      <c r="B156" s="2" t="s">
        <v>452</v>
      </c>
      <c r="C156" s="2" t="s">
        <v>453</v>
      </c>
      <c r="D156" t="s">
        <v>5881</v>
      </c>
      <c r="E156" t="s">
        <v>7517</v>
      </c>
      <c r="F156" t="s">
        <v>0</v>
      </c>
      <c r="G156" s="1">
        <f>DATE(2023,9,25)</f>
        <v>45194</v>
      </c>
    </row>
    <row r="157" spans="1:7" x14ac:dyDescent="0.35">
      <c r="A157" s="2" t="s">
        <v>454</v>
      </c>
      <c r="B157" s="2" t="s">
        <v>455</v>
      </c>
      <c r="C157" s="2" t="s">
        <v>456</v>
      </c>
      <c r="D157" t="s">
        <v>5882</v>
      </c>
      <c r="E157" t="s">
        <v>7518</v>
      </c>
      <c r="F157" t="s">
        <v>0</v>
      </c>
      <c r="G157" s="1">
        <f>DATE(2023,4,25)</f>
        <v>45041</v>
      </c>
    </row>
    <row r="158" spans="1:7" x14ac:dyDescent="0.35">
      <c r="A158" s="2" t="s">
        <v>457</v>
      </c>
      <c r="B158" s="2" t="s">
        <v>458</v>
      </c>
      <c r="C158" s="2" t="s">
        <v>459</v>
      </c>
      <c r="D158" t="s">
        <v>5883</v>
      </c>
      <c r="E158" t="s">
        <v>7519</v>
      </c>
      <c r="F158" t="s">
        <v>0</v>
      </c>
      <c r="G158" s="1">
        <f>DATE(2023,9,25)</f>
        <v>45194</v>
      </c>
    </row>
    <row r="159" spans="1:7" x14ac:dyDescent="0.35">
      <c r="A159" s="2" t="s">
        <v>460</v>
      </c>
      <c r="B159" s="2" t="s">
        <v>461</v>
      </c>
      <c r="C159" s="2" t="s">
        <v>462</v>
      </c>
      <c r="D159" t="s">
        <v>5884</v>
      </c>
      <c r="E159" t="s">
        <v>7520</v>
      </c>
      <c r="F159" t="s">
        <v>0</v>
      </c>
      <c r="G159" s="1">
        <f>DATE(2022,4,22)</f>
        <v>44673</v>
      </c>
    </row>
    <row r="160" spans="1:7" x14ac:dyDescent="0.35">
      <c r="A160" s="2" t="s">
        <v>463</v>
      </c>
      <c r="B160" s="2" t="s">
        <v>464</v>
      </c>
      <c r="C160" s="2" t="s">
        <v>465</v>
      </c>
      <c r="D160" t="s">
        <v>5885</v>
      </c>
      <c r="E160" t="s">
        <v>7521</v>
      </c>
      <c r="F160" t="s">
        <v>0</v>
      </c>
      <c r="G160" s="1">
        <f>DATE(2023,9,25)</f>
        <v>45194</v>
      </c>
    </row>
    <row r="161" spans="1:7" x14ac:dyDescent="0.35">
      <c r="A161" s="2" t="s">
        <v>466</v>
      </c>
      <c r="B161" s="2" t="s">
        <v>467</v>
      </c>
      <c r="C161" s="2" t="s">
        <v>468</v>
      </c>
      <c r="D161" t="s">
        <v>5886</v>
      </c>
      <c r="E161" t="s">
        <v>7522</v>
      </c>
      <c r="F161" t="s">
        <v>0</v>
      </c>
      <c r="G161" s="1">
        <f>DATE(2023,9,8)</f>
        <v>45177</v>
      </c>
    </row>
    <row r="162" spans="1:7" x14ac:dyDescent="0.35">
      <c r="A162" s="2" t="s">
        <v>469</v>
      </c>
      <c r="B162" s="2" t="s">
        <v>470</v>
      </c>
      <c r="C162" s="2" t="s">
        <v>471</v>
      </c>
      <c r="D162" t="s">
        <v>5887</v>
      </c>
      <c r="E162" t="s">
        <v>7523</v>
      </c>
      <c r="F162" t="s">
        <v>0</v>
      </c>
      <c r="G162" s="1">
        <f>DATE(2023,9,25)</f>
        <v>45194</v>
      </c>
    </row>
    <row r="163" spans="1:7" x14ac:dyDescent="0.35">
      <c r="A163" s="2" t="s">
        <v>472</v>
      </c>
      <c r="B163" s="2" t="s">
        <v>473</v>
      </c>
      <c r="C163" s="2" t="s">
        <v>474</v>
      </c>
      <c r="D163" t="s">
        <v>5888</v>
      </c>
      <c r="E163" t="s">
        <v>7524</v>
      </c>
      <c r="F163" t="s">
        <v>0</v>
      </c>
      <c r="G163" s="1">
        <f>DATE(2023,5,12)</f>
        <v>45058</v>
      </c>
    </row>
    <row r="164" spans="1:7" x14ac:dyDescent="0.35">
      <c r="A164" s="2" t="s">
        <v>475</v>
      </c>
      <c r="B164" s="2" t="s">
        <v>476</v>
      </c>
      <c r="C164" s="2" t="s">
        <v>477</v>
      </c>
      <c r="D164" t="s">
        <v>5889</v>
      </c>
      <c r="E164" t="s">
        <v>7525</v>
      </c>
      <c r="F164" t="s">
        <v>0</v>
      </c>
      <c r="G164" s="1">
        <f>DATE(2023,9,8)</f>
        <v>45177</v>
      </c>
    </row>
    <row r="165" spans="1:7" x14ac:dyDescent="0.35">
      <c r="A165" s="2" t="s">
        <v>478</v>
      </c>
      <c r="B165" s="2" t="s">
        <v>479</v>
      </c>
      <c r="C165" s="2" t="s">
        <v>480</v>
      </c>
      <c r="D165" t="s">
        <v>5890</v>
      </c>
      <c r="E165" t="s">
        <v>7526</v>
      </c>
      <c r="F165" t="s">
        <v>0</v>
      </c>
      <c r="G165" s="1">
        <f>DATE(2023,6,2)</f>
        <v>45079</v>
      </c>
    </row>
    <row r="166" spans="1:7" x14ac:dyDescent="0.35">
      <c r="A166" s="2" t="s">
        <v>481</v>
      </c>
      <c r="B166" s="2" t="s">
        <v>482</v>
      </c>
      <c r="C166" s="2" t="s">
        <v>483</v>
      </c>
      <c r="D166" t="s">
        <v>5891</v>
      </c>
      <c r="E166" t="s">
        <v>7527</v>
      </c>
      <c r="F166" t="s">
        <v>0</v>
      </c>
      <c r="G166" s="1">
        <f>DATE(2023,9,8)</f>
        <v>45177</v>
      </c>
    </row>
    <row r="167" spans="1:7" x14ac:dyDescent="0.35">
      <c r="A167" s="2" t="s">
        <v>484</v>
      </c>
      <c r="B167" s="2" t="s">
        <v>485</v>
      </c>
      <c r="C167" s="2" t="s">
        <v>486</v>
      </c>
      <c r="D167" t="s">
        <v>5892</v>
      </c>
      <c r="E167" t="s">
        <v>7528</v>
      </c>
      <c r="F167" t="s">
        <v>0</v>
      </c>
      <c r="G167" s="1">
        <f>DATE(2023,8,22)</f>
        <v>45160</v>
      </c>
    </row>
    <row r="168" spans="1:7" x14ac:dyDescent="0.35">
      <c r="A168" s="2" t="s">
        <v>487</v>
      </c>
      <c r="B168" s="2" t="s">
        <v>488</v>
      </c>
      <c r="D168" t="s">
        <v>5756</v>
      </c>
      <c r="E168" t="e">
        <v>#VALUE!</v>
      </c>
      <c r="F168" t="s">
        <v>0</v>
      </c>
      <c r="G168" s="1">
        <f>DATE(2023,6,7)</f>
        <v>45084</v>
      </c>
    </row>
    <row r="169" spans="1:7" x14ac:dyDescent="0.35">
      <c r="A169" s="2" t="s">
        <v>489</v>
      </c>
      <c r="B169" s="2" t="s">
        <v>490</v>
      </c>
      <c r="C169" s="2" t="s">
        <v>491</v>
      </c>
      <c r="D169" t="s">
        <v>5893</v>
      </c>
      <c r="E169" t="s">
        <v>7529</v>
      </c>
      <c r="F169" t="s">
        <v>0</v>
      </c>
      <c r="G169" s="1">
        <f>DATE(2023,6,9)</f>
        <v>45086</v>
      </c>
    </row>
    <row r="170" spans="1:7" x14ac:dyDescent="0.35">
      <c r="A170" s="2" t="s">
        <v>492</v>
      </c>
      <c r="B170" s="2" t="s">
        <v>493</v>
      </c>
      <c r="C170" s="2" t="s">
        <v>51</v>
      </c>
      <c r="D170" t="s">
        <v>5757</v>
      </c>
      <c r="E170" t="s">
        <v>7393</v>
      </c>
      <c r="F170" t="s">
        <v>0</v>
      </c>
      <c r="G170" s="1">
        <f>DATE(2023,10,11)</f>
        <v>45210</v>
      </c>
    </row>
    <row r="171" spans="1:7" x14ac:dyDescent="0.35">
      <c r="A171" s="2" t="s">
        <v>494</v>
      </c>
      <c r="B171" s="2" t="s">
        <v>495</v>
      </c>
      <c r="C171" s="2" t="s">
        <v>51</v>
      </c>
      <c r="D171" t="s">
        <v>5757</v>
      </c>
      <c r="E171" t="s">
        <v>7393</v>
      </c>
      <c r="F171" t="s">
        <v>0</v>
      </c>
      <c r="G171" s="1">
        <f>DATE(2023,9,8)</f>
        <v>45177</v>
      </c>
    </row>
    <row r="172" spans="1:7" x14ac:dyDescent="0.35">
      <c r="A172" s="2" t="s">
        <v>496</v>
      </c>
      <c r="B172" s="2" t="s">
        <v>497</v>
      </c>
      <c r="C172" s="2" t="s">
        <v>498</v>
      </c>
      <c r="D172" t="s">
        <v>5894</v>
      </c>
      <c r="E172" t="s">
        <v>7530</v>
      </c>
      <c r="F172" t="s">
        <v>0</v>
      </c>
      <c r="G172" s="1">
        <f>DATE(2024,1,5)</f>
        <v>45296</v>
      </c>
    </row>
    <row r="173" spans="1:7" x14ac:dyDescent="0.35">
      <c r="A173" s="2" t="s">
        <v>499</v>
      </c>
      <c r="B173" s="2" t="s">
        <v>500</v>
      </c>
      <c r="C173" s="2" t="s">
        <v>501</v>
      </c>
      <c r="D173" t="s">
        <v>5895</v>
      </c>
      <c r="E173" t="s">
        <v>7531</v>
      </c>
      <c r="F173" t="s">
        <v>0</v>
      </c>
      <c r="G173" s="1">
        <f>DATE(2023,9,25)</f>
        <v>45194</v>
      </c>
    </row>
    <row r="174" spans="1:7" x14ac:dyDescent="0.35">
      <c r="A174" s="2" t="s">
        <v>502</v>
      </c>
      <c r="B174" s="2" t="s">
        <v>503</v>
      </c>
      <c r="C174" s="2" t="s">
        <v>504</v>
      </c>
      <c r="D174" t="s">
        <v>5896</v>
      </c>
      <c r="E174" t="s">
        <v>7532</v>
      </c>
      <c r="F174" t="s">
        <v>0</v>
      </c>
      <c r="G174" s="1">
        <f>DATE(2023,9,25)</f>
        <v>45194</v>
      </c>
    </row>
    <row r="175" spans="1:7" x14ac:dyDescent="0.35">
      <c r="A175" s="2" t="s">
        <v>505</v>
      </c>
      <c r="B175" s="2" t="s">
        <v>506</v>
      </c>
      <c r="C175" s="2" t="s">
        <v>507</v>
      </c>
      <c r="D175" t="s">
        <v>5897</v>
      </c>
      <c r="E175" t="s">
        <v>7533</v>
      </c>
      <c r="F175" t="s">
        <v>0</v>
      </c>
      <c r="G175" s="1">
        <f>DATE(2023,9,26)</f>
        <v>45195</v>
      </c>
    </row>
    <row r="176" spans="1:7" x14ac:dyDescent="0.35">
      <c r="A176" s="2" t="s">
        <v>508</v>
      </c>
      <c r="B176" s="2" t="s">
        <v>509</v>
      </c>
      <c r="C176" s="2" t="s">
        <v>510</v>
      </c>
      <c r="D176" t="s">
        <v>5898</v>
      </c>
      <c r="E176" t="s">
        <v>7534</v>
      </c>
      <c r="F176" t="s">
        <v>0</v>
      </c>
      <c r="G176" s="1">
        <f t="shared" ref="G176:G182" si="0">DATE(2023,9,25)</f>
        <v>45194</v>
      </c>
    </row>
    <row r="177" spans="1:7" x14ac:dyDescent="0.35">
      <c r="A177" s="2" t="s">
        <v>511</v>
      </c>
      <c r="B177" s="2" t="s">
        <v>512</v>
      </c>
      <c r="C177" s="2" t="s">
        <v>513</v>
      </c>
      <c r="D177" t="s">
        <v>5899</v>
      </c>
      <c r="E177" t="s">
        <v>7535</v>
      </c>
      <c r="F177" t="s">
        <v>0</v>
      </c>
      <c r="G177" s="1">
        <f t="shared" si="0"/>
        <v>45194</v>
      </c>
    </row>
    <row r="178" spans="1:7" x14ac:dyDescent="0.35">
      <c r="A178" s="2" t="s">
        <v>514</v>
      </c>
      <c r="B178" s="2" t="s">
        <v>515</v>
      </c>
      <c r="C178" s="2" t="s">
        <v>516</v>
      </c>
      <c r="D178" t="s">
        <v>5900</v>
      </c>
      <c r="E178" t="s">
        <v>7536</v>
      </c>
      <c r="F178" t="s">
        <v>0</v>
      </c>
      <c r="G178" s="1">
        <f t="shared" si="0"/>
        <v>45194</v>
      </c>
    </row>
    <row r="179" spans="1:7" x14ac:dyDescent="0.35">
      <c r="A179" s="2" t="s">
        <v>517</v>
      </c>
      <c r="B179" s="2" t="s">
        <v>518</v>
      </c>
      <c r="C179" s="2" t="s">
        <v>519</v>
      </c>
      <c r="D179" t="s">
        <v>5901</v>
      </c>
      <c r="E179" t="s">
        <v>7537</v>
      </c>
      <c r="F179" t="s">
        <v>0</v>
      </c>
      <c r="G179" s="1">
        <f t="shared" si="0"/>
        <v>45194</v>
      </c>
    </row>
    <row r="180" spans="1:7" x14ac:dyDescent="0.35">
      <c r="A180" s="2" t="s">
        <v>520</v>
      </c>
      <c r="B180" s="2" t="s">
        <v>521</v>
      </c>
      <c r="C180" s="2" t="s">
        <v>522</v>
      </c>
      <c r="D180" t="s">
        <v>5902</v>
      </c>
      <c r="E180" t="s">
        <v>7538</v>
      </c>
      <c r="F180" t="s">
        <v>0</v>
      </c>
      <c r="G180" s="1">
        <f t="shared" si="0"/>
        <v>45194</v>
      </c>
    </row>
    <row r="181" spans="1:7" x14ac:dyDescent="0.35">
      <c r="A181" s="2" t="s">
        <v>523</v>
      </c>
      <c r="B181" s="2" t="s">
        <v>524</v>
      </c>
      <c r="C181" s="2" t="s">
        <v>525</v>
      </c>
      <c r="D181" t="s">
        <v>5903</v>
      </c>
      <c r="E181" t="s">
        <v>7539</v>
      </c>
      <c r="F181" t="s">
        <v>0</v>
      </c>
      <c r="G181" s="1">
        <f t="shared" si="0"/>
        <v>45194</v>
      </c>
    </row>
    <row r="182" spans="1:7" x14ac:dyDescent="0.35">
      <c r="A182" s="2" t="s">
        <v>526</v>
      </c>
      <c r="B182" s="2" t="s">
        <v>527</v>
      </c>
      <c r="C182" s="2" t="s">
        <v>528</v>
      </c>
      <c r="D182" t="s">
        <v>5904</v>
      </c>
      <c r="E182" t="s">
        <v>7540</v>
      </c>
      <c r="F182" t="s">
        <v>0</v>
      </c>
      <c r="G182" s="1">
        <f t="shared" si="0"/>
        <v>45194</v>
      </c>
    </row>
    <row r="183" spans="1:7" x14ac:dyDescent="0.35">
      <c r="A183" s="2" t="s">
        <v>529</v>
      </c>
      <c r="B183" s="2" t="s">
        <v>530</v>
      </c>
      <c r="C183" s="2" t="s">
        <v>531</v>
      </c>
      <c r="D183" t="s">
        <v>5905</v>
      </c>
      <c r="E183" t="s">
        <v>7541</v>
      </c>
      <c r="F183" t="s">
        <v>0</v>
      </c>
      <c r="G183" s="1">
        <f>DATE(2023,3,30)</f>
        <v>45015</v>
      </c>
    </row>
    <row r="184" spans="1:7" x14ac:dyDescent="0.35">
      <c r="A184" s="2" t="s">
        <v>532</v>
      </c>
      <c r="B184" s="2" t="s">
        <v>533</v>
      </c>
      <c r="C184" s="2" t="s">
        <v>534</v>
      </c>
      <c r="D184" t="s">
        <v>5906</v>
      </c>
      <c r="E184" t="s">
        <v>7542</v>
      </c>
      <c r="F184" t="s">
        <v>0</v>
      </c>
      <c r="G184" s="1">
        <f>DATE(2023,9,25)</f>
        <v>45194</v>
      </c>
    </row>
    <row r="185" spans="1:7" x14ac:dyDescent="0.35">
      <c r="A185" s="2" t="s">
        <v>535</v>
      </c>
      <c r="B185" s="2" t="s">
        <v>536</v>
      </c>
      <c r="C185" s="2" t="s">
        <v>537</v>
      </c>
      <c r="D185" t="s">
        <v>5907</v>
      </c>
      <c r="E185" t="s">
        <v>7543</v>
      </c>
      <c r="F185" t="s">
        <v>0</v>
      </c>
      <c r="G185" s="1">
        <f>DATE(2023,7,13)</f>
        <v>45120</v>
      </c>
    </row>
    <row r="186" spans="1:7" x14ac:dyDescent="0.35">
      <c r="A186" s="2" t="s">
        <v>538</v>
      </c>
      <c r="B186" s="2" t="s">
        <v>539</v>
      </c>
      <c r="C186" s="2" t="s">
        <v>540</v>
      </c>
      <c r="D186" t="s">
        <v>5908</v>
      </c>
      <c r="E186" t="s">
        <v>7544</v>
      </c>
      <c r="F186" t="s">
        <v>0</v>
      </c>
      <c r="G186" s="1">
        <f>DATE(2023,9,25)</f>
        <v>45194</v>
      </c>
    </row>
    <row r="187" spans="1:7" x14ac:dyDescent="0.35">
      <c r="A187" s="2" t="s">
        <v>541</v>
      </c>
      <c r="B187" s="2" t="s">
        <v>542</v>
      </c>
      <c r="C187" s="2" t="s">
        <v>543</v>
      </c>
      <c r="D187" t="s">
        <v>5909</v>
      </c>
      <c r="E187" t="s">
        <v>7545</v>
      </c>
      <c r="F187" t="s">
        <v>0</v>
      </c>
      <c r="G187" s="1">
        <f>DATE(2023,9,25)</f>
        <v>45194</v>
      </c>
    </row>
    <row r="188" spans="1:7" x14ac:dyDescent="0.35">
      <c r="A188" s="2" t="s">
        <v>544</v>
      </c>
      <c r="B188" s="2" t="s">
        <v>545</v>
      </c>
      <c r="C188" s="2" t="s">
        <v>546</v>
      </c>
      <c r="D188" t="s">
        <v>5910</v>
      </c>
      <c r="E188" t="s">
        <v>7546</v>
      </c>
      <c r="F188" t="s">
        <v>0</v>
      </c>
      <c r="G188" s="1">
        <f>DATE(2022,2,7)</f>
        <v>44599</v>
      </c>
    </row>
    <row r="189" spans="1:7" x14ac:dyDescent="0.35">
      <c r="A189" s="2" t="s">
        <v>547</v>
      </c>
      <c r="B189" s="2" t="s">
        <v>548</v>
      </c>
      <c r="C189" s="2" t="s">
        <v>549</v>
      </c>
      <c r="D189" t="s">
        <v>5911</v>
      </c>
      <c r="E189" t="s">
        <v>7547</v>
      </c>
      <c r="F189" t="s">
        <v>0</v>
      </c>
      <c r="G189" s="1">
        <f>DATE(2023,9,8)</f>
        <v>45177</v>
      </c>
    </row>
    <row r="190" spans="1:7" x14ac:dyDescent="0.35">
      <c r="A190" s="2" t="s">
        <v>550</v>
      </c>
      <c r="B190" s="2" t="s">
        <v>551</v>
      </c>
      <c r="C190" s="2" t="s">
        <v>552</v>
      </c>
      <c r="D190" t="s">
        <v>5912</v>
      </c>
      <c r="E190" t="s">
        <v>7548</v>
      </c>
      <c r="F190" t="s">
        <v>0</v>
      </c>
      <c r="G190" s="1">
        <f>DATE(2020,3,20)</f>
        <v>43910</v>
      </c>
    </row>
    <row r="191" spans="1:7" x14ac:dyDescent="0.35">
      <c r="A191" s="2" t="s">
        <v>553</v>
      </c>
      <c r="B191" s="2" t="s">
        <v>554</v>
      </c>
      <c r="C191" s="2" t="s">
        <v>555</v>
      </c>
      <c r="D191" t="s">
        <v>5913</v>
      </c>
      <c r="E191" t="s">
        <v>7549</v>
      </c>
      <c r="F191" t="s">
        <v>0</v>
      </c>
      <c r="G191" s="1">
        <f>DATE(2023,9,7)</f>
        <v>45176</v>
      </c>
    </row>
    <row r="192" spans="1:7" x14ac:dyDescent="0.35">
      <c r="A192" s="2" t="s">
        <v>556</v>
      </c>
      <c r="B192" s="2" t="s">
        <v>557</v>
      </c>
      <c r="C192" s="2" t="s">
        <v>558</v>
      </c>
      <c r="D192" t="s">
        <v>5914</v>
      </c>
      <c r="E192" t="s">
        <v>7550</v>
      </c>
      <c r="F192" t="s">
        <v>0</v>
      </c>
      <c r="G192" s="1">
        <f>DATE(2023,9,25)</f>
        <v>45194</v>
      </c>
    </row>
    <row r="193" spans="1:7" x14ac:dyDescent="0.35">
      <c r="A193" s="2" t="s">
        <v>559</v>
      </c>
      <c r="B193" s="2" t="s">
        <v>560</v>
      </c>
      <c r="C193" s="2" t="s">
        <v>561</v>
      </c>
      <c r="D193" t="s">
        <v>5915</v>
      </c>
      <c r="E193" t="s">
        <v>7551</v>
      </c>
      <c r="F193" t="s">
        <v>0</v>
      </c>
      <c r="G193" s="1">
        <f>DATE(2020,9,15)</f>
        <v>44089</v>
      </c>
    </row>
    <row r="194" spans="1:7" x14ac:dyDescent="0.35">
      <c r="A194" s="2" t="s">
        <v>562</v>
      </c>
      <c r="B194" s="2" t="s">
        <v>563</v>
      </c>
      <c r="C194" s="2" t="s">
        <v>564</v>
      </c>
      <c r="D194" t="s">
        <v>5916</v>
      </c>
      <c r="E194" t="s">
        <v>7552</v>
      </c>
      <c r="F194" t="s">
        <v>0</v>
      </c>
      <c r="G194" s="1">
        <f>DATE(2023,9,25)</f>
        <v>45194</v>
      </c>
    </row>
    <row r="195" spans="1:7" x14ac:dyDescent="0.35">
      <c r="A195" s="2" t="s">
        <v>565</v>
      </c>
      <c r="B195" s="2" t="s">
        <v>566</v>
      </c>
      <c r="C195" s="2" t="s">
        <v>567</v>
      </c>
      <c r="D195" t="s">
        <v>5917</v>
      </c>
      <c r="E195" t="s">
        <v>7553</v>
      </c>
      <c r="F195" t="s">
        <v>0</v>
      </c>
      <c r="G195" s="1">
        <f>DATE(2021,2,18)</f>
        <v>44245</v>
      </c>
    </row>
    <row r="196" spans="1:7" x14ac:dyDescent="0.35">
      <c r="A196" s="2" t="s">
        <v>568</v>
      </c>
      <c r="B196" s="2" t="s">
        <v>569</v>
      </c>
      <c r="C196" s="2" t="s">
        <v>570</v>
      </c>
      <c r="D196" t="s">
        <v>5918</v>
      </c>
      <c r="E196" t="s">
        <v>7554</v>
      </c>
      <c r="F196" t="s">
        <v>0</v>
      </c>
      <c r="G196" s="1">
        <f>DATE(2023,6,29)</f>
        <v>45106</v>
      </c>
    </row>
    <row r="197" spans="1:7" x14ac:dyDescent="0.35">
      <c r="A197" s="2" t="s">
        <v>571</v>
      </c>
      <c r="B197" s="2" t="s">
        <v>572</v>
      </c>
      <c r="C197" s="2" t="s">
        <v>573</v>
      </c>
      <c r="D197" t="s">
        <v>5919</v>
      </c>
      <c r="E197" t="s">
        <v>7555</v>
      </c>
      <c r="F197" t="s">
        <v>0</v>
      </c>
      <c r="G197" s="1">
        <f>DATE(2023,9,8)</f>
        <v>45177</v>
      </c>
    </row>
    <row r="198" spans="1:7" x14ac:dyDescent="0.35">
      <c r="A198" s="2" t="s">
        <v>574</v>
      </c>
      <c r="B198" s="2" t="s">
        <v>575</v>
      </c>
      <c r="C198" s="2" t="s">
        <v>576</v>
      </c>
      <c r="D198" t="s">
        <v>5920</v>
      </c>
      <c r="E198" t="s">
        <v>7556</v>
      </c>
      <c r="F198" t="s">
        <v>0</v>
      </c>
      <c r="G198" s="1">
        <f>DATE(2023,9,25)</f>
        <v>45194</v>
      </c>
    </row>
    <row r="199" spans="1:7" x14ac:dyDescent="0.35">
      <c r="A199" s="2" t="s">
        <v>577</v>
      </c>
      <c r="B199" s="2" t="s">
        <v>578</v>
      </c>
      <c r="C199" s="2" t="s">
        <v>579</v>
      </c>
      <c r="D199" t="s">
        <v>5921</v>
      </c>
      <c r="E199" t="s">
        <v>7557</v>
      </c>
      <c r="F199" t="s">
        <v>0</v>
      </c>
      <c r="G199" s="1">
        <f>DATE(2023,9,25)</f>
        <v>45194</v>
      </c>
    </row>
    <row r="200" spans="1:7" x14ac:dyDescent="0.35">
      <c r="A200" s="2" t="s">
        <v>580</v>
      </c>
      <c r="B200" s="2" t="s">
        <v>581</v>
      </c>
      <c r="C200" s="2" t="s">
        <v>582</v>
      </c>
      <c r="D200" t="s">
        <v>5922</v>
      </c>
      <c r="E200" t="s">
        <v>7558</v>
      </c>
      <c r="F200" t="s">
        <v>0</v>
      </c>
      <c r="G200" s="1">
        <f>DATE(2023,9,25)</f>
        <v>45194</v>
      </c>
    </row>
    <row r="201" spans="1:7" x14ac:dyDescent="0.35">
      <c r="A201" s="2" t="s">
        <v>583</v>
      </c>
      <c r="B201" s="2" t="s">
        <v>584</v>
      </c>
      <c r="C201" s="2" t="s">
        <v>585</v>
      </c>
      <c r="D201" t="s">
        <v>5923</v>
      </c>
      <c r="E201" t="s">
        <v>7559</v>
      </c>
      <c r="F201" t="s">
        <v>0</v>
      </c>
      <c r="G201" s="1">
        <f>DATE(2023,8,22)</f>
        <v>45160</v>
      </c>
    </row>
    <row r="202" spans="1:7" x14ac:dyDescent="0.35">
      <c r="A202" s="2" t="s">
        <v>586</v>
      </c>
      <c r="B202" s="2" t="s">
        <v>587</v>
      </c>
      <c r="C202" s="2" t="s">
        <v>588</v>
      </c>
      <c r="D202" t="s">
        <v>5924</v>
      </c>
      <c r="E202" t="s">
        <v>7560</v>
      </c>
      <c r="F202" t="s">
        <v>0</v>
      </c>
      <c r="G202" s="1">
        <f>DATE(2020,3,20)</f>
        <v>43910</v>
      </c>
    </row>
    <row r="203" spans="1:7" x14ac:dyDescent="0.35">
      <c r="A203" s="2" t="s">
        <v>589</v>
      </c>
      <c r="B203" s="2" t="s">
        <v>590</v>
      </c>
      <c r="C203" s="2" t="s">
        <v>591</v>
      </c>
      <c r="D203" t="s">
        <v>5925</v>
      </c>
      <c r="E203" t="s">
        <v>7561</v>
      </c>
      <c r="F203" t="s">
        <v>0</v>
      </c>
      <c r="G203" s="1">
        <f>DATE(2020,3,20)</f>
        <v>43910</v>
      </c>
    </row>
    <row r="204" spans="1:7" x14ac:dyDescent="0.35">
      <c r="A204" s="2" t="s">
        <v>592</v>
      </c>
      <c r="B204" s="2" t="s">
        <v>593</v>
      </c>
      <c r="D204" t="s">
        <v>5756</v>
      </c>
      <c r="E204" t="e">
        <v>#VALUE!</v>
      </c>
      <c r="F204" t="s">
        <v>0</v>
      </c>
      <c r="G204" s="1">
        <f>DATE(2023,9,25)</f>
        <v>45194</v>
      </c>
    </row>
    <row r="205" spans="1:7" x14ac:dyDescent="0.35">
      <c r="A205" s="2" t="s">
        <v>594</v>
      </c>
      <c r="B205" s="2" t="s">
        <v>595</v>
      </c>
      <c r="C205" s="2" t="s">
        <v>596</v>
      </c>
      <c r="D205" t="s">
        <v>5926</v>
      </c>
      <c r="E205" t="s">
        <v>7562</v>
      </c>
      <c r="F205" t="s">
        <v>0</v>
      </c>
      <c r="G205" s="1">
        <f>DATE(2023,8,25)</f>
        <v>45163</v>
      </c>
    </row>
    <row r="206" spans="1:7" x14ac:dyDescent="0.35">
      <c r="A206" s="2" t="s">
        <v>597</v>
      </c>
      <c r="B206" s="2" t="s">
        <v>598</v>
      </c>
      <c r="C206" s="2" t="s">
        <v>599</v>
      </c>
      <c r="D206" t="s">
        <v>5927</v>
      </c>
      <c r="E206" t="s">
        <v>7563</v>
      </c>
      <c r="F206" t="s">
        <v>0</v>
      </c>
      <c r="G206" s="1">
        <f>DATE(2023,9,25)</f>
        <v>45194</v>
      </c>
    </row>
    <row r="207" spans="1:7" x14ac:dyDescent="0.35">
      <c r="A207" s="2" t="s">
        <v>600</v>
      </c>
      <c r="B207" s="2" t="s">
        <v>601</v>
      </c>
      <c r="C207" s="2" t="s">
        <v>602</v>
      </c>
      <c r="D207" t="s">
        <v>5928</v>
      </c>
      <c r="E207" t="s">
        <v>7564</v>
      </c>
      <c r="F207" t="s">
        <v>0</v>
      </c>
      <c r="G207" s="1">
        <f>DATE(2023,3,14)</f>
        <v>44999</v>
      </c>
    </row>
    <row r="208" spans="1:7" x14ac:dyDescent="0.35">
      <c r="A208" s="2" t="s">
        <v>603</v>
      </c>
      <c r="B208" s="2" t="s">
        <v>604</v>
      </c>
      <c r="C208" s="2" t="s">
        <v>605</v>
      </c>
      <c r="D208" t="s">
        <v>5929</v>
      </c>
      <c r="E208" t="s">
        <v>7565</v>
      </c>
      <c r="F208" t="s">
        <v>0</v>
      </c>
      <c r="G208" s="1">
        <f>DATE(2022,4,13)</f>
        <v>44664</v>
      </c>
    </row>
    <row r="209" spans="1:7" x14ac:dyDescent="0.35">
      <c r="A209" s="2" t="s">
        <v>606</v>
      </c>
      <c r="B209" s="2" t="s">
        <v>607</v>
      </c>
      <c r="C209" s="2" t="s">
        <v>608</v>
      </c>
      <c r="D209" t="s">
        <v>5930</v>
      </c>
      <c r="E209" t="s">
        <v>7566</v>
      </c>
      <c r="F209" t="s">
        <v>0</v>
      </c>
      <c r="G209" s="1">
        <f>DATE(2022,3,1)</f>
        <v>44621</v>
      </c>
    </row>
    <row r="210" spans="1:7" x14ac:dyDescent="0.35">
      <c r="A210" s="2" t="s">
        <v>609</v>
      </c>
      <c r="B210" s="2" t="s">
        <v>610</v>
      </c>
      <c r="D210" t="s">
        <v>5756</v>
      </c>
      <c r="E210" t="e">
        <v>#VALUE!</v>
      </c>
      <c r="F210" t="s">
        <v>0</v>
      </c>
      <c r="G210" s="1">
        <f>DATE(2020,5,27)</f>
        <v>43978</v>
      </c>
    </row>
    <row r="211" spans="1:7" x14ac:dyDescent="0.35">
      <c r="A211" s="2" t="s">
        <v>611</v>
      </c>
      <c r="B211" s="2" t="s">
        <v>612</v>
      </c>
      <c r="C211" s="2" t="s">
        <v>613</v>
      </c>
      <c r="D211" t="s">
        <v>5931</v>
      </c>
      <c r="E211" t="s">
        <v>7567</v>
      </c>
      <c r="F211" t="s">
        <v>0</v>
      </c>
      <c r="G211" s="1">
        <f>DATE(2020,3,20)</f>
        <v>43910</v>
      </c>
    </row>
    <row r="212" spans="1:7" x14ac:dyDescent="0.35">
      <c r="A212" s="2" t="s">
        <v>614</v>
      </c>
      <c r="B212" s="2" t="s">
        <v>615</v>
      </c>
      <c r="C212" s="2" t="s">
        <v>616</v>
      </c>
      <c r="D212" t="s">
        <v>5932</v>
      </c>
      <c r="E212" t="s">
        <v>7568</v>
      </c>
      <c r="F212" t="s">
        <v>0</v>
      </c>
      <c r="G212" s="1">
        <f>DATE(2020,8,5)</f>
        <v>44048</v>
      </c>
    </row>
    <row r="213" spans="1:7" x14ac:dyDescent="0.35">
      <c r="A213" s="2" t="s">
        <v>617</v>
      </c>
      <c r="B213" s="2" t="s">
        <v>618</v>
      </c>
      <c r="C213" s="2" t="s">
        <v>619</v>
      </c>
      <c r="D213" t="s">
        <v>5933</v>
      </c>
      <c r="E213" t="s">
        <v>7569</v>
      </c>
      <c r="F213" t="s">
        <v>0</v>
      </c>
      <c r="G213" s="1">
        <f>DATE(2020,3,20)</f>
        <v>43910</v>
      </c>
    </row>
    <row r="214" spans="1:7" x14ac:dyDescent="0.35">
      <c r="A214" s="2" t="s">
        <v>620</v>
      </c>
      <c r="B214" s="2" t="s">
        <v>621</v>
      </c>
      <c r="C214" s="2" t="s">
        <v>608</v>
      </c>
      <c r="D214" t="s">
        <v>5930</v>
      </c>
      <c r="E214" t="s">
        <v>7566</v>
      </c>
      <c r="F214" t="s">
        <v>0</v>
      </c>
      <c r="G214" s="1">
        <f>DATE(2021,12,30)</f>
        <v>44560</v>
      </c>
    </row>
    <row r="215" spans="1:7" x14ac:dyDescent="0.35">
      <c r="A215" s="2" t="s">
        <v>622</v>
      </c>
      <c r="B215" s="2" t="s">
        <v>623</v>
      </c>
      <c r="C215" s="2" t="s">
        <v>624</v>
      </c>
      <c r="D215" t="s">
        <v>5934</v>
      </c>
      <c r="E215" t="s">
        <v>7570</v>
      </c>
      <c r="F215" t="s">
        <v>0</v>
      </c>
      <c r="G215" s="1">
        <f>DATE(2022,12,19)</f>
        <v>44914</v>
      </c>
    </row>
    <row r="216" spans="1:7" x14ac:dyDescent="0.35">
      <c r="A216" s="2" t="s">
        <v>625</v>
      </c>
      <c r="B216" s="2" t="s">
        <v>626</v>
      </c>
      <c r="C216" s="2" t="s">
        <v>627</v>
      </c>
      <c r="D216" t="s">
        <v>5935</v>
      </c>
      <c r="E216" t="s">
        <v>7571</v>
      </c>
      <c r="F216" t="s">
        <v>0</v>
      </c>
      <c r="G216" s="1">
        <f>DATE(2023,7,6)</f>
        <v>45113</v>
      </c>
    </row>
    <row r="217" spans="1:7" x14ac:dyDescent="0.35">
      <c r="A217" s="2" t="s">
        <v>628</v>
      </c>
      <c r="B217" s="2" t="s">
        <v>629</v>
      </c>
      <c r="C217" s="2" t="s">
        <v>630</v>
      </c>
      <c r="D217" t="s">
        <v>5936</v>
      </c>
      <c r="E217" t="s">
        <v>7572</v>
      </c>
      <c r="F217" t="s">
        <v>0</v>
      </c>
      <c r="G217" s="1">
        <f>DATE(2020,3,20)</f>
        <v>43910</v>
      </c>
    </row>
    <row r="218" spans="1:7" x14ac:dyDescent="0.35">
      <c r="A218" s="2" t="s">
        <v>631</v>
      </c>
      <c r="B218" s="2" t="s">
        <v>632</v>
      </c>
      <c r="C218" s="2" t="s">
        <v>633</v>
      </c>
      <c r="D218" t="s">
        <v>5937</v>
      </c>
      <c r="E218" t="s">
        <v>7573</v>
      </c>
      <c r="F218" t="s">
        <v>0</v>
      </c>
      <c r="G218" s="1">
        <f>DATE(2023,1,12)</f>
        <v>44938</v>
      </c>
    </row>
    <row r="219" spans="1:7" x14ac:dyDescent="0.35">
      <c r="A219" s="2" t="s">
        <v>634</v>
      </c>
      <c r="B219" s="2" t="s">
        <v>635</v>
      </c>
      <c r="C219" s="2" t="s">
        <v>636</v>
      </c>
      <c r="D219" t="s">
        <v>5938</v>
      </c>
      <c r="E219" t="s">
        <v>7574</v>
      </c>
      <c r="F219" t="s">
        <v>0</v>
      </c>
      <c r="G219" s="1">
        <f>DATE(2022,3,10)</f>
        <v>44630</v>
      </c>
    </row>
    <row r="220" spans="1:7" x14ac:dyDescent="0.35">
      <c r="A220" s="2" t="s">
        <v>637</v>
      </c>
      <c r="B220" s="2" t="s">
        <v>638</v>
      </c>
      <c r="C220" s="2" t="s">
        <v>639</v>
      </c>
      <c r="D220" t="s">
        <v>5939</v>
      </c>
      <c r="E220" t="s">
        <v>7575</v>
      </c>
      <c r="F220" t="s">
        <v>0</v>
      </c>
      <c r="G220" s="1">
        <f>DATE(2021,1,21)</f>
        <v>44217</v>
      </c>
    </row>
    <row r="221" spans="1:7" x14ac:dyDescent="0.35">
      <c r="A221" s="2" t="s">
        <v>640</v>
      </c>
      <c r="B221" s="2" t="s">
        <v>641</v>
      </c>
      <c r="D221" t="s">
        <v>5756</v>
      </c>
      <c r="E221" t="e">
        <v>#VALUE!</v>
      </c>
      <c r="F221" t="s">
        <v>0</v>
      </c>
      <c r="G221" s="1">
        <f>DATE(2020,5,27)</f>
        <v>43978</v>
      </c>
    </row>
    <row r="222" spans="1:7" x14ac:dyDescent="0.35">
      <c r="A222" s="2" t="s">
        <v>642</v>
      </c>
      <c r="B222" s="2" t="s">
        <v>643</v>
      </c>
      <c r="C222" s="2" t="s">
        <v>644</v>
      </c>
      <c r="D222" t="s">
        <v>5940</v>
      </c>
      <c r="E222" t="s">
        <v>7576</v>
      </c>
      <c r="F222" t="s">
        <v>0</v>
      </c>
      <c r="G222" s="1">
        <f>DATE(2020,3,20)</f>
        <v>43910</v>
      </c>
    </row>
    <row r="223" spans="1:7" x14ac:dyDescent="0.35">
      <c r="A223" s="2" t="s">
        <v>645</v>
      </c>
      <c r="B223" s="2" t="s">
        <v>646</v>
      </c>
      <c r="C223" s="2" t="s">
        <v>647</v>
      </c>
      <c r="D223" t="s">
        <v>5941</v>
      </c>
      <c r="E223" t="s">
        <v>7577</v>
      </c>
      <c r="F223" t="s">
        <v>0</v>
      </c>
      <c r="G223" s="1">
        <f>DATE(2020,3,20)</f>
        <v>43910</v>
      </c>
    </row>
    <row r="224" spans="1:7" x14ac:dyDescent="0.35">
      <c r="A224" s="2" t="s">
        <v>648</v>
      </c>
      <c r="B224" s="2" t="s">
        <v>649</v>
      </c>
      <c r="C224" s="2" t="s">
        <v>650</v>
      </c>
      <c r="D224" t="s">
        <v>5942</v>
      </c>
      <c r="E224" t="s">
        <v>7578</v>
      </c>
      <c r="F224" t="s">
        <v>0</v>
      </c>
      <c r="G224" s="1">
        <f>DATE(2020,7,22)</f>
        <v>44034</v>
      </c>
    </row>
    <row r="225" spans="1:7" x14ac:dyDescent="0.35">
      <c r="A225" s="2" t="s">
        <v>651</v>
      </c>
      <c r="B225" s="2" t="s">
        <v>652</v>
      </c>
      <c r="C225" s="2" t="s">
        <v>653</v>
      </c>
      <c r="D225" t="s">
        <v>5943</v>
      </c>
      <c r="E225" t="s">
        <v>7579</v>
      </c>
      <c r="F225" t="s">
        <v>0</v>
      </c>
      <c r="G225" s="1">
        <f>DATE(2020,3,20)</f>
        <v>43910</v>
      </c>
    </row>
    <row r="226" spans="1:7" x14ac:dyDescent="0.35">
      <c r="A226" s="2" t="s">
        <v>654</v>
      </c>
      <c r="B226" s="2" t="s">
        <v>655</v>
      </c>
      <c r="C226" s="2" t="s">
        <v>656</v>
      </c>
      <c r="D226" t="s">
        <v>5944</v>
      </c>
      <c r="E226" t="s">
        <v>7580</v>
      </c>
      <c r="F226" t="s">
        <v>0</v>
      </c>
      <c r="G226" s="1">
        <f>DATE(2020,3,20)</f>
        <v>43910</v>
      </c>
    </row>
    <row r="227" spans="1:7" x14ac:dyDescent="0.35">
      <c r="A227" s="2" t="s">
        <v>657</v>
      </c>
      <c r="B227" s="2" t="s">
        <v>658</v>
      </c>
      <c r="C227" s="2" t="s">
        <v>659</v>
      </c>
      <c r="D227" t="s">
        <v>5945</v>
      </c>
      <c r="E227" t="s">
        <v>7581</v>
      </c>
      <c r="F227" t="s">
        <v>0</v>
      </c>
      <c r="G227" s="1">
        <f>DATE(2020,3,20)</f>
        <v>43910</v>
      </c>
    </row>
    <row r="228" spans="1:7" x14ac:dyDescent="0.35">
      <c r="A228" s="2" t="s">
        <v>660</v>
      </c>
      <c r="B228" s="2" t="s">
        <v>661</v>
      </c>
      <c r="C228" s="2" t="s">
        <v>662</v>
      </c>
      <c r="D228" t="s">
        <v>5946</v>
      </c>
      <c r="E228" t="s">
        <v>7582</v>
      </c>
      <c r="F228" t="s">
        <v>0</v>
      </c>
      <c r="G228" s="1">
        <f>DATE(2022,6,3)</f>
        <v>44715</v>
      </c>
    </row>
    <row r="229" spans="1:7" x14ac:dyDescent="0.35">
      <c r="A229" s="2" t="s">
        <v>663</v>
      </c>
      <c r="B229" s="2" t="s">
        <v>664</v>
      </c>
      <c r="C229" s="2" t="s">
        <v>665</v>
      </c>
      <c r="D229" t="s">
        <v>5947</v>
      </c>
      <c r="E229" t="s">
        <v>7583</v>
      </c>
      <c r="F229" t="s">
        <v>0</v>
      </c>
      <c r="G229" s="1">
        <f>DATE(2022,12,2)</f>
        <v>44897</v>
      </c>
    </row>
    <row r="230" spans="1:7" x14ac:dyDescent="0.35">
      <c r="A230" s="2" t="s">
        <v>666</v>
      </c>
      <c r="B230" s="2" t="s">
        <v>667</v>
      </c>
      <c r="D230" t="s">
        <v>5756</v>
      </c>
      <c r="E230" t="e">
        <v>#VALUE!</v>
      </c>
      <c r="F230" t="s">
        <v>0</v>
      </c>
      <c r="G230" s="1">
        <f>DATE(2022,7,29)</f>
        <v>44771</v>
      </c>
    </row>
    <row r="231" spans="1:7" x14ac:dyDescent="0.35">
      <c r="A231" s="2" t="s">
        <v>668</v>
      </c>
      <c r="B231" s="2" t="s">
        <v>669</v>
      </c>
      <c r="C231" s="2" t="s">
        <v>670</v>
      </c>
      <c r="D231" t="s">
        <v>5948</v>
      </c>
      <c r="E231" t="s">
        <v>7584</v>
      </c>
      <c r="F231" t="s">
        <v>0</v>
      </c>
      <c r="G231" s="1">
        <f>DATE(2023,6,13)</f>
        <v>45090</v>
      </c>
    </row>
    <row r="232" spans="1:7" x14ac:dyDescent="0.35">
      <c r="A232" s="2" t="s">
        <v>671</v>
      </c>
      <c r="B232" s="2" t="s">
        <v>672</v>
      </c>
      <c r="C232" s="2" t="s">
        <v>673</v>
      </c>
      <c r="D232" t="s">
        <v>5949</v>
      </c>
      <c r="E232" t="s">
        <v>7585</v>
      </c>
      <c r="F232" t="s">
        <v>0</v>
      </c>
      <c r="G232" s="1">
        <f>DATE(2022,6,15)</f>
        <v>44727</v>
      </c>
    </row>
    <row r="233" spans="1:7" x14ac:dyDescent="0.35">
      <c r="A233" s="2" t="s">
        <v>674</v>
      </c>
      <c r="B233" s="2" t="s">
        <v>675</v>
      </c>
      <c r="C233" s="2" t="s">
        <v>676</v>
      </c>
      <c r="D233" t="s">
        <v>5950</v>
      </c>
      <c r="E233" t="s">
        <v>7586</v>
      </c>
      <c r="F233" t="s">
        <v>0</v>
      </c>
      <c r="G233" s="1">
        <f>DATE(2022,6,16)</f>
        <v>44728</v>
      </c>
    </row>
    <row r="234" spans="1:7" x14ac:dyDescent="0.35">
      <c r="A234" s="2" t="s">
        <v>677</v>
      </c>
      <c r="B234" s="2" t="s">
        <v>678</v>
      </c>
      <c r="C234" s="2" t="s">
        <v>679</v>
      </c>
      <c r="D234" t="s">
        <v>5951</v>
      </c>
      <c r="E234" t="s">
        <v>7587</v>
      </c>
      <c r="F234" t="s">
        <v>0</v>
      </c>
      <c r="G234" s="1">
        <f>DATE(2022,6,16)</f>
        <v>44728</v>
      </c>
    </row>
    <row r="235" spans="1:7" x14ac:dyDescent="0.35">
      <c r="A235" s="2" t="s">
        <v>680</v>
      </c>
      <c r="B235" s="2" t="s">
        <v>681</v>
      </c>
      <c r="C235" s="2" t="s">
        <v>682</v>
      </c>
      <c r="D235" t="s">
        <v>5952</v>
      </c>
      <c r="E235" t="s">
        <v>7588</v>
      </c>
      <c r="F235" t="s">
        <v>0</v>
      </c>
      <c r="G235" s="1">
        <f>DATE(2022,6,20)</f>
        <v>44732</v>
      </c>
    </row>
    <row r="236" spans="1:7" x14ac:dyDescent="0.35">
      <c r="A236" s="2" t="s">
        <v>683</v>
      </c>
      <c r="B236" s="2" t="s">
        <v>684</v>
      </c>
      <c r="C236" s="2" t="s">
        <v>685</v>
      </c>
      <c r="D236" t="s">
        <v>5953</v>
      </c>
      <c r="E236" t="s">
        <v>7589</v>
      </c>
      <c r="F236" t="s">
        <v>0</v>
      </c>
      <c r="G236" s="1">
        <f>DATE(2022,6,21)</f>
        <v>44733</v>
      </c>
    </row>
    <row r="237" spans="1:7" x14ac:dyDescent="0.35">
      <c r="A237" s="2" t="s">
        <v>686</v>
      </c>
      <c r="B237" s="2" t="s">
        <v>687</v>
      </c>
      <c r="D237" t="s">
        <v>5756</v>
      </c>
      <c r="E237" t="e">
        <v>#VALUE!</v>
      </c>
      <c r="F237" t="s">
        <v>0</v>
      </c>
      <c r="G237" s="1">
        <f>DATE(2022,9,15)</f>
        <v>44819</v>
      </c>
    </row>
    <row r="238" spans="1:7" x14ac:dyDescent="0.35">
      <c r="A238" s="2" t="s">
        <v>688</v>
      </c>
      <c r="B238" s="2" t="s">
        <v>689</v>
      </c>
      <c r="D238" t="s">
        <v>5756</v>
      </c>
      <c r="E238" t="e">
        <v>#VALUE!</v>
      </c>
      <c r="F238" t="s">
        <v>0</v>
      </c>
      <c r="G238" s="1">
        <f>DATE(2022,10,13)</f>
        <v>44847</v>
      </c>
    </row>
    <row r="239" spans="1:7" x14ac:dyDescent="0.35">
      <c r="A239" s="2" t="s">
        <v>690</v>
      </c>
      <c r="B239" s="2" t="s">
        <v>691</v>
      </c>
      <c r="C239" s="2" t="s">
        <v>692</v>
      </c>
      <c r="D239" t="s">
        <v>5954</v>
      </c>
      <c r="E239" t="s">
        <v>7590</v>
      </c>
      <c r="F239" t="s">
        <v>0</v>
      </c>
      <c r="G239" s="1">
        <f>DATE(2024,1,5)</f>
        <v>45296</v>
      </c>
    </row>
    <row r="240" spans="1:7" x14ac:dyDescent="0.35">
      <c r="A240" s="2" t="s">
        <v>693</v>
      </c>
      <c r="B240" s="2" t="s">
        <v>694</v>
      </c>
      <c r="C240" s="2" t="s">
        <v>695</v>
      </c>
      <c r="D240" t="s">
        <v>5955</v>
      </c>
      <c r="E240" t="s">
        <v>7591</v>
      </c>
      <c r="F240" t="s">
        <v>0</v>
      </c>
      <c r="G240" s="1">
        <f>DATE(2022,7,11)</f>
        <v>44753</v>
      </c>
    </row>
    <row r="241" spans="1:7" x14ac:dyDescent="0.35">
      <c r="A241" s="2" t="s">
        <v>696</v>
      </c>
      <c r="B241" s="2" t="s">
        <v>697</v>
      </c>
      <c r="C241" s="2" t="s">
        <v>698</v>
      </c>
      <c r="D241" t="s">
        <v>5956</v>
      </c>
      <c r="E241" t="s">
        <v>7592</v>
      </c>
      <c r="F241" t="s">
        <v>0</v>
      </c>
      <c r="G241" s="1">
        <f>DATE(2022,9,13)</f>
        <v>44817</v>
      </c>
    </row>
    <row r="242" spans="1:7" x14ac:dyDescent="0.35">
      <c r="A242" s="2" t="s">
        <v>699</v>
      </c>
      <c r="B242" s="2" t="s">
        <v>700</v>
      </c>
      <c r="C242" s="2" t="s">
        <v>701</v>
      </c>
      <c r="D242" t="s">
        <v>5957</v>
      </c>
      <c r="E242" t="s">
        <v>7593</v>
      </c>
      <c r="F242" t="s">
        <v>0</v>
      </c>
      <c r="G242" s="1">
        <f>DATE(2023,9,8)</f>
        <v>45177</v>
      </c>
    </row>
    <row r="243" spans="1:7" x14ac:dyDescent="0.35">
      <c r="A243" s="2" t="s">
        <v>702</v>
      </c>
      <c r="B243" s="2" t="s">
        <v>703</v>
      </c>
      <c r="D243" t="s">
        <v>5756</v>
      </c>
      <c r="E243" t="e">
        <v>#VALUE!</v>
      </c>
      <c r="F243" t="s">
        <v>0</v>
      </c>
      <c r="G243" s="1">
        <f>DATE(2023,1,10)</f>
        <v>44936</v>
      </c>
    </row>
    <row r="244" spans="1:7" x14ac:dyDescent="0.35">
      <c r="A244" s="2" t="s">
        <v>704</v>
      </c>
      <c r="B244" s="2" t="s">
        <v>705</v>
      </c>
      <c r="C244" s="2" t="s">
        <v>706</v>
      </c>
      <c r="D244" t="s">
        <v>5958</v>
      </c>
      <c r="E244" t="s">
        <v>7594</v>
      </c>
      <c r="F244" t="s">
        <v>0</v>
      </c>
      <c r="G244" s="1">
        <f>DATE(2022,7,8)</f>
        <v>44750</v>
      </c>
    </row>
    <row r="245" spans="1:7" x14ac:dyDescent="0.35">
      <c r="A245" s="2" t="s">
        <v>707</v>
      </c>
      <c r="B245" s="2" t="s">
        <v>708</v>
      </c>
      <c r="D245" t="s">
        <v>5756</v>
      </c>
      <c r="E245" t="e">
        <v>#VALUE!</v>
      </c>
      <c r="F245" t="s">
        <v>0</v>
      </c>
      <c r="G245" s="1">
        <f>DATE(2023,9,15)</f>
        <v>45184</v>
      </c>
    </row>
    <row r="246" spans="1:7" x14ac:dyDescent="0.35">
      <c r="A246" s="2" t="s">
        <v>709</v>
      </c>
      <c r="B246" s="2" t="s">
        <v>710</v>
      </c>
      <c r="C246" s="2" t="s">
        <v>711</v>
      </c>
      <c r="D246" t="s">
        <v>5959</v>
      </c>
      <c r="E246" t="s">
        <v>7595</v>
      </c>
      <c r="F246" t="s">
        <v>0</v>
      </c>
      <c r="G246" s="1">
        <f>DATE(2022,7,21)</f>
        <v>44763</v>
      </c>
    </row>
    <row r="247" spans="1:7" x14ac:dyDescent="0.35">
      <c r="A247" s="2" t="s">
        <v>712</v>
      </c>
      <c r="B247" s="2" t="s">
        <v>713</v>
      </c>
      <c r="C247" s="2" t="s">
        <v>714</v>
      </c>
      <c r="D247" t="s">
        <v>5960</v>
      </c>
      <c r="E247" t="s">
        <v>7596</v>
      </c>
      <c r="F247" t="s">
        <v>0</v>
      </c>
      <c r="G247" s="1">
        <f>DATE(2022,7,12)</f>
        <v>44754</v>
      </c>
    </row>
    <row r="248" spans="1:7" x14ac:dyDescent="0.35">
      <c r="A248" s="2" t="s">
        <v>715</v>
      </c>
      <c r="B248" s="2" t="s">
        <v>716</v>
      </c>
      <c r="C248" s="2" t="s">
        <v>717</v>
      </c>
      <c r="D248" t="s">
        <v>5961</v>
      </c>
      <c r="E248" t="s">
        <v>7597</v>
      </c>
      <c r="F248" t="s">
        <v>0</v>
      </c>
      <c r="G248" s="1">
        <f>DATE(2022,7,12)</f>
        <v>44754</v>
      </c>
    </row>
    <row r="249" spans="1:7" x14ac:dyDescent="0.35">
      <c r="A249" s="2" t="s">
        <v>718</v>
      </c>
      <c r="B249" s="2" t="s">
        <v>719</v>
      </c>
      <c r="C249" s="2" t="s">
        <v>720</v>
      </c>
      <c r="D249" t="s">
        <v>5962</v>
      </c>
      <c r="E249" t="s">
        <v>7598</v>
      </c>
      <c r="F249" t="s">
        <v>0</v>
      </c>
      <c r="G249" s="1">
        <f>DATE(2022,7,21)</f>
        <v>44763</v>
      </c>
    </row>
    <row r="250" spans="1:7" x14ac:dyDescent="0.35">
      <c r="A250" s="2" t="s">
        <v>721</v>
      </c>
      <c r="B250" s="2" t="s">
        <v>722</v>
      </c>
      <c r="C250" s="2" t="s">
        <v>723</v>
      </c>
      <c r="D250" t="s">
        <v>5963</v>
      </c>
      <c r="E250" t="s">
        <v>7599</v>
      </c>
      <c r="F250" t="s">
        <v>0</v>
      </c>
      <c r="G250" s="1">
        <f>DATE(2022,7,13)</f>
        <v>44755</v>
      </c>
    </row>
    <row r="251" spans="1:7" x14ac:dyDescent="0.35">
      <c r="A251" s="2" t="s">
        <v>724</v>
      </c>
      <c r="B251" s="2" t="s">
        <v>725</v>
      </c>
      <c r="C251" s="2" t="s">
        <v>726</v>
      </c>
      <c r="D251" t="s">
        <v>5964</v>
      </c>
      <c r="E251" t="s">
        <v>7600</v>
      </c>
      <c r="F251" t="s">
        <v>0</v>
      </c>
      <c r="G251" s="1">
        <f>DATE(2022,9,7)</f>
        <v>44811</v>
      </c>
    </row>
    <row r="252" spans="1:7" x14ac:dyDescent="0.35">
      <c r="A252" s="2" t="s">
        <v>727</v>
      </c>
      <c r="B252" s="2" t="s">
        <v>728</v>
      </c>
      <c r="C252" s="2" t="s">
        <v>729</v>
      </c>
      <c r="D252" t="s">
        <v>5965</v>
      </c>
      <c r="E252" t="s">
        <v>7601</v>
      </c>
      <c r="F252" t="s">
        <v>0</v>
      </c>
      <c r="G252" s="1">
        <f t="shared" ref="G252:G257" si="1">DATE(2022,7,13)</f>
        <v>44755</v>
      </c>
    </row>
    <row r="253" spans="1:7" x14ac:dyDescent="0.35">
      <c r="A253" s="2" t="s">
        <v>730</v>
      </c>
      <c r="B253" s="2" t="s">
        <v>731</v>
      </c>
      <c r="C253" s="2" t="s">
        <v>732</v>
      </c>
      <c r="D253" t="s">
        <v>5966</v>
      </c>
      <c r="E253" t="s">
        <v>7602</v>
      </c>
      <c r="F253" t="s">
        <v>0</v>
      </c>
      <c r="G253" s="1">
        <f t="shared" si="1"/>
        <v>44755</v>
      </c>
    </row>
    <row r="254" spans="1:7" x14ac:dyDescent="0.35">
      <c r="A254" s="2" t="s">
        <v>733</v>
      </c>
      <c r="B254" s="2" t="s">
        <v>734</v>
      </c>
      <c r="C254" s="2" t="s">
        <v>735</v>
      </c>
      <c r="D254" t="s">
        <v>5967</v>
      </c>
      <c r="E254" t="s">
        <v>7603</v>
      </c>
      <c r="F254" t="s">
        <v>0</v>
      </c>
      <c r="G254" s="1">
        <f t="shared" si="1"/>
        <v>44755</v>
      </c>
    </row>
    <row r="255" spans="1:7" x14ac:dyDescent="0.35">
      <c r="A255" s="2" t="s">
        <v>736</v>
      </c>
      <c r="B255" s="2" t="s">
        <v>737</v>
      </c>
      <c r="C255" s="2" t="s">
        <v>738</v>
      </c>
      <c r="D255" t="s">
        <v>5968</v>
      </c>
      <c r="E255" t="s">
        <v>7604</v>
      </c>
      <c r="F255" t="s">
        <v>0</v>
      </c>
      <c r="G255" s="1">
        <f t="shared" si="1"/>
        <v>44755</v>
      </c>
    </row>
    <row r="256" spans="1:7" x14ac:dyDescent="0.35">
      <c r="A256" s="2" t="s">
        <v>739</v>
      </c>
      <c r="B256" s="2" t="s">
        <v>740</v>
      </c>
      <c r="C256" s="2" t="s">
        <v>741</v>
      </c>
      <c r="D256" t="s">
        <v>5969</v>
      </c>
      <c r="E256" t="s">
        <v>7605</v>
      </c>
      <c r="F256" t="s">
        <v>0</v>
      </c>
      <c r="G256" s="1">
        <f t="shared" si="1"/>
        <v>44755</v>
      </c>
    </row>
    <row r="257" spans="1:7" x14ac:dyDescent="0.35">
      <c r="A257" s="2" t="s">
        <v>742</v>
      </c>
      <c r="B257" s="2" t="s">
        <v>743</v>
      </c>
      <c r="C257" s="2" t="s">
        <v>744</v>
      </c>
      <c r="D257" t="s">
        <v>5970</v>
      </c>
      <c r="E257" t="s">
        <v>7606</v>
      </c>
      <c r="F257" t="s">
        <v>0</v>
      </c>
      <c r="G257" s="1">
        <f t="shared" si="1"/>
        <v>44755</v>
      </c>
    </row>
    <row r="258" spans="1:7" x14ac:dyDescent="0.35">
      <c r="A258" s="2" t="s">
        <v>745</v>
      </c>
      <c r="B258" s="2" t="s">
        <v>746</v>
      </c>
      <c r="D258" t="s">
        <v>5756</v>
      </c>
      <c r="E258" t="e">
        <v>#VALUE!</v>
      </c>
      <c r="F258" t="s">
        <v>0</v>
      </c>
      <c r="G258" s="1">
        <f>DATE(2022,8,4)</f>
        <v>44777</v>
      </c>
    </row>
    <row r="259" spans="1:7" x14ac:dyDescent="0.35">
      <c r="A259" s="2" t="s">
        <v>747</v>
      </c>
      <c r="B259" s="2" t="s">
        <v>748</v>
      </c>
      <c r="C259" s="2" t="s">
        <v>749</v>
      </c>
      <c r="D259" t="s">
        <v>5971</v>
      </c>
      <c r="E259" t="s">
        <v>7607</v>
      </c>
      <c r="F259" t="s">
        <v>0</v>
      </c>
      <c r="G259" s="1">
        <f>DATE(2023,3,2)</f>
        <v>44987</v>
      </c>
    </row>
    <row r="260" spans="1:7" x14ac:dyDescent="0.35">
      <c r="A260" s="2" t="s">
        <v>750</v>
      </c>
      <c r="B260" s="2" t="s">
        <v>751</v>
      </c>
      <c r="C260" s="2" t="s">
        <v>752</v>
      </c>
      <c r="D260" t="s">
        <v>5972</v>
      </c>
      <c r="E260" t="s">
        <v>7608</v>
      </c>
      <c r="F260" t="s">
        <v>0</v>
      </c>
      <c r="G260" s="1">
        <f>DATE(2022,7,13)</f>
        <v>44755</v>
      </c>
    </row>
    <row r="261" spans="1:7" x14ac:dyDescent="0.35">
      <c r="A261" s="2" t="s">
        <v>753</v>
      </c>
      <c r="B261" s="2" t="s">
        <v>754</v>
      </c>
      <c r="C261" s="2" t="s">
        <v>755</v>
      </c>
      <c r="D261" t="s">
        <v>5973</v>
      </c>
      <c r="E261" t="s">
        <v>7609</v>
      </c>
      <c r="F261" t="s">
        <v>0</v>
      </c>
      <c r="G261" s="1">
        <f>DATE(2023,6,26)</f>
        <v>45103</v>
      </c>
    </row>
    <row r="262" spans="1:7" x14ac:dyDescent="0.35">
      <c r="A262" s="2" t="s">
        <v>756</v>
      </c>
      <c r="B262" s="2" t="s">
        <v>757</v>
      </c>
      <c r="C262" s="2" t="s">
        <v>758</v>
      </c>
      <c r="D262" t="s">
        <v>5974</v>
      </c>
      <c r="E262" t="s">
        <v>7610</v>
      </c>
      <c r="F262" t="s">
        <v>0</v>
      </c>
      <c r="G262" s="1">
        <f>DATE(2023,3,14)</f>
        <v>44999</v>
      </c>
    </row>
    <row r="263" spans="1:7" x14ac:dyDescent="0.35">
      <c r="A263" s="2" t="s">
        <v>759</v>
      </c>
      <c r="B263" s="2" t="s">
        <v>760</v>
      </c>
      <c r="C263" s="2" t="s">
        <v>761</v>
      </c>
      <c r="D263" t="s">
        <v>5975</v>
      </c>
      <c r="E263" t="s">
        <v>7611</v>
      </c>
      <c r="F263" t="s">
        <v>0</v>
      </c>
      <c r="G263" s="1">
        <f>DATE(2022,7,22)</f>
        <v>44764</v>
      </c>
    </row>
    <row r="264" spans="1:7" x14ac:dyDescent="0.35">
      <c r="A264" s="2" t="s">
        <v>762</v>
      </c>
      <c r="B264" s="2" t="s">
        <v>763</v>
      </c>
      <c r="C264" s="2" t="s">
        <v>764</v>
      </c>
      <c r="D264" t="s">
        <v>5976</v>
      </c>
      <c r="E264" t="s">
        <v>7612</v>
      </c>
      <c r="F264" t="s">
        <v>0</v>
      </c>
      <c r="G264" s="1">
        <f>DATE(2022,7,15)</f>
        <v>44757</v>
      </c>
    </row>
    <row r="265" spans="1:7" x14ac:dyDescent="0.35">
      <c r="A265" s="2" t="s">
        <v>765</v>
      </c>
      <c r="B265" s="2" t="s">
        <v>766</v>
      </c>
      <c r="C265" s="2" t="s">
        <v>767</v>
      </c>
      <c r="D265" t="s">
        <v>5977</v>
      </c>
      <c r="E265" t="s">
        <v>7613</v>
      </c>
      <c r="F265" t="s">
        <v>0</v>
      </c>
      <c r="G265" s="1">
        <f>DATE(2022,7,15)</f>
        <v>44757</v>
      </c>
    </row>
    <row r="266" spans="1:7" x14ac:dyDescent="0.35">
      <c r="A266" s="2" t="s">
        <v>768</v>
      </c>
      <c r="B266" s="2" t="s">
        <v>769</v>
      </c>
      <c r="C266" s="2" t="s">
        <v>770</v>
      </c>
      <c r="D266" t="s">
        <v>5978</v>
      </c>
      <c r="E266" t="s">
        <v>7614</v>
      </c>
      <c r="F266" t="s">
        <v>0</v>
      </c>
      <c r="G266" s="1">
        <f>DATE(2022,7,29)</f>
        <v>44771</v>
      </c>
    </row>
    <row r="267" spans="1:7" x14ac:dyDescent="0.35">
      <c r="A267" s="2" t="s">
        <v>771</v>
      </c>
      <c r="B267" s="2" t="s">
        <v>772</v>
      </c>
      <c r="C267" s="2" t="s">
        <v>773</v>
      </c>
      <c r="D267" t="s">
        <v>5979</v>
      </c>
      <c r="E267" t="s">
        <v>7615</v>
      </c>
      <c r="F267" t="s">
        <v>0</v>
      </c>
      <c r="G267" s="1">
        <f>DATE(2024,1,5)</f>
        <v>45296</v>
      </c>
    </row>
    <row r="268" spans="1:7" x14ac:dyDescent="0.35">
      <c r="A268" s="2" t="s">
        <v>774</v>
      </c>
      <c r="B268" s="2" t="s">
        <v>775</v>
      </c>
      <c r="D268" t="s">
        <v>5756</v>
      </c>
      <c r="E268" t="e">
        <v>#VALUE!</v>
      </c>
      <c r="F268" t="s">
        <v>0</v>
      </c>
      <c r="G268" s="1">
        <f>DATE(2023,11,28)</f>
        <v>45258</v>
      </c>
    </row>
    <row r="269" spans="1:7" x14ac:dyDescent="0.35">
      <c r="A269" s="2" t="s">
        <v>776</v>
      </c>
      <c r="B269" s="2" t="s">
        <v>777</v>
      </c>
      <c r="C269" s="2" t="s">
        <v>778</v>
      </c>
      <c r="D269" t="s">
        <v>5980</v>
      </c>
      <c r="E269" t="s">
        <v>7616</v>
      </c>
      <c r="F269" t="s">
        <v>0</v>
      </c>
      <c r="G269" s="1">
        <f>DATE(2022,7,21)</f>
        <v>44763</v>
      </c>
    </row>
    <row r="270" spans="1:7" x14ac:dyDescent="0.35">
      <c r="A270" s="2" t="s">
        <v>779</v>
      </c>
      <c r="B270" s="2" t="s">
        <v>780</v>
      </c>
      <c r="C270" s="2" t="s">
        <v>781</v>
      </c>
      <c r="D270" t="s">
        <v>5981</v>
      </c>
      <c r="E270" t="s">
        <v>7617</v>
      </c>
      <c r="F270" t="s">
        <v>0</v>
      </c>
      <c r="G270" s="1">
        <f>DATE(2022,7,21)</f>
        <v>44763</v>
      </c>
    </row>
    <row r="271" spans="1:7" x14ac:dyDescent="0.35">
      <c r="A271" s="2" t="s">
        <v>782</v>
      </c>
      <c r="B271" s="2" t="s">
        <v>783</v>
      </c>
      <c r="C271" s="2" t="s">
        <v>784</v>
      </c>
      <c r="D271" t="s">
        <v>5982</v>
      </c>
      <c r="E271" t="s">
        <v>7618</v>
      </c>
      <c r="F271" t="s">
        <v>0</v>
      </c>
      <c r="G271" s="1">
        <f>DATE(2023,9,25)</f>
        <v>45194</v>
      </c>
    </row>
    <row r="272" spans="1:7" x14ac:dyDescent="0.35">
      <c r="A272" s="2" t="s">
        <v>785</v>
      </c>
      <c r="B272" s="2" t="s">
        <v>786</v>
      </c>
      <c r="C272" s="2" t="s">
        <v>787</v>
      </c>
      <c r="D272" t="s">
        <v>5983</v>
      </c>
      <c r="E272" t="s">
        <v>7619</v>
      </c>
      <c r="F272" t="s">
        <v>0</v>
      </c>
      <c r="G272" s="1">
        <f>DATE(2023,6,13)</f>
        <v>45090</v>
      </c>
    </row>
    <row r="273" spans="1:7" x14ac:dyDescent="0.35">
      <c r="A273" s="2" t="s">
        <v>788</v>
      </c>
      <c r="B273" s="2" t="s">
        <v>789</v>
      </c>
      <c r="D273" t="s">
        <v>5756</v>
      </c>
      <c r="E273" t="e">
        <v>#VALUE!</v>
      </c>
      <c r="F273" t="s">
        <v>0</v>
      </c>
      <c r="G273" s="1">
        <f>DATE(2023,9,25)</f>
        <v>45194</v>
      </c>
    </row>
    <row r="274" spans="1:7" x14ac:dyDescent="0.35">
      <c r="A274" s="2" t="s">
        <v>790</v>
      </c>
      <c r="B274" s="2" t="s">
        <v>791</v>
      </c>
      <c r="C274" s="2" t="s">
        <v>792</v>
      </c>
      <c r="D274" t="s">
        <v>5984</v>
      </c>
      <c r="E274" t="s">
        <v>7620</v>
      </c>
      <c r="F274" t="s">
        <v>0</v>
      </c>
      <c r="G274" s="1">
        <f>DATE(2023,9,25)</f>
        <v>45194</v>
      </c>
    </row>
    <row r="275" spans="1:7" x14ac:dyDescent="0.35">
      <c r="A275" s="2" t="s">
        <v>793</v>
      </c>
      <c r="B275" s="2" t="s">
        <v>794</v>
      </c>
      <c r="C275" s="2" t="s">
        <v>438</v>
      </c>
      <c r="D275" t="s">
        <v>5876</v>
      </c>
      <c r="E275" t="s">
        <v>7512</v>
      </c>
      <c r="F275" t="s">
        <v>0</v>
      </c>
      <c r="G275" s="1">
        <f>DATE(2020,3,20)</f>
        <v>43910</v>
      </c>
    </row>
    <row r="276" spans="1:7" x14ac:dyDescent="0.35">
      <c r="A276" s="2" t="s">
        <v>795</v>
      </c>
      <c r="B276" s="2" t="s">
        <v>796</v>
      </c>
      <c r="C276" s="2" t="s">
        <v>797</v>
      </c>
      <c r="D276" t="s">
        <v>5985</v>
      </c>
      <c r="E276" t="s">
        <v>7621</v>
      </c>
      <c r="F276" t="s">
        <v>0</v>
      </c>
      <c r="G276" s="1">
        <f>DATE(2020,3,20)</f>
        <v>43910</v>
      </c>
    </row>
    <row r="277" spans="1:7" x14ac:dyDescent="0.35">
      <c r="A277" s="2" t="s">
        <v>798</v>
      </c>
      <c r="B277" s="2" t="s">
        <v>799</v>
      </c>
      <c r="C277" s="2" t="s">
        <v>800</v>
      </c>
      <c r="D277" t="s">
        <v>5986</v>
      </c>
      <c r="E277" t="s">
        <v>7622</v>
      </c>
      <c r="F277" t="s">
        <v>0</v>
      </c>
      <c r="G277" s="1">
        <f>DATE(2020,5,27)</f>
        <v>43978</v>
      </c>
    </row>
    <row r="278" spans="1:7" x14ac:dyDescent="0.35">
      <c r="A278" s="2" t="s">
        <v>801</v>
      </c>
      <c r="B278" s="2" t="s">
        <v>802</v>
      </c>
      <c r="C278" s="2" t="s">
        <v>803</v>
      </c>
      <c r="D278" t="s">
        <v>5987</v>
      </c>
      <c r="E278" t="s">
        <v>7623</v>
      </c>
      <c r="F278" t="s">
        <v>0</v>
      </c>
      <c r="G278" s="1">
        <f>DATE(2020,3,20)</f>
        <v>43910</v>
      </c>
    </row>
    <row r="279" spans="1:7" x14ac:dyDescent="0.35">
      <c r="A279" s="2" t="s">
        <v>804</v>
      </c>
      <c r="B279" s="2" t="s">
        <v>805</v>
      </c>
      <c r="C279" s="2" t="s">
        <v>806</v>
      </c>
      <c r="D279" t="s">
        <v>5988</v>
      </c>
      <c r="E279" t="s">
        <v>7624</v>
      </c>
      <c r="F279" t="s">
        <v>0</v>
      </c>
      <c r="G279" s="1">
        <f>DATE(2023,6,19)</f>
        <v>45096</v>
      </c>
    </row>
    <row r="280" spans="1:7" x14ac:dyDescent="0.35">
      <c r="A280" s="2" t="s">
        <v>807</v>
      </c>
      <c r="B280" s="2" t="s">
        <v>808</v>
      </c>
      <c r="C280" s="2" t="s">
        <v>809</v>
      </c>
      <c r="D280" t="s">
        <v>5989</v>
      </c>
      <c r="E280" t="s">
        <v>7625</v>
      </c>
      <c r="F280" t="s">
        <v>0</v>
      </c>
      <c r="G280" s="1">
        <f>DATE(2023,9,25)</f>
        <v>45194</v>
      </c>
    </row>
    <row r="281" spans="1:7" x14ac:dyDescent="0.35">
      <c r="A281" s="2" t="s">
        <v>810</v>
      </c>
      <c r="B281" s="2" t="s">
        <v>811</v>
      </c>
      <c r="C281" s="2" t="s">
        <v>812</v>
      </c>
      <c r="D281" t="s">
        <v>5990</v>
      </c>
      <c r="E281" t="s">
        <v>7626</v>
      </c>
      <c r="F281" t="s">
        <v>0</v>
      </c>
      <c r="G281" s="1">
        <f>DATE(2020,7,29)</f>
        <v>44041</v>
      </c>
    </row>
    <row r="282" spans="1:7" x14ac:dyDescent="0.35">
      <c r="A282" s="2" t="s">
        <v>813</v>
      </c>
      <c r="B282" s="2" t="s">
        <v>814</v>
      </c>
      <c r="C282" s="2" t="s">
        <v>815</v>
      </c>
      <c r="D282" t="s">
        <v>5991</v>
      </c>
      <c r="E282" t="s">
        <v>7627</v>
      </c>
      <c r="F282" t="s">
        <v>0</v>
      </c>
      <c r="G282" s="1">
        <f>DATE(2023,9,25)</f>
        <v>45194</v>
      </c>
    </row>
    <row r="283" spans="1:7" x14ac:dyDescent="0.35">
      <c r="A283" s="2" t="s">
        <v>816</v>
      </c>
      <c r="B283" s="2" t="s">
        <v>817</v>
      </c>
      <c r="C283" s="2" t="s">
        <v>818</v>
      </c>
      <c r="D283" t="s">
        <v>5992</v>
      </c>
      <c r="E283" t="s">
        <v>7628</v>
      </c>
      <c r="F283" t="s">
        <v>0</v>
      </c>
      <c r="G283" s="1">
        <f>DATE(2023,9,25)</f>
        <v>45194</v>
      </c>
    </row>
    <row r="284" spans="1:7" x14ac:dyDescent="0.35">
      <c r="A284" s="2" t="s">
        <v>819</v>
      </c>
      <c r="B284" s="2" t="s">
        <v>820</v>
      </c>
      <c r="C284" s="2" t="s">
        <v>821</v>
      </c>
      <c r="D284" t="s">
        <v>5993</v>
      </c>
      <c r="E284" t="s">
        <v>7629</v>
      </c>
      <c r="F284" t="s">
        <v>0</v>
      </c>
      <c r="G284" s="1">
        <f>DATE(2021,6,17)</f>
        <v>44364</v>
      </c>
    </row>
    <row r="285" spans="1:7" x14ac:dyDescent="0.35">
      <c r="A285" s="2" t="s">
        <v>822</v>
      </c>
      <c r="B285" s="2" t="s">
        <v>823</v>
      </c>
      <c r="C285" s="2" t="s">
        <v>824</v>
      </c>
      <c r="D285" t="s">
        <v>5994</v>
      </c>
      <c r="E285" t="s">
        <v>7630</v>
      </c>
      <c r="F285" t="s">
        <v>0</v>
      </c>
      <c r="G285" s="1">
        <f>DATE(2023,9,25)</f>
        <v>45194</v>
      </c>
    </row>
    <row r="286" spans="1:7" x14ac:dyDescent="0.35">
      <c r="A286" s="2" t="s">
        <v>825</v>
      </c>
      <c r="B286" s="2" t="s">
        <v>826</v>
      </c>
      <c r="C286" s="2" t="s">
        <v>827</v>
      </c>
      <c r="D286" t="s">
        <v>5995</v>
      </c>
      <c r="E286" t="s">
        <v>7631</v>
      </c>
      <c r="F286" t="s">
        <v>0</v>
      </c>
      <c r="G286" s="1">
        <f>DATE(2020,3,20)</f>
        <v>43910</v>
      </c>
    </row>
    <row r="287" spans="1:7" x14ac:dyDescent="0.35">
      <c r="A287" s="2" t="s">
        <v>828</v>
      </c>
      <c r="B287" s="2" t="s">
        <v>829</v>
      </c>
      <c r="C287" s="2" t="s">
        <v>830</v>
      </c>
      <c r="D287" t="s">
        <v>5996</v>
      </c>
      <c r="E287" t="s">
        <v>7632</v>
      </c>
      <c r="F287" t="s">
        <v>0</v>
      </c>
      <c r="G287" s="1">
        <f>DATE(2023,5,12)</f>
        <v>45058</v>
      </c>
    </row>
    <row r="288" spans="1:7" x14ac:dyDescent="0.35">
      <c r="A288" s="2" t="s">
        <v>831</v>
      </c>
      <c r="B288" s="2" t="s">
        <v>832</v>
      </c>
      <c r="C288" s="2" t="s">
        <v>812</v>
      </c>
      <c r="D288" t="s">
        <v>5990</v>
      </c>
      <c r="E288" t="s">
        <v>7626</v>
      </c>
      <c r="F288" t="s">
        <v>0</v>
      </c>
      <c r="G288" s="1">
        <f>DATE(2021,6,27)</f>
        <v>44374</v>
      </c>
    </row>
    <row r="289" spans="1:7" x14ac:dyDescent="0.35">
      <c r="A289" s="2" t="s">
        <v>833</v>
      </c>
      <c r="B289" s="2" t="s">
        <v>834</v>
      </c>
      <c r="C289" s="2" t="s">
        <v>835</v>
      </c>
      <c r="D289" t="s">
        <v>5997</v>
      </c>
      <c r="E289" t="s">
        <v>7633</v>
      </c>
      <c r="F289" t="s">
        <v>0</v>
      </c>
      <c r="G289" s="1">
        <f>DATE(2023,4,14)</f>
        <v>45030</v>
      </c>
    </row>
    <row r="290" spans="1:7" x14ac:dyDescent="0.35">
      <c r="A290" s="2" t="s">
        <v>836</v>
      </c>
      <c r="B290" s="2" t="s">
        <v>837</v>
      </c>
      <c r="C290" s="2" t="s">
        <v>838</v>
      </c>
      <c r="D290" t="s">
        <v>5998</v>
      </c>
      <c r="E290" t="s">
        <v>7634</v>
      </c>
      <c r="F290" t="s">
        <v>0</v>
      </c>
      <c r="G290" s="1">
        <f>DATE(2023,7,13)</f>
        <v>45120</v>
      </c>
    </row>
    <row r="291" spans="1:7" x14ac:dyDescent="0.35">
      <c r="A291" s="2" t="s">
        <v>839</v>
      </c>
      <c r="B291" s="2" t="s">
        <v>840</v>
      </c>
      <c r="C291" s="2" t="s">
        <v>841</v>
      </c>
      <c r="D291" t="s">
        <v>5999</v>
      </c>
      <c r="E291" t="s">
        <v>7635</v>
      </c>
      <c r="F291" t="s">
        <v>0</v>
      </c>
      <c r="G291" s="1">
        <f>DATE(2020,6,29)</f>
        <v>44011</v>
      </c>
    </row>
    <row r="292" spans="1:7" x14ac:dyDescent="0.35">
      <c r="A292" s="2" t="s">
        <v>842</v>
      </c>
      <c r="B292" s="2" t="s">
        <v>843</v>
      </c>
      <c r="C292" s="2" t="s">
        <v>844</v>
      </c>
      <c r="D292" t="s">
        <v>6000</v>
      </c>
      <c r="E292" t="s">
        <v>7636</v>
      </c>
      <c r="F292" t="s">
        <v>0</v>
      </c>
      <c r="G292" s="1">
        <f>DATE(2023,9,25)</f>
        <v>45194</v>
      </c>
    </row>
    <row r="293" spans="1:7" x14ac:dyDescent="0.35">
      <c r="A293" s="2" t="s">
        <v>845</v>
      </c>
      <c r="B293" s="2" t="s">
        <v>846</v>
      </c>
      <c r="C293" s="2" t="s">
        <v>847</v>
      </c>
      <c r="D293" t="s">
        <v>6001</v>
      </c>
      <c r="E293" t="s">
        <v>7637</v>
      </c>
      <c r="F293" t="s">
        <v>0</v>
      </c>
      <c r="G293" s="1">
        <f>DATE(2020,3,20)</f>
        <v>43910</v>
      </c>
    </row>
    <row r="294" spans="1:7" x14ac:dyDescent="0.35">
      <c r="A294" s="2" t="s">
        <v>848</v>
      </c>
      <c r="B294" s="2" t="s">
        <v>849</v>
      </c>
      <c r="C294" s="2" t="s">
        <v>850</v>
      </c>
      <c r="D294" t="s">
        <v>6002</v>
      </c>
      <c r="E294" t="s">
        <v>7638</v>
      </c>
      <c r="F294" t="s">
        <v>0</v>
      </c>
      <c r="G294" s="1">
        <f>DATE(2023,9,25)</f>
        <v>45194</v>
      </c>
    </row>
    <row r="295" spans="1:7" x14ac:dyDescent="0.35">
      <c r="A295" s="2" t="s">
        <v>851</v>
      </c>
      <c r="B295" s="2" t="s">
        <v>852</v>
      </c>
      <c r="C295" s="2" t="s">
        <v>853</v>
      </c>
      <c r="D295" t="s">
        <v>6003</v>
      </c>
      <c r="E295" t="s">
        <v>7639</v>
      </c>
      <c r="F295" t="s">
        <v>0</v>
      </c>
      <c r="G295" s="1">
        <f>DATE(2023,9,25)</f>
        <v>45194</v>
      </c>
    </row>
    <row r="296" spans="1:7" x14ac:dyDescent="0.35">
      <c r="A296" s="2" t="s">
        <v>854</v>
      </c>
      <c r="B296" s="2" t="s">
        <v>855</v>
      </c>
      <c r="C296" s="2" t="s">
        <v>856</v>
      </c>
      <c r="D296" t="s">
        <v>6004</v>
      </c>
      <c r="E296" t="s">
        <v>7640</v>
      </c>
      <c r="F296" t="s">
        <v>0</v>
      </c>
      <c r="G296" s="1">
        <f>DATE(2022,8,30)</f>
        <v>44803</v>
      </c>
    </row>
    <row r="297" spans="1:7" x14ac:dyDescent="0.35">
      <c r="A297" s="2" t="s">
        <v>857</v>
      </c>
      <c r="B297" s="2" t="s">
        <v>858</v>
      </c>
      <c r="C297" s="2" t="s">
        <v>318</v>
      </c>
      <c r="D297" t="s">
        <v>5838</v>
      </c>
      <c r="E297" t="s">
        <v>7474</v>
      </c>
      <c r="F297" t="s">
        <v>0</v>
      </c>
      <c r="G297" s="1">
        <f>DATE(2023,9,25)</f>
        <v>45194</v>
      </c>
    </row>
    <row r="298" spans="1:7" x14ac:dyDescent="0.35">
      <c r="A298" s="2" t="s">
        <v>859</v>
      </c>
      <c r="B298" s="2" t="s">
        <v>860</v>
      </c>
      <c r="C298" s="2" t="s">
        <v>861</v>
      </c>
      <c r="D298" t="s">
        <v>6005</v>
      </c>
      <c r="E298" t="s">
        <v>7641</v>
      </c>
      <c r="F298" t="s">
        <v>0</v>
      </c>
      <c r="G298" s="1">
        <f>DATE(2020,3,20)</f>
        <v>43910</v>
      </c>
    </row>
    <row r="299" spans="1:7" x14ac:dyDescent="0.35">
      <c r="A299" s="2" t="s">
        <v>862</v>
      </c>
      <c r="B299" s="2" t="s">
        <v>863</v>
      </c>
      <c r="C299" s="2" t="s">
        <v>864</v>
      </c>
      <c r="D299" t="s">
        <v>6006</v>
      </c>
      <c r="E299" t="s">
        <v>7642</v>
      </c>
      <c r="F299" t="s">
        <v>0</v>
      </c>
      <c r="G299" s="1">
        <f>DATE(2023,9,25)</f>
        <v>45194</v>
      </c>
    </row>
    <row r="300" spans="1:7" x14ac:dyDescent="0.35">
      <c r="A300" s="2" t="s">
        <v>865</v>
      </c>
      <c r="B300" s="2" t="s">
        <v>866</v>
      </c>
      <c r="C300" s="2" t="s">
        <v>867</v>
      </c>
      <c r="D300" t="s">
        <v>6007</v>
      </c>
      <c r="E300" t="s">
        <v>7643</v>
      </c>
      <c r="F300" t="s">
        <v>0</v>
      </c>
      <c r="G300" s="1">
        <f>DATE(2023,9,25)</f>
        <v>45194</v>
      </c>
    </row>
    <row r="301" spans="1:7" x14ac:dyDescent="0.35">
      <c r="A301" s="2" t="s">
        <v>868</v>
      </c>
      <c r="B301" s="2" t="s">
        <v>869</v>
      </c>
      <c r="C301" s="2" t="s">
        <v>870</v>
      </c>
      <c r="D301" t="s">
        <v>6008</v>
      </c>
      <c r="E301" t="s">
        <v>7644</v>
      </c>
      <c r="F301" t="s">
        <v>0</v>
      </c>
      <c r="G301" s="1">
        <f>DATE(2023,9,25)</f>
        <v>45194</v>
      </c>
    </row>
    <row r="302" spans="1:7" x14ac:dyDescent="0.35">
      <c r="A302" s="2" t="s">
        <v>871</v>
      </c>
      <c r="B302" s="2" t="s">
        <v>872</v>
      </c>
      <c r="C302" s="2" t="s">
        <v>873</v>
      </c>
      <c r="D302" t="s">
        <v>6009</v>
      </c>
      <c r="E302" t="s">
        <v>7645</v>
      </c>
      <c r="F302" t="s">
        <v>0</v>
      </c>
      <c r="G302" s="1">
        <f>DATE(2021,11,9)</f>
        <v>44509</v>
      </c>
    </row>
    <row r="303" spans="1:7" x14ac:dyDescent="0.35">
      <c r="A303" s="2" t="s">
        <v>874</v>
      </c>
      <c r="B303" s="2" t="s">
        <v>875</v>
      </c>
      <c r="C303" s="2" t="s">
        <v>876</v>
      </c>
      <c r="D303" t="s">
        <v>6010</v>
      </c>
      <c r="E303" t="s">
        <v>7646</v>
      </c>
      <c r="F303" t="s">
        <v>0</v>
      </c>
      <c r="G303" s="1">
        <f>DATE(2023,9,25)</f>
        <v>45194</v>
      </c>
    </row>
    <row r="304" spans="1:7" x14ac:dyDescent="0.35">
      <c r="A304" s="2" t="s">
        <v>877</v>
      </c>
      <c r="B304" s="2" t="s">
        <v>878</v>
      </c>
      <c r="C304" s="2" t="s">
        <v>879</v>
      </c>
      <c r="D304" t="s">
        <v>6011</v>
      </c>
      <c r="E304" t="s">
        <v>7647</v>
      </c>
      <c r="F304" t="s">
        <v>0</v>
      </c>
      <c r="G304" s="1">
        <f>DATE(2023,6,16)</f>
        <v>45093</v>
      </c>
    </row>
    <row r="305" spans="1:7" x14ac:dyDescent="0.35">
      <c r="A305" s="2" t="s">
        <v>880</v>
      </c>
      <c r="B305" s="2" t="s">
        <v>881</v>
      </c>
      <c r="C305" s="2" t="s">
        <v>882</v>
      </c>
      <c r="D305" t="s">
        <v>6012</v>
      </c>
      <c r="E305" t="s">
        <v>7648</v>
      </c>
      <c r="F305" t="s">
        <v>0</v>
      </c>
      <c r="G305" s="1">
        <f>DATE(2023,9,25)</f>
        <v>45194</v>
      </c>
    </row>
    <row r="306" spans="1:7" x14ac:dyDescent="0.35">
      <c r="A306" s="2" t="s">
        <v>883</v>
      </c>
      <c r="B306" s="2" t="s">
        <v>884</v>
      </c>
      <c r="C306" s="2" t="s">
        <v>885</v>
      </c>
      <c r="D306" t="s">
        <v>6013</v>
      </c>
      <c r="E306" t="s">
        <v>7649</v>
      </c>
      <c r="F306" t="s">
        <v>0</v>
      </c>
      <c r="G306" s="1">
        <f>DATE(2023,9,25)</f>
        <v>45194</v>
      </c>
    </row>
    <row r="307" spans="1:7" x14ac:dyDescent="0.35">
      <c r="A307" s="2" t="s">
        <v>886</v>
      </c>
      <c r="B307" s="2" t="s">
        <v>887</v>
      </c>
      <c r="C307" s="2" t="s">
        <v>888</v>
      </c>
      <c r="D307" t="s">
        <v>6014</v>
      </c>
      <c r="E307" t="s">
        <v>7650</v>
      </c>
      <c r="F307" t="s">
        <v>0</v>
      </c>
      <c r="G307" s="1">
        <f>DATE(2023,9,8)</f>
        <v>45177</v>
      </c>
    </row>
    <row r="308" spans="1:7" x14ac:dyDescent="0.35">
      <c r="A308" s="2" t="s">
        <v>889</v>
      </c>
      <c r="B308" s="2" t="s">
        <v>890</v>
      </c>
      <c r="C308" s="2" t="s">
        <v>891</v>
      </c>
      <c r="D308" t="s">
        <v>6015</v>
      </c>
      <c r="E308" t="s">
        <v>7651</v>
      </c>
      <c r="F308" t="s">
        <v>0</v>
      </c>
      <c r="G308" s="1">
        <f>DATE(2023,5,30)</f>
        <v>45076</v>
      </c>
    </row>
    <row r="309" spans="1:7" x14ac:dyDescent="0.35">
      <c r="A309" s="2" t="s">
        <v>892</v>
      </c>
      <c r="B309" s="2" t="s">
        <v>893</v>
      </c>
      <c r="C309" s="2" t="s">
        <v>894</v>
      </c>
      <c r="D309" t="s">
        <v>6016</v>
      </c>
      <c r="E309" t="s">
        <v>7652</v>
      </c>
      <c r="F309" t="s">
        <v>0</v>
      </c>
      <c r="G309" s="1">
        <f>DATE(2023,9,25)</f>
        <v>45194</v>
      </c>
    </row>
    <row r="310" spans="1:7" x14ac:dyDescent="0.35">
      <c r="A310" s="2" t="s">
        <v>895</v>
      </c>
      <c r="B310" s="2" t="s">
        <v>896</v>
      </c>
      <c r="C310" s="2" t="s">
        <v>897</v>
      </c>
      <c r="D310" t="s">
        <v>897</v>
      </c>
      <c r="E310" t="s">
        <v>7653</v>
      </c>
      <c r="F310" t="s">
        <v>0</v>
      </c>
      <c r="G310" s="1">
        <f>DATE(2022,9,27)</f>
        <v>44831</v>
      </c>
    </row>
    <row r="311" spans="1:7" x14ac:dyDescent="0.35">
      <c r="A311" s="2" t="s">
        <v>898</v>
      </c>
      <c r="B311" s="2" t="s">
        <v>899</v>
      </c>
      <c r="C311" s="2" t="s">
        <v>900</v>
      </c>
      <c r="D311" t="s">
        <v>6017</v>
      </c>
      <c r="E311" t="s">
        <v>7654</v>
      </c>
      <c r="F311" t="s">
        <v>0</v>
      </c>
      <c r="G311" s="1">
        <f>DATE(2023,6,16)</f>
        <v>45093</v>
      </c>
    </row>
    <row r="312" spans="1:7" x14ac:dyDescent="0.35">
      <c r="A312" s="2" t="s">
        <v>901</v>
      </c>
      <c r="B312" s="2" t="s">
        <v>902</v>
      </c>
      <c r="C312" s="2" t="s">
        <v>903</v>
      </c>
      <c r="D312" t="s">
        <v>6018</v>
      </c>
      <c r="E312" t="s">
        <v>7655</v>
      </c>
      <c r="F312" t="s">
        <v>0</v>
      </c>
      <c r="G312" s="1">
        <f>DATE(2020,3,20)</f>
        <v>43910</v>
      </c>
    </row>
    <row r="313" spans="1:7" x14ac:dyDescent="0.35">
      <c r="A313" s="2" t="s">
        <v>904</v>
      </c>
      <c r="B313" s="2" t="s">
        <v>905</v>
      </c>
      <c r="C313" s="2" t="s">
        <v>906</v>
      </c>
      <c r="D313" t="s">
        <v>6019</v>
      </c>
      <c r="E313" t="s">
        <v>7656</v>
      </c>
      <c r="F313" t="s">
        <v>0</v>
      </c>
      <c r="G313" s="1">
        <f>DATE(2022,6,22)</f>
        <v>44734</v>
      </c>
    </row>
    <row r="314" spans="1:7" x14ac:dyDescent="0.35">
      <c r="A314" s="2" t="s">
        <v>907</v>
      </c>
      <c r="B314" s="2" t="s">
        <v>908</v>
      </c>
      <c r="C314" s="2" t="s">
        <v>909</v>
      </c>
      <c r="D314" t="s">
        <v>6020</v>
      </c>
      <c r="E314" t="s">
        <v>7657</v>
      </c>
      <c r="F314" t="s">
        <v>0</v>
      </c>
      <c r="G314" s="1">
        <f>DATE(2020,3,20)</f>
        <v>43910</v>
      </c>
    </row>
    <row r="315" spans="1:7" x14ac:dyDescent="0.35">
      <c r="A315" s="2" t="s">
        <v>910</v>
      </c>
      <c r="B315" s="2" t="s">
        <v>911</v>
      </c>
      <c r="C315" s="2" t="s">
        <v>912</v>
      </c>
      <c r="D315" t="s">
        <v>6021</v>
      </c>
      <c r="E315" t="s">
        <v>7658</v>
      </c>
      <c r="F315" t="s">
        <v>0</v>
      </c>
      <c r="G315" s="1">
        <f>DATE(2020,3,20)</f>
        <v>43910</v>
      </c>
    </row>
    <row r="316" spans="1:7" x14ac:dyDescent="0.35">
      <c r="A316" s="2" t="s">
        <v>913</v>
      </c>
      <c r="B316" s="2" t="s">
        <v>914</v>
      </c>
      <c r="C316" s="2" t="s">
        <v>915</v>
      </c>
      <c r="D316" t="s">
        <v>6022</v>
      </c>
      <c r="E316" t="s">
        <v>7659</v>
      </c>
      <c r="F316" t="s">
        <v>0</v>
      </c>
      <c r="G316" s="1">
        <f>DATE(2020,7,26)</f>
        <v>44038</v>
      </c>
    </row>
    <row r="317" spans="1:7" x14ac:dyDescent="0.35">
      <c r="A317" s="2" t="s">
        <v>916</v>
      </c>
      <c r="B317" s="2" t="s">
        <v>917</v>
      </c>
      <c r="C317" s="2" t="s">
        <v>918</v>
      </c>
      <c r="D317" t="s">
        <v>6023</v>
      </c>
      <c r="E317" t="s">
        <v>7660</v>
      </c>
      <c r="F317" t="s">
        <v>0</v>
      </c>
      <c r="G317" s="1">
        <f>DATE(2020,3,20)</f>
        <v>43910</v>
      </c>
    </row>
    <row r="318" spans="1:7" x14ac:dyDescent="0.35">
      <c r="A318" s="2" t="s">
        <v>919</v>
      </c>
      <c r="B318" s="2" t="s">
        <v>920</v>
      </c>
      <c r="C318" s="2" t="s">
        <v>921</v>
      </c>
      <c r="D318" t="s">
        <v>6024</v>
      </c>
      <c r="E318" t="s">
        <v>7661</v>
      </c>
      <c r="F318" t="s">
        <v>0</v>
      </c>
      <c r="G318" s="1">
        <f>DATE(2022,4,22)</f>
        <v>44673</v>
      </c>
    </row>
    <row r="319" spans="1:7" x14ac:dyDescent="0.35">
      <c r="A319" s="2" t="s">
        <v>922</v>
      </c>
      <c r="B319" s="2" t="s">
        <v>923</v>
      </c>
      <c r="C319" s="2" t="s">
        <v>924</v>
      </c>
      <c r="D319" t="s">
        <v>6025</v>
      </c>
      <c r="E319" t="s">
        <v>7662</v>
      </c>
      <c r="F319" t="s">
        <v>0</v>
      </c>
      <c r="G319" s="1">
        <f>DATE(2023,9,7)</f>
        <v>45176</v>
      </c>
    </row>
    <row r="320" spans="1:7" x14ac:dyDescent="0.35">
      <c r="A320" s="2" t="s">
        <v>925</v>
      </c>
      <c r="B320" s="2" t="s">
        <v>926</v>
      </c>
      <c r="C320" s="2" t="s">
        <v>927</v>
      </c>
      <c r="D320" t="s">
        <v>6026</v>
      </c>
      <c r="E320" t="s">
        <v>7663</v>
      </c>
      <c r="F320" t="s">
        <v>0</v>
      </c>
      <c r="G320" s="1">
        <f>DATE(2021,3,24)</f>
        <v>44279</v>
      </c>
    </row>
    <row r="321" spans="1:7" x14ac:dyDescent="0.35">
      <c r="A321" s="2" t="s">
        <v>928</v>
      </c>
      <c r="B321" s="2" t="s">
        <v>929</v>
      </c>
      <c r="C321" s="2" t="s">
        <v>930</v>
      </c>
      <c r="D321" t="s">
        <v>6027</v>
      </c>
      <c r="E321" t="s">
        <v>7664</v>
      </c>
      <c r="F321" t="s">
        <v>0</v>
      </c>
      <c r="G321" s="1">
        <f>DATE(2020,3,20)</f>
        <v>43910</v>
      </c>
    </row>
    <row r="322" spans="1:7" x14ac:dyDescent="0.35">
      <c r="A322" s="2" t="s">
        <v>931</v>
      </c>
      <c r="B322" s="2" t="s">
        <v>932</v>
      </c>
      <c r="C322" s="2" t="s">
        <v>933</v>
      </c>
      <c r="D322" t="s">
        <v>6028</v>
      </c>
      <c r="E322" t="s">
        <v>7665</v>
      </c>
      <c r="F322" t="s">
        <v>0</v>
      </c>
      <c r="G322" s="1">
        <f>DATE(2021,5,27)</f>
        <v>44343</v>
      </c>
    </row>
    <row r="323" spans="1:7" x14ac:dyDescent="0.35">
      <c r="A323" s="2" t="s">
        <v>934</v>
      </c>
      <c r="B323" s="2" t="s">
        <v>935</v>
      </c>
      <c r="C323" s="2" t="s">
        <v>936</v>
      </c>
      <c r="D323" t="s">
        <v>6029</v>
      </c>
      <c r="E323" t="s">
        <v>7666</v>
      </c>
      <c r="F323" t="s">
        <v>0</v>
      </c>
      <c r="G323" s="1">
        <f>DATE(2020,3,20)</f>
        <v>43910</v>
      </c>
    </row>
    <row r="324" spans="1:7" x14ac:dyDescent="0.35">
      <c r="A324" s="2" t="s">
        <v>937</v>
      </c>
      <c r="B324" s="2" t="s">
        <v>938</v>
      </c>
      <c r="C324" s="2" t="s">
        <v>939</v>
      </c>
      <c r="D324" t="s">
        <v>6030</v>
      </c>
      <c r="E324" t="s">
        <v>7667</v>
      </c>
      <c r="F324" t="s">
        <v>0</v>
      </c>
      <c r="G324" s="1">
        <f>DATE(2020,3,20)</f>
        <v>43910</v>
      </c>
    </row>
    <row r="325" spans="1:7" x14ac:dyDescent="0.35">
      <c r="A325" s="2" t="s">
        <v>940</v>
      </c>
      <c r="B325" s="2" t="s">
        <v>941</v>
      </c>
      <c r="C325" s="2" t="s">
        <v>942</v>
      </c>
      <c r="D325" t="s">
        <v>6031</v>
      </c>
      <c r="E325" t="s">
        <v>7668</v>
      </c>
      <c r="F325" t="s">
        <v>0</v>
      </c>
      <c r="G325" s="1">
        <f>DATE(2021,6,17)</f>
        <v>44364</v>
      </c>
    </row>
    <row r="326" spans="1:7" x14ac:dyDescent="0.35">
      <c r="A326" s="2" t="s">
        <v>943</v>
      </c>
      <c r="B326" s="2" t="s">
        <v>944</v>
      </c>
      <c r="C326" s="2" t="s">
        <v>945</v>
      </c>
      <c r="D326" t="s">
        <v>6032</v>
      </c>
      <c r="E326" t="s">
        <v>7669</v>
      </c>
      <c r="F326" t="s">
        <v>0</v>
      </c>
      <c r="G326" s="1">
        <f>DATE(2020,3,20)</f>
        <v>43910</v>
      </c>
    </row>
    <row r="327" spans="1:7" x14ac:dyDescent="0.35">
      <c r="A327" s="2" t="s">
        <v>946</v>
      </c>
      <c r="B327" s="2" t="s">
        <v>947</v>
      </c>
      <c r="C327" s="2" t="s">
        <v>51</v>
      </c>
      <c r="D327" t="s">
        <v>5757</v>
      </c>
      <c r="E327" t="s">
        <v>7393</v>
      </c>
      <c r="F327" t="s">
        <v>0</v>
      </c>
      <c r="G327" s="1">
        <f>DATE(2021,8,18)</f>
        <v>44426</v>
      </c>
    </row>
    <row r="328" spans="1:7" x14ac:dyDescent="0.35">
      <c r="A328" s="2" t="s">
        <v>948</v>
      </c>
      <c r="B328" s="2" t="s">
        <v>949</v>
      </c>
      <c r="D328" t="s">
        <v>5756</v>
      </c>
      <c r="E328" t="e">
        <v>#VALUE!</v>
      </c>
      <c r="F328" t="s">
        <v>0</v>
      </c>
      <c r="G328" s="1">
        <f>DATE(2023,6,13)</f>
        <v>45090</v>
      </c>
    </row>
    <row r="329" spans="1:7" x14ac:dyDescent="0.35">
      <c r="A329" s="2" t="s">
        <v>950</v>
      </c>
      <c r="B329" s="2" t="s">
        <v>951</v>
      </c>
      <c r="C329" s="2" t="s">
        <v>952</v>
      </c>
      <c r="D329" t="s">
        <v>6033</v>
      </c>
      <c r="E329" t="s">
        <v>7670</v>
      </c>
      <c r="F329" t="s">
        <v>0</v>
      </c>
      <c r="G329" s="1">
        <f>DATE(2020,3,20)</f>
        <v>43910</v>
      </c>
    </row>
    <row r="330" spans="1:7" x14ac:dyDescent="0.35">
      <c r="A330" s="2" t="s">
        <v>953</v>
      </c>
      <c r="B330" s="2" t="s">
        <v>954</v>
      </c>
      <c r="C330" s="2" t="s">
        <v>955</v>
      </c>
      <c r="D330" t="s">
        <v>6034</v>
      </c>
      <c r="E330" t="s">
        <v>7671</v>
      </c>
      <c r="F330" t="s">
        <v>0</v>
      </c>
      <c r="G330" s="1">
        <f>DATE(2023,6,5)</f>
        <v>45082</v>
      </c>
    </row>
    <row r="331" spans="1:7" x14ac:dyDescent="0.35">
      <c r="A331" s="2" t="s">
        <v>956</v>
      </c>
      <c r="B331" s="2" t="s">
        <v>957</v>
      </c>
      <c r="D331" t="s">
        <v>5756</v>
      </c>
      <c r="E331" t="e">
        <v>#VALUE!</v>
      </c>
      <c r="F331" t="s">
        <v>0</v>
      </c>
      <c r="G331" s="1">
        <f>DATE(2022,2,22)</f>
        <v>44614</v>
      </c>
    </row>
    <row r="332" spans="1:7" x14ac:dyDescent="0.35">
      <c r="A332" s="2" t="s">
        <v>958</v>
      </c>
      <c r="B332" s="2" t="s">
        <v>959</v>
      </c>
      <c r="C332" s="2" t="s">
        <v>960</v>
      </c>
      <c r="D332" t="s">
        <v>6035</v>
      </c>
      <c r="E332" t="s">
        <v>7672</v>
      </c>
      <c r="F332" t="s">
        <v>0</v>
      </c>
      <c r="G332" s="1">
        <f>DATE(2020,3,20)</f>
        <v>43910</v>
      </c>
    </row>
    <row r="333" spans="1:7" x14ac:dyDescent="0.35">
      <c r="A333" s="2" t="s">
        <v>961</v>
      </c>
      <c r="B333" s="2" t="s">
        <v>962</v>
      </c>
      <c r="C333" s="2" t="s">
        <v>963</v>
      </c>
      <c r="D333" t="s">
        <v>6036</v>
      </c>
      <c r="E333" t="s">
        <v>7673</v>
      </c>
      <c r="F333" t="s">
        <v>0</v>
      </c>
      <c r="G333" s="1">
        <f>DATE(2022,3,4)</f>
        <v>44624</v>
      </c>
    </row>
    <row r="334" spans="1:7" x14ac:dyDescent="0.35">
      <c r="A334" s="2" t="s">
        <v>964</v>
      </c>
      <c r="B334" s="2" t="s">
        <v>965</v>
      </c>
      <c r="C334" s="2" t="s">
        <v>966</v>
      </c>
      <c r="D334" t="s">
        <v>6037</v>
      </c>
      <c r="E334" t="s">
        <v>7674</v>
      </c>
      <c r="F334" t="s">
        <v>0</v>
      </c>
      <c r="G334" s="1">
        <f>DATE(2020,3,20)</f>
        <v>43910</v>
      </c>
    </row>
    <row r="335" spans="1:7" x14ac:dyDescent="0.35">
      <c r="A335" s="2" t="s">
        <v>967</v>
      </c>
      <c r="B335" s="2" t="s">
        <v>968</v>
      </c>
      <c r="C335" s="2" t="s">
        <v>969</v>
      </c>
      <c r="D335" t="s">
        <v>6019</v>
      </c>
      <c r="E335" t="s">
        <v>7656</v>
      </c>
      <c r="F335" t="s">
        <v>0</v>
      </c>
      <c r="G335" s="1">
        <f>DATE(2020,11,27)</f>
        <v>44162</v>
      </c>
    </row>
    <row r="336" spans="1:7" x14ac:dyDescent="0.35">
      <c r="A336" s="2" t="s">
        <v>970</v>
      </c>
      <c r="B336" s="2" t="s">
        <v>971</v>
      </c>
      <c r="C336" s="2" t="s">
        <v>972</v>
      </c>
      <c r="D336" t="s">
        <v>6038</v>
      </c>
      <c r="E336" t="s">
        <v>7675</v>
      </c>
      <c r="F336" t="s">
        <v>0</v>
      </c>
      <c r="G336" s="1">
        <f>DATE(2020,3,20)</f>
        <v>43910</v>
      </c>
    </row>
    <row r="337" spans="1:7" x14ac:dyDescent="0.35">
      <c r="A337" s="2" t="s">
        <v>973</v>
      </c>
      <c r="B337" s="2" t="s">
        <v>974</v>
      </c>
      <c r="C337" s="2" t="s">
        <v>975</v>
      </c>
      <c r="D337" t="s">
        <v>6039</v>
      </c>
      <c r="E337" t="s">
        <v>7676</v>
      </c>
      <c r="F337" t="s">
        <v>0</v>
      </c>
      <c r="G337" s="1">
        <f>DATE(2021,4,26)</f>
        <v>44312</v>
      </c>
    </row>
    <row r="338" spans="1:7" x14ac:dyDescent="0.35">
      <c r="A338" s="2" t="s">
        <v>976</v>
      </c>
      <c r="B338" s="2" t="s">
        <v>977</v>
      </c>
      <c r="C338" s="2" t="s">
        <v>978</v>
      </c>
      <c r="D338" t="s">
        <v>6040</v>
      </c>
      <c r="E338" t="s">
        <v>7677</v>
      </c>
      <c r="F338" t="s">
        <v>0</v>
      </c>
      <c r="G338" s="1">
        <f>DATE(2020,3,20)</f>
        <v>43910</v>
      </c>
    </row>
    <row r="339" spans="1:7" x14ac:dyDescent="0.35">
      <c r="A339" s="2" t="s">
        <v>979</v>
      </c>
      <c r="B339" s="2" t="s">
        <v>980</v>
      </c>
      <c r="C339" s="2" t="s">
        <v>981</v>
      </c>
      <c r="D339" t="s">
        <v>6041</v>
      </c>
      <c r="E339" t="s">
        <v>7678</v>
      </c>
      <c r="F339" t="s">
        <v>0</v>
      </c>
      <c r="G339" s="1">
        <f>DATE(2023,9,27)</f>
        <v>45196</v>
      </c>
    </row>
    <row r="340" spans="1:7" x14ac:dyDescent="0.35">
      <c r="A340" s="2" t="s">
        <v>982</v>
      </c>
      <c r="B340" s="2" t="s">
        <v>983</v>
      </c>
      <c r="C340" s="2" t="s">
        <v>984</v>
      </c>
      <c r="D340" t="s">
        <v>6042</v>
      </c>
      <c r="E340" t="s">
        <v>7679</v>
      </c>
      <c r="F340" t="s">
        <v>0</v>
      </c>
      <c r="G340" s="1">
        <f>DATE(2020,3,20)</f>
        <v>43910</v>
      </c>
    </row>
    <row r="341" spans="1:7" x14ac:dyDescent="0.35">
      <c r="A341" s="2" t="s">
        <v>985</v>
      </c>
      <c r="B341" s="2" t="s">
        <v>986</v>
      </c>
      <c r="D341" t="s">
        <v>5756</v>
      </c>
      <c r="E341" t="e">
        <v>#VALUE!</v>
      </c>
      <c r="F341" t="s">
        <v>0</v>
      </c>
      <c r="G341" s="1">
        <f>DATE(2022,9,5)</f>
        <v>44809</v>
      </c>
    </row>
    <row r="342" spans="1:7" x14ac:dyDescent="0.35">
      <c r="A342" s="2" t="s">
        <v>987</v>
      </c>
      <c r="B342" s="2" t="s">
        <v>988</v>
      </c>
      <c r="C342" s="2" t="s">
        <v>989</v>
      </c>
      <c r="D342" t="s">
        <v>6043</v>
      </c>
      <c r="E342" t="s">
        <v>7680</v>
      </c>
      <c r="F342" t="s">
        <v>0</v>
      </c>
      <c r="G342" s="1">
        <f>DATE(2022,9,1)</f>
        <v>44805</v>
      </c>
    </row>
    <row r="343" spans="1:7" x14ac:dyDescent="0.35">
      <c r="A343" s="2" t="s">
        <v>990</v>
      </c>
      <c r="B343" s="2" t="s">
        <v>991</v>
      </c>
      <c r="C343" s="2" t="s">
        <v>992</v>
      </c>
      <c r="D343" t="s">
        <v>6044</v>
      </c>
      <c r="E343" t="s">
        <v>7681</v>
      </c>
      <c r="F343" t="s">
        <v>0</v>
      </c>
      <c r="G343" s="1">
        <f>DATE(2023,3,10)</f>
        <v>44995</v>
      </c>
    </row>
    <row r="344" spans="1:7" x14ac:dyDescent="0.35">
      <c r="A344" s="2" t="s">
        <v>993</v>
      </c>
      <c r="B344" s="2" t="s">
        <v>994</v>
      </c>
      <c r="C344" s="2" t="s">
        <v>51</v>
      </c>
      <c r="D344" t="s">
        <v>5757</v>
      </c>
      <c r="E344" t="s">
        <v>7393</v>
      </c>
      <c r="F344" t="s">
        <v>0</v>
      </c>
      <c r="G344" s="1">
        <f>DATE(2021,1,22)</f>
        <v>44218</v>
      </c>
    </row>
    <row r="345" spans="1:7" x14ac:dyDescent="0.35">
      <c r="A345" s="2" t="s">
        <v>995</v>
      </c>
      <c r="B345" s="2" t="s">
        <v>996</v>
      </c>
      <c r="C345" s="2" t="s">
        <v>997</v>
      </c>
      <c r="D345" t="s">
        <v>6045</v>
      </c>
      <c r="E345" t="s">
        <v>7682</v>
      </c>
      <c r="F345" t="s">
        <v>0</v>
      </c>
      <c r="G345" s="1">
        <f>DATE(2021,8,23)</f>
        <v>44431</v>
      </c>
    </row>
    <row r="346" spans="1:7" x14ac:dyDescent="0.35">
      <c r="A346" s="2" t="s">
        <v>998</v>
      </c>
      <c r="B346" s="2" t="s">
        <v>999</v>
      </c>
      <c r="C346" s="2" t="s">
        <v>51</v>
      </c>
      <c r="D346" t="s">
        <v>5757</v>
      </c>
      <c r="E346" t="s">
        <v>7393</v>
      </c>
      <c r="F346" t="s">
        <v>0</v>
      </c>
      <c r="G346" s="1">
        <f>DATE(2023,6,13)</f>
        <v>45090</v>
      </c>
    </row>
    <row r="347" spans="1:7" x14ac:dyDescent="0.35">
      <c r="A347" s="2" t="s">
        <v>1000</v>
      </c>
      <c r="B347" s="2" t="s">
        <v>1001</v>
      </c>
      <c r="C347" s="2" t="s">
        <v>51</v>
      </c>
      <c r="D347" t="s">
        <v>5757</v>
      </c>
      <c r="E347" t="s">
        <v>7393</v>
      </c>
      <c r="F347" t="s">
        <v>0</v>
      </c>
      <c r="G347" s="1">
        <f>DATE(2023,6,26)</f>
        <v>45103</v>
      </c>
    </row>
    <row r="348" spans="1:7" x14ac:dyDescent="0.35">
      <c r="A348" s="2" t="s">
        <v>1002</v>
      </c>
      <c r="B348" s="2" t="s">
        <v>1003</v>
      </c>
      <c r="D348" t="s">
        <v>5756</v>
      </c>
      <c r="E348" t="e">
        <v>#VALUE!</v>
      </c>
      <c r="F348" t="s">
        <v>0</v>
      </c>
      <c r="G348" s="1">
        <f>DATE(2023,7,13)</f>
        <v>45120</v>
      </c>
    </row>
    <row r="349" spans="1:7" x14ac:dyDescent="0.35">
      <c r="A349" s="2" t="s">
        <v>1004</v>
      </c>
      <c r="B349" s="2" t="s">
        <v>1005</v>
      </c>
      <c r="C349" s="2" t="s">
        <v>1006</v>
      </c>
      <c r="D349" t="s">
        <v>6046</v>
      </c>
      <c r="E349" t="s">
        <v>7683</v>
      </c>
      <c r="F349" t="s">
        <v>0</v>
      </c>
      <c r="G349" s="1">
        <f>DATE(2023,12,15)</f>
        <v>45275</v>
      </c>
    </row>
    <row r="350" spans="1:7" x14ac:dyDescent="0.35">
      <c r="A350" s="2" t="s">
        <v>1007</v>
      </c>
      <c r="B350" s="2" t="s">
        <v>1008</v>
      </c>
      <c r="C350" s="2" t="s">
        <v>1009</v>
      </c>
      <c r="D350" t="s">
        <v>6047</v>
      </c>
      <c r="E350" t="s">
        <v>7684</v>
      </c>
      <c r="F350" t="s">
        <v>0</v>
      </c>
      <c r="G350" s="1">
        <f>DATE(2024,1,5)</f>
        <v>45296</v>
      </c>
    </row>
    <row r="351" spans="1:7" x14ac:dyDescent="0.35">
      <c r="A351" s="2" t="s">
        <v>1010</v>
      </c>
      <c r="B351" s="2" t="s">
        <v>1011</v>
      </c>
      <c r="D351" t="s">
        <v>5756</v>
      </c>
      <c r="E351" t="e">
        <v>#VALUE!</v>
      </c>
      <c r="F351" t="s">
        <v>0</v>
      </c>
      <c r="G351" s="1">
        <f>DATE(2023,6,13)</f>
        <v>45090</v>
      </c>
    </row>
    <row r="352" spans="1:7" x14ac:dyDescent="0.35">
      <c r="A352" s="2" t="s">
        <v>1012</v>
      </c>
      <c r="B352" s="2" t="s">
        <v>1013</v>
      </c>
      <c r="C352" s="2" t="s">
        <v>1014</v>
      </c>
      <c r="D352" t="s">
        <v>6048</v>
      </c>
      <c r="E352" t="s">
        <v>7685</v>
      </c>
      <c r="F352" t="s">
        <v>0</v>
      </c>
      <c r="G352" s="1">
        <f>DATE(2020,3,20)</f>
        <v>43910</v>
      </c>
    </row>
    <row r="353" spans="1:7" x14ac:dyDescent="0.35">
      <c r="A353" s="2" t="s">
        <v>1015</v>
      </c>
      <c r="B353" s="2" t="s">
        <v>1016</v>
      </c>
      <c r="C353" s="2" t="s">
        <v>1017</v>
      </c>
      <c r="D353" t="s">
        <v>6049</v>
      </c>
      <c r="E353" t="s">
        <v>7686</v>
      </c>
      <c r="F353" t="s">
        <v>0</v>
      </c>
      <c r="G353" s="1">
        <f>DATE(2023,2,17)</f>
        <v>44974</v>
      </c>
    </row>
    <row r="354" spans="1:7" x14ac:dyDescent="0.35">
      <c r="A354" s="2" t="s">
        <v>1018</v>
      </c>
      <c r="B354" s="2" t="s">
        <v>1019</v>
      </c>
      <c r="C354" s="2" t="s">
        <v>1020</v>
      </c>
      <c r="D354" t="s">
        <v>6050</v>
      </c>
      <c r="E354" t="s">
        <v>7687</v>
      </c>
      <c r="F354" t="s">
        <v>0</v>
      </c>
      <c r="G354" s="1">
        <f>DATE(2020,10,13)</f>
        <v>44117</v>
      </c>
    </row>
    <row r="355" spans="1:7" x14ac:dyDescent="0.35">
      <c r="A355" s="2" t="s">
        <v>1021</v>
      </c>
      <c r="B355" s="2" t="s">
        <v>1022</v>
      </c>
      <c r="C355" s="2" t="s">
        <v>1023</v>
      </c>
      <c r="D355" t="s">
        <v>6051</v>
      </c>
      <c r="E355" t="s">
        <v>7688</v>
      </c>
      <c r="F355" t="s">
        <v>0</v>
      </c>
      <c r="G355" s="1">
        <f>DATE(2020,3,20)</f>
        <v>43910</v>
      </c>
    </row>
    <row r="356" spans="1:7" x14ac:dyDescent="0.35">
      <c r="A356" s="2" t="s">
        <v>1024</v>
      </c>
      <c r="B356" s="2" t="s">
        <v>1025</v>
      </c>
      <c r="C356" s="2" t="s">
        <v>1026</v>
      </c>
      <c r="D356" t="s">
        <v>6052</v>
      </c>
      <c r="E356" t="s">
        <v>7689</v>
      </c>
      <c r="F356" t="s">
        <v>0</v>
      </c>
      <c r="G356" s="1">
        <f>DATE(2024,1,5)</f>
        <v>45296</v>
      </c>
    </row>
    <row r="357" spans="1:7" x14ac:dyDescent="0.35">
      <c r="A357" s="2" t="s">
        <v>1027</v>
      </c>
      <c r="B357" s="2" t="s">
        <v>1028</v>
      </c>
      <c r="C357" s="2" t="s">
        <v>1029</v>
      </c>
      <c r="D357" t="s">
        <v>6053</v>
      </c>
      <c r="E357" t="s">
        <v>7690</v>
      </c>
      <c r="F357" t="s">
        <v>0</v>
      </c>
      <c r="G357" s="1">
        <f>DATE(2020,3,20)</f>
        <v>43910</v>
      </c>
    </row>
    <row r="358" spans="1:7" x14ac:dyDescent="0.35">
      <c r="A358" s="2" t="s">
        <v>1030</v>
      </c>
      <c r="B358" s="2" t="s">
        <v>1031</v>
      </c>
      <c r="C358" s="2" t="s">
        <v>1032</v>
      </c>
      <c r="D358" t="s">
        <v>6054</v>
      </c>
      <c r="E358" t="s">
        <v>7691</v>
      </c>
      <c r="F358" t="s">
        <v>0</v>
      </c>
      <c r="G358" s="1">
        <f>DATE(2020,3,20)</f>
        <v>43910</v>
      </c>
    </row>
    <row r="359" spans="1:7" x14ac:dyDescent="0.35">
      <c r="A359" s="2" t="s">
        <v>1033</v>
      </c>
      <c r="B359" s="2" t="s">
        <v>1034</v>
      </c>
      <c r="C359" s="2" t="s">
        <v>1035</v>
      </c>
      <c r="D359" t="s">
        <v>6055</v>
      </c>
      <c r="E359" t="s">
        <v>7692</v>
      </c>
      <c r="F359" t="s">
        <v>0</v>
      </c>
      <c r="G359" s="1">
        <f>DATE(2020,3,20)</f>
        <v>43910</v>
      </c>
    </row>
    <row r="360" spans="1:7" x14ac:dyDescent="0.35">
      <c r="A360" s="2" t="s">
        <v>1036</v>
      </c>
      <c r="B360" s="2" t="s">
        <v>1037</v>
      </c>
      <c r="C360" s="2" t="s">
        <v>1038</v>
      </c>
      <c r="D360" t="s">
        <v>6056</v>
      </c>
      <c r="E360" t="s">
        <v>7693</v>
      </c>
      <c r="F360" t="s">
        <v>0</v>
      </c>
      <c r="G360" s="1">
        <f>DATE(2020,3,20)</f>
        <v>43910</v>
      </c>
    </row>
    <row r="361" spans="1:7" x14ac:dyDescent="0.35">
      <c r="A361" s="2" t="s">
        <v>1039</v>
      </c>
      <c r="B361" s="2" t="s">
        <v>1040</v>
      </c>
      <c r="C361" s="2" t="s">
        <v>1041</v>
      </c>
      <c r="D361" t="s">
        <v>6057</v>
      </c>
      <c r="E361" t="s">
        <v>7694</v>
      </c>
      <c r="F361" t="s">
        <v>0</v>
      </c>
      <c r="G361" s="1">
        <f>DATE(2021,5,11)</f>
        <v>44327</v>
      </c>
    </row>
    <row r="362" spans="1:7" x14ac:dyDescent="0.35">
      <c r="A362" s="2" t="s">
        <v>1042</v>
      </c>
      <c r="B362" s="2" t="s">
        <v>1043</v>
      </c>
      <c r="C362" s="2" t="s">
        <v>1044</v>
      </c>
      <c r="D362" t="s">
        <v>6058</v>
      </c>
      <c r="E362" t="s">
        <v>7695</v>
      </c>
      <c r="F362" t="s">
        <v>0</v>
      </c>
      <c r="G362" s="1">
        <f>DATE(2020,3,20)</f>
        <v>43910</v>
      </c>
    </row>
    <row r="363" spans="1:7" x14ac:dyDescent="0.35">
      <c r="A363" s="2" t="s">
        <v>1045</v>
      </c>
      <c r="B363" s="2" t="s">
        <v>1046</v>
      </c>
      <c r="C363" s="2" t="s">
        <v>1047</v>
      </c>
      <c r="D363" t="s">
        <v>6059</v>
      </c>
      <c r="E363" t="s">
        <v>7696</v>
      </c>
      <c r="F363" t="s">
        <v>0</v>
      </c>
      <c r="G363" s="1">
        <f>DATE(2020,3,20)</f>
        <v>43910</v>
      </c>
    </row>
    <row r="364" spans="1:7" x14ac:dyDescent="0.35">
      <c r="A364" s="2" t="s">
        <v>1048</v>
      </c>
      <c r="B364" s="2" t="s">
        <v>1049</v>
      </c>
      <c r="C364" s="2" t="s">
        <v>1050</v>
      </c>
      <c r="D364" t="s">
        <v>6060</v>
      </c>
      <c r="E364" t="s">
        <v>7697</v>
      </c>
      <c r="F364" t="s">
        <v>0</v>
      </c>
      <c r="G364" s="1">
        <f>DATE(2023,4,14)</f>
        <v>45030</v>
      </c>
    </row>
    <row r="365" spans="1:7" x14ac:dyDescent="0.35">
      <c r="A365" s="2" t="s">
        <v>1051</v>
      </c>
      <c r="B365" s="2" t="s">
        <v>1052</v>
      </c>
      <c r="C365" s="2" t="s">
        <v>1053</v>
      </c>
      <c r="D365" t="s">
        <v>6061</v>
      </c>
      <c r="E365" t="s">
        <v>7698</v>
      </c>
      <c r="F365" t="s">
        <v>0</v>
      </c>
      <c r="G365" s="1">
        <f>DATE(2020,3,20)</f>
        <v>43910</v>
      </c>
    </row>
    <row r="366" spans="1:7" x14ac:dyDescent="0.35">
      <c r="A366" s="2" t="s">
        <v>1054</v>
      </c>
      <c r="B366" s="2" t="s">
        <v>1055</v>
      </c>
      <c r="D366" t="s">
        <v>5756</v>
      </c>
      <c r="E366" t="e">
        <v>#VALUE!</v>
      </c>
      <c r="F366" t="s">
        <v>0</v>
      </c>
      <c r="G366" s="1">
        <f>DATE(2020,5,27)</f>
        <v>43978</v>
      </c>
    </row>
    <row r="367" spans="1:7" x14ac:dyDescent="0.35">
      <c r="A367" s="2" t="s">
        <v>1056</v>
      </c>
      <c r="B367" s="2" t="s">
        <v>1057</v>
      </c>
      <c r="D367" t="s">
        <v>5756</v>
      </c>
      <c r="E367" t="e">
        <v>#VALUE!</v>
      </c>
      <c r="F367" t="s">
        <v>0</v>
      </c>
      <c r="G367" s="1">
        <f>DATE(2020,5,27)</f>
        <v>43978</v>
      </c>
    </row>
    <row r="368" spans="1:7" x14ac:dyDescent="0.35">
      <c r="A368" s="2" t="s">
        <v>1058</v>
      </c>
      <c r="B368" s="2" t="s">
        <v>1059</v>
      </c>
      <c r="C368" s="2" t="s">
        <v>1060</v>
      </c>
      <c r="D368" t="s">
        <v>6062</v>
      </c>
      <c r="E368" t="s">
        <v>7699</v>
      </c>
      <c r="F368" t="s">
        <v>0</v>
      </c>
      <c r="G368" s="1">
        <f>DATE(2020,3,20)</f>
        <v>43910</v>
      </c>
    </row>
    <row r="369" spans="1:7" x14ac:dyDescent="0.35">
      <c r="A369" s="2" t="s">
        <v>1061</v>
      </c>
      <c r="B369" s="2" t="s">
        <v>1062</v>
      </c>
      <c r="D369" t="s">
        <v>5756</v>
      </c>
      <c r="E369" t="e">
        <v>#VALUE!</v>
      </c>
      <c r="F369" t="s">
        <v>0</v>
      </c>
      <c r="G369" s="1">
        <f>DATE(2021,8,23)</f>
        <v>44431</v>
      </c>
    </row>
    <row r="370" spans="1:7" x14ac:dyDescent="0.35">
      <c r="A370" s="2" t="s">
        <v>1063</v>
      </c>
      <c r="B370" s="2" t="s">
        <v>1064</v>
      </c>
      <c r="C370" s="2" t="s">
        <v>1065</v>
      </c>
      <c r="D370" t="s">
        <v>6063</v>
      </c>
      <c r="E370" t="s">
        <v>7700</v>
      </c>
      <c r="F370" t="s">
        <v>0</v>
      </c>
      <c r="G370" s="1">
        <f>DATE(2020,3,20)</f>
        <v>43910</v>
      </c>
    </row>
    <row r="371" spans="1:7" x14ac:dyDescent="0.35">
      <c r="A371" s="2" t="s">
        <v>1066</v>
      </c>
      <c r="B371" s="2" t="s">
        <v>1067</v>
      </c>
      <c r="C371" s="2" t="s">
        <v>1068</v>
      </c>
      <c r="D371" t="s">
        <v>6064</v>
      </c>
      <c r="E371" t="s">
        <v>7701</v>
      </c>
      <c r="F371" t="s">
        <v>0</v>
      </c>
      <c r="G371" s="1">
        <f>DATE(2020,5,20)</f>
        <v>43971</v>
      </c>
    </row>
    <row r="372" spans="1:7" x14ac:dyDescent="0.35">
      <c r="A372" s="2" t="s">
        <v>1069</v>
      </c>
      <c r="B372" s="2" t="s">
        <v>1070</v>
      </c>
      <c r="C372" s="2" t="s">
        <v>1071</v>
      </c>
      <c r="D372" t="s">
        <v>6065</v>
      </c>
      <c r="E372" t="s">
        <v>7702</v>
      </c>
      <c r="F372" t="s">
        <v>0</v>
      </c>
      <c r="G372" s="1">
        <f>DATE(2020,3,20)</f>
        <v>43910</v>
      </c>
    </row>
    <row r="373" spans="1:7" x14ac:dyDescent="0.35">
      <c r="A373" s="2" t="s">
        <v>1072</v>
      </c>
      <c r="B373" s="2" t="s">
        <v>1073</v>
      </c>
      <c r="C373" s="2" t="s">
        <v>1074</v>
      </c>
      <c r="D373" t="s">
        <v>6066</v>
      </c>
      <c r="E373" t="s">
        <v>7703</v>
      </c>
      <c r="F373" t="s">
        <v>0</v>
      </c>
      <c r="G373" s="1">
        <f>DATE(2023,6,20)</f>
        <v>45097</v>
      </c>
    </row>
    <row r="374" spans="1:7" x14ac:dyDescent="0.35">
      <c r="A374" s="2" t="s">
        <v>1075</v>
      </c>
      <c r="B374" s="2" t="s">
        <v>1076</v>
      </c>
      <c r="C374" s="2" t="s">
        <v>1077</v>
      </c>
      <c r="D374" t="s">
        <v>6067</v>
      </c>
      <c r="E374" t="s">
        <v>7704</v>
      </c>
      <c r="F374" t="s">
        <v>0</v>
      </c>
      <c r="G374" s="1">
        <f>DATE(2020,3,20)</f>
        <v>43910</v>
      </c>
    </row>
    <row r="375" spans="1:7" x14ac:dyDescent="0.35">
      <c r="A375" s="2" t="s">
        <v>1078</v>
      </c>
      <c r="B375" s="2" t="s">
        <v>1079</v>
      </c>
      <c r="C375" s="2" t="s">
        <v>1080</v>
      </c>
      <c r="D375" t="s">
        <v>6068</v>
      </c>
      <c r="E375" t="s">
        <v>7705</v>
      </c>
      <c r="F375" t="s">
        <v>0</v>
      </c>
      <c r="G375" s="1">
        <f>DATE(2020,3,20)</f>
        <v>43910</v>
      </c>
    </row>
    <row r="376" spans="1:7" x14ac:dyDescent="0.35">
      <c r="A376" s="2" t="s">
        <v>1081</v>
      </c>
      <c r="B376" s="2" t="s">
        <v>1082</v>
      </c>
      <c r="C376" s="2" t="s">
        <v>1083</v>
      </c>
      <c r="D376" t="s">
        <v>6069</v>
      </c>
      <c r="E376" t="s">
        <v>7706</v>
      </c>
      <c r="F376" t="s">
        <v>0</v>
      </c>
      <c r="G376" s="1">
        <f>DATE(2020,3,20)</f>
        <v>43910</v>
      </c>
    </row>
    <row r="377" spans="1:7" x14ac:dyDescent="0.35">
      <c r="A377" s="2" t="s">
        <v>1084</v>
      </c>
      <c r="B377" s="2" t="s">
        <v>1085</v>
      </c>
      <c r="C377" s="2" t="s">
        <v>1086</v>
      </c>
      <c r="D377" t="s">
        <v>6070</v>
      </c>
      <c r="E377" t="s">
        <v>7707</v>
      </c>
      <c r="F377" t="s">
        <v>0</v>
      </c>
      <c r="G377" s="1">
        <f>DATE(2023,9,7)</f>
        <v>45176</v>
      </c>
    </row>
    <row r="378" spans="1:7" x14ac:dyDescent="0.35">
      <c r="A378" s="2" t="s">
        <v>1087</v>
      </c>
      <c r="B378" s="2" t="s">
        <v>1088</v>
      </c>
      <c r="C378" s="2" t="s">
        <v>1089</v>
      </c>
      <c r="D378" t="s">
        <v>6071</v>
      </c>
      <c r="E378" t="s">
        <v>7708</v>
      </c>
      <c r="F378" t="s">
        <v>0</v>
      </c>
      <c r="G378" s="1">
        <f>DATE(2021,5,28)</f>
        <v>44344</v>
      </c>
    </row>
    <row r="379" spans="1:7" x14ac:dyDescent="0.35">
      <c r="A379" s="2" t="s">
        <v>1090</v>
      </c>
      <c r="B379" s="2" t="s">
        <v>1091</v>
      </c>
      <c r="C379" s="2" t="s">
        <v>1092</v>
      </c>
      <c r="D379" t="s">
        <v>6072</v>
      </c>
      <c r="E379" t="s">
        <v>7709</v>
      </c>
      <c r="F379" t="s">
        <v>0</v>
      </c>
      <c r="G379" s="1">
        <f>DATE(2023,12,18)</f>
        <v>45278</v>
      </c>
    </row>
    <row r="380" spans="1:7" x14ac:dyDescent="0.35">
      <c r="A380" s="2" t="s">
        <v>1093</v>
      </c>
      <c r="B380" s="2" t="s">
        <v>1094</v>
      </c>
      <c r="D380" t="s">
        <v>5756</v>
      </c>
      <c r="E380" t="e">
        <v>#VALUE!</v>
      </c>
      <c r="F380" t="s">
        <v>0</v>
      </c>
      <c r="G380" s="1">
        <f>DATE(2023,6,19)</f>
        <v>45096</v>
      </c>
    </row>
    <row r="381" spans="1:7" x14ac:dyDescent="0.35">
      <c r="A381" s="2" t="s">
        <v>1095</v>
      </c>
      <c r="B381" s="2" t="s">
        <v>1096</v>
      </c>
      <c r="C381" s="2" t="s">
        <v>1097</v>
      </c>
      <c r="D381" t="s">
        <v>6073</v>
      </c>
      <c r="E381" t="s">
        <v>7710</v>
      </c>
      <c r="F381" t="s">
        <v>0</v>
      </c>
      <c r="G381" s="1">
        <f>DATE(2020,3,20)</f>
        <v>43910</v>
      </c>
    </row>
    <row r="382" spans="1:7" x14ac:dyDescent="0.35">
      <c r="A382" s="2" t="s">
        <v>1098</v>
      </c>
      <c r="B382" s="2" t="s">
        <v>1099</v>
      </c>
      <c r="C382" s="2" t="s">
        <v>1100</v>
      </c>
      <c r="D382" t="s">
        <v>6074</v>
      </c>
      <c r="E382" t="s">
        <v>7711</v>
      </c>
      <c r="F382" t="s">
        <v>0</v>
      </c>
      <c r="G382" s="1">
        <f>DATE(2020,3,20)</f>
        <v>43910</v>
      </c>
    </row>
    <row r="383" spans="1:7" x14ac:dyDescent="0.35">
      <c r="A383" s="2" t="s">
        <v>1101</v>
      </c>
      <c r="B383" s="2" t="s">
        <v>1102</v>
      </c>
      <c r="C383" s="2" t="s">
        <v>1103</v>
      </c>
      <c r="D383" t="s">
        <v>6075</v>
      </c>
      <c r="E383" t="s">
        <v>7712</v>
      </c>
      <c r="F383" t="s">
        <v>0</v>
      </c>
      <c r="G383" s="1">
        <f>DATE(2020,3,20)</f>
        <v>43910</v>
      </c>
    </row>
    <row r="384" spans="1:7" x14ac:dyDescent="0.35">
      <c r="A384" s="2" t="s">
        <v>1104</v>
      </c>
      <c r="B384" s="2" t="s">
        <v>1105</v>
      </c>
      <c r="D384" t="s">
        <v>5756</v>
      </c>
      <c r="E384" t="e">
        <v>#VALUE!</v>
      </c>
      <c r="F384" t="s">
        <v>0</v>
      </c>
      <c r="G384" s="1">
        <f>DATE(2020,5,27)</f>
        <v>43978</v>
      </c>
    </row>
    <row r="385" spans="1:7" x14ac:dyDescent="0.35">
      <c r="A385" s="2" t="s">
        <v>1106</v>
      </c>
      <c r="B385" s="2" t="s">
        <v>1107</v>
      </c>
      <c r="D385" t="s">
        <v>5756</v>
      </c>
      <c r="E385" t="e">
        <v>#VALUE!</v>
      </c>
      <c r="F385" t="s">
        <v>0</v>
      </c>
      <c r="G385" s="1">
        <f>DATE(2020,5,27)</f>
        <v>43978</v>
      </c>
    </row>
    <row r="386" spans="1:7" x14ac:dyDescent="0.35">
      <c r="A386" s="2" t="s">
        <v>1108</v>
      </c>
      <c r="B386" s="2" t="s">
        <v>1109</v>
      </c>
      <c r="D386" t="s">
        <v>5756</v>
      </c>
      <c r="E386" t="e">
        <v>#VALUE!</v>
      </c>
      <c r="F386" t="s">
        <v>0</v>
      </c>
      <c r="G386" s="1">
        <f>DATE(2020,5,27)</f>
        <v>43978</v>
      </c>
    </row>
    <row r="387" spans="1:7" x14ac:dyDescent="0.35">
      <c r="A387" s="2" t="s">
        <v>1110</v>
      </c>
      <c r="B387" s="2" t="s">
        <v>1111</v>
      </c>
      <c r="C387" s="2" t="s">
        <v>1112</v>
      </c>
      <c r="D387" t="s">
        <v>6076</v>
      </c>
      <c r="E387" t="s">
        <v>7713</v>
      </c>
      <c r="F387" t="s">
        <v>0</v>
      </c>
      <c r="G387" s="1">
        <f>DATE(2020,3,20)</f>
        <v>43910</v>
      </c>
    </row>
    <row r="388" spans="1:7" x14ac:dyDescent="0.35">
      <c r="A388" s="2" t="s">
        <v>1113</v>
      </c>
      <c r="B388" s="2" t="s">
        <v>1114</v>
      </c>
      <c r="C388" s="2" t="s">
        <v>1115</v>
      </c>
      <c r="D388" t="s">
        <v>6077</v>
      </c>
      <c r="E388" t="s">
        <v>7714</v>
      </c>
      <c r="F388" t="s">
        <v>0</v>
      </c>
      <c r="G388" s="1">
        <f>DATE(2022,3,25)</f>
        <v>44645</v>
      </c>
    </row>
    <row r="389" spans="1:7" x14ac:dyDescent="0.35">
      <c r="A389" s="2" t="s">
        <v>1116</v>
      </c>
      <c r="B389" s="2" t="s">
        <v>1117</v>
      </c>
      <c r="D389" t="s">
        <v>5756</v>
      </c>
      <c r="E389" t="e">
        <v>#VALUE!</v>
      </c>
      <c r="F389" t="s">
        <v>0</v>
      </c>
      <c r="G389" s="1">
        <f>DATE(2023,6,13)</f>
        <v>45090</v>
      </c>
    </row>
    <row r="390" spans="1:7" x14ac:dyDescent="0.35">
      <c r="A390" s="2" t="s">
        <v>1118</v>
      </c>
      <c r="B390" s="2" t="s">
        <v>1119</v>
      </c>
      <c r="C390" s="2" t="s">
        <v>1120</v>
      </c>
      <c r="D390" t="s">
        <v>6078</v>
      </c>
      <c r="E390" t="s">
        <v>7715</v>
      </c>
      <c r="F390" t="s">
        <v>0</v>
      </c>
      <c r="G390" s="1">
        <f>DATE(2022,3,25)</f>
        <v>44645</v>
      </c>
    </row>
    <row r="391" spans="1:7" x14ac:dyDescent="0.35">
      <c r="A391" s="2" t="s">
        <v>1121</v>
      </c>
      <c r="B391" s="2" t="s">
        <v>1122</v>
      </c>
      <c r="C391" s="2" t="s">
        <v>1123</v>
      </c>
      <c r="D391" t="s">
        <v>6079</v>
      </c>
      <c r="E391" t="s">
        <v>7716</v>
      </c>
      <c r="F391" t="s">
        <v>0</v>
      </c>
      <c r="G391" s="1">
        <f>DATE(2022,3,25)</f>
        <v>44645</v>
      </c>
    </row>
    <row r="392" spans="1:7" x14ac:dyDescent="0.35">
      <c r="A392" s="2" t="s">
        <v>1124</v>
      </c>
      <c r="B392" s="2" t="s">
        <v>1125</v>
      </c>
      <c r="C392" s="2" t="s">
        <v>1126</v>
      </c>
      <c r="D392" t="s">
        <v>6080</v>
      </c>
      <c r="E392" t="s">
        <v>7717</v>
      </c>
      <c r="F392" t="s">
        <v>0</v>
      </c>
      <c r="G392" s="1">
        <f>DATE(2023,6,16)</f>
        <v>45093</v>
      </c>
    </row>
    <row r="393" spans="1:7" x14ac:dyDescent="0.35">
      <c r="A393" s="2" t="s">
        <v>1127</v>
      </c>
      <c r="B393" s="2" t="s">
        <v>1128</v>
      </c>
      <c r="D393" t="s">
        <v>5756</v>
      </c>
      <c r="E393" t="e">
        <v>#VALUE!</v>
      </c>
      <c r="F393" t="s">
        <v>0</v>
      </c>
      <c r="G393" s="1">
        <f>DATE(2020,3,20)</f>
        <v>43910</v>
      </c>
    </row>
    <row r="394" spans="1:7" x14ac:dyDescent="0.35">
      <c r="A394" s="2" t="s">
        <v>1129</v>
      </c>
      <c r="B394" s="2" t="s">
        <v>1130</v>
      </c>
      <c r="C394" s="2" t="s">
        <v>1131</v>
      </c>
      <c r="D394" t="s">
        <v>6081</v>
      </c>
      <c r="E394" t="s">
        <v>7718</v>
      </c>
      <c r="F394" t="s">
        <v>0</v>
      </c>
      <c r="G394" s="1">
        <f>DATE(2022,11,4)</f>
        <v>44869</v>
      </c>
    </row>
    <row r="395" spans="1:7" x14ac:dyDescent="0.35">
      <c r="A395" s="2" t="s">
        <v>1132</v>
      </c>
      <c r="B395" s="2" t="s">
        <v>1133</v>
      </c>
      <c r="C395" s="2" t="s">
        <v>1134</v>
      </c>
      <c r="D395" t="s">
        <v>6082</v>
      </c>
      <c r="E395" t="s">
        <v>7719</v>
      </c>
      <c r="F395" t="s">
        <v>0</v>
      </c>
      <c r="G395" s="1">
        <f>DATE(2020,3,20)</f>
        <v>43910</v>
      </c>
    </row>
    <row r="396" spans="1:7" x14ac:dyDescent="0.35">
      <c r="A396" s="2" t="s">
        <v>1135</v>
      </c>
      <c r="B396" s="2" t="s">
        <v>1136</v>
      </c>
      <c r="C396" s="2" t="s">
        <v>608</v>
      </c>
      <c r="D396" t="s">
        <v>5930</v>
      </c>
      <c r="E396" t="s">
        <v>7566</v>
      </c>
      <c r="F396" t="s">
        <v>0</v>
      </c>
      <c r="G396" s="1">
        <f>DATE(2022,2,27)</f>
        <v>44619</v>
      </c>
    </row>
    <row r="397" spans="1:7" x14ac:dyDescent="0.35">
      <c r="A397" s="2" t="s">
        <v>1137</v>
      </c>
      <c r="B397" s="2" t="s">
        <v>1138</v>
      </c>
      <c r="C397" s="2" t="s">
        <v>1139</v>
      </c>
      <c r="D397" t="s">
        <v>6083</v>
      </c>
      <c r="E397" t="s">
        <v>7720</v>
      </c>
      <c r="F397" t="s">
        <v>0</v>
      </c>
      <c r="G397" s="1">
        <f>DATE(2021,9,24)</f>
        <v>44463</v>
      </c>
    </row>
    <row r="398" spans="1:7" x14ac:dyDescent="0.35">
      <c r="A398" s="2" t="s">
        <v>1140</v>
      </c>
      <c r="B398" s="2" t="s">
        <v>1141</v>
      </c>
      <c r="C398" s="2" t="s">
        <v>1142</v>
      </c>
      <c r="D398" t="s">
        <v>6084</v>
      </c>
      <c r="E398" t="s">
        <v>7721</v>
      </c>
      <c r="F398" t="s">
        <v>0</v>
      </c>
      <c r="G398" s="1">
        <f>DATE(2021,9,27)</f>
        <v>44466</v>
      </c>
    </row>
    <row r="399" spans="1:7" x14ac:dyDescent="0.35">
      <c r="A399" s="2" t="s">
        <v>1143</v>
      </c>
      <c r="B399" s="2" t="s">
        <v>1144</v>
      </c>
      <c r="C399" s="2" t="s">
        <v>670</v>
      </c>
      <c r="D399" t="s">
        <v>5948</v>
      </c>
      <c r="E399" t="s">
        <v>7584</v>
      </c>
      <c r="F399" t="s">
        <v>0</v>
      </c>
      <c r="G399" s="1">
        <f>DATE(2021,9,29)</f>
        <v>44468</v>
      </c>
    </row>
    <row r="400" spans="1:7" x14ac:dyDescent="0.35">
      <c r="A400" s="2" t="s">
        <v>1145</v>
      </c>
      <c r="B400" s="2" t="s">
        <v>1146</v>
      </c>
      <c r="C400" s="2" t="s">
        <v>670</v>
      </c>
      <c r="D400" t="s">
        <v>5948</v>
      </c>
      <c r="E400" t="s">
        <v>7584</v>
      </c>
      <c r="F400" t="s">
        <v>0</v>
      </c>
      <c r="G400" s="1">
        <f>DATE(2022,5,17)</f>
        <v>44698</v>
      </c>
    </row>
    <row r="401" spans="1:7" x14ac:dyDescent="0.35">
      <c r="A401" s="2" t="s">
        <v>1147</v>
      </c>
      <c r="B401" s="2" t="s">
        <v>1148</v>
      </c>
      <c r="C401" s="2" t="s">
        <v>1149</v>
      </c>
      <c r="D401" t="s">
        <v>6085</v>
      </c>
      <c r="E401" t="s">
        <v>7722</v>
      </c>
      <c r="F401" t="s">
        <v>0</v>
      </c>
      <c r="G401" s="1">
        <f>DATE(2023,2,6)</f>
        <v>44963</v>
      </c>
    </row>
    <row r="402" spans="1:7" x14ac:dyDescent="0.35">
      <c r="A402" s="2" t="s">
        <v>1150</v>
      </c>
      <c r="B402" s="2" t="s">
        <v>1151</v>
      </c>
      <c r="C402" s="2" t="s">
        <v>1152</v>
      </c>
      <c r="D402" t="s">
        <v>6086</v>
      </c>
      <c r="E402" t="s">
        <v>7723</v>
      </c>
      <c r="F402" t="s">
        <v>0</v>
      </c>
      <c r="G402" s="1">
        <f>DATE(2021,12,10)</f>
        <v>44540</v>
      </c>
    </row>
    <row r="403" spans="1:7" x14ac:dyDescent="0.35">
      <c r="A403" s="2" t="s">
        <v>1153</v>
      </c>
      <c r="B403" s="2" t="s">
        <v>1154</v>
      </c>
      <c r="C403" s="2" t="s">
        <v>1155</v>
      </c>
      <c r="D403" t="s">
        <v>6087</v>
      </c>
      <c r="E403" t="s">
        <v>7724</v>
      </c>
      <c r="F403" t="s">
        <v>0</v>
      </c>
      <c r="G403" s="1">
        <f>DATE(2021,11,10)</f>
        <v>44510</v>
      </c>
    </row>
    <row r="404" spans="1:7" x14ac:dyDescent="0.35">
      <c r="A404" s="2" t="s">
        <v>1156</v>
      </c>
      <c r="B404" s="2" t="s">
        <v>1157</v>
      </c>
      <c r="C404" s="2" t="s">
        <v>1158</v>
      </c>
      <c r="D404" t="s">
        <v>6088</v>
      </c>
      <c r="E404" t="s">
        <v>7725</v>
      </c>
      <c r="F404" t="s">
        <v>0</v>
      </c>
      <c r="G404" s="1">
        <f>DATE(2022,11,28)</f>
        <v>44893</v>
      </c>
    </row>
    <row r="405" spans="1:7" x14ac:dyDescent="0.35">
      <c r="A405" s="2" t="s">
        <v>1159</v>
      </c>
      <c r="B405" s="2" t="s">
        <v>1160</v>
      </c>
      <c r="C405" s="2" t="s">
        <v>1161</v>
      </c>
      <c r="D405" t="s">
        <v>6089</v>
      </c>
      <c r="E405" t="s">
        <v>7726</v>
      </c>
      <c r="F405" t="s">
        <v>0</v>
      </c>
      <c r="G405" s="1">
        <f>DATE(2021,10,11)</f>
        <v>44480</v>
      </c>
    </row>
    <row r="406" spans="1:7" x14ac:dyDescent="0.35">
      <c r="A406" s="2" t="s">
        <v>1162</v>
      </c>
      <c r="B406" s="2" t="s">
        <v>1163</v>
      </c>
      <c r="C406" s="2" t="s">
        <v>1164</v>
      </c>
      <c r="D406" t="s">
        <v>6090</v>
      </c>
      <c r="E406" t="s">
        <v>7727</v>
      </c>
      <c r="F406" t="s">
        <v>0</v>
      </c>
      <c r="G406" s="1">
        <f>DATE(2022,6,23)</f>
        <v>44735</v>
      </c>
    </row>
    <row r="407" spans="1:7" x14ac:dyDescent="0.35">
      <c r="A407" s="2" t="s">
        <v>1165</v>
      </c>
      <c r="B407" s="2" t="s">
        <v>1166</v>
      </c>
      <c r="C407" s="2" t="s">
        <v>1167</v>
      </c>
      <c r="D407" t="s">
        <v>6091</v>
      </c>
      <c r="E407" t="s">
        <v>7728</v>
      </c>
      <c r="F407" t="s">
        <v>0</v>
      </c>
      <c r="G407" s="1">
        <f>DATE(2022,6,23)</f>
        <v>44735</v>
      </c>
    </row>
    <row r="408" spans="1:7" x14ac:dyDescent="0.35">
      <c r="A408" s="2" t="s">
        <v>1168</v>
      </c>
      <c r="B408" s="2" t="s">
        <v>1169</v>
      </c>
      <c r="C408" s="2" t="s">
        <v>1170</v>
      </c>
      <c r="D408" t="s">
        <v>6092</v>
      </c>
      <c r="E408" t="s">
        <v>7729</v>
      </c>
      <c r="F408" t="s">
        <v>0</v>
      </c>
      <c r="G408" s="1">
        <f>DATE(2021,10,14)</f>
        <v>44483</v>
      </c>
    </row>
    <row r="409" spans="1:7" x14ac:dyDescent="0.35">
      <c r="A409" s="2" t="s">
        <v>1171</v>
      </c>
      <c r="B409" s="2" t="s">
        <v>1172</v>
      </c>
      <c r="C409" s="2" t="s">
        <v>1173</v>
      </c>
      <c r="D409" t="s">
        <v>6093</v>
      </c>
      <c r="E409" t="s">
        <v>7730</v>
      </c>
      <c r="F409" t="s">
        <v>0</v>
      </c>
      <c r="G409" s="1">
        <f>DATE(2022,3,18)</f>
        <v>44638</v>
      </c>
    </row>
    <row r="410" spans="1:7" x14ac:dyDescent="0.35">
      <c r="A410" s="2" t="s">
        <v>1174</v>
      </c>
      <c r="B410" s="2" t="s">
        <v>1175</v>
      </c>
      <c r="C410" s="2" t="s">
        <v>1176</v>
      </c>
      <c r="D410" t="s">
        <v>6094</v>
      </c>
      <c r="E410" t="s">
        <v>7731</v>
      </c>
      <c r="F410" t="s">
        <v>0</v>
      </c>
      <c r="G410" s="1">
        <f>DATE(2021,12,10)</f>
        <v>44540</v>
      </c>
    </row>
    <row r="411" spans="1:7" x14ac:dyDescent="0.35">
      <c r="A411" s="2" t="s">
        <v>1177</v>
      </c>
      <c r="B411" s="2" t="s">
        <v>1178</v>
      </c>
      <c r="C411" s="2" t="s">
        <v>1179</v>
      </c>
      <c r="D411" t="s">
        <v>6095</v>
      </c>
      <c r="E411" t="s">
        <v>7732</v>
      </c>
      <c r="F411" t="s">
        <v>0</v>
      </c>
      <c r="G411" s="1">
        <f>DATE(2021,12,10)</f>
        <v>44540</v>
      </c>
    </row>
    <row r="412" spans="1:7" x14ac:dyDescent="0.35">
      <c r="A412" s="2" t="s">
        <v>1180</v>
      </c>
      <c r="B412" s="2" t="s">
        <v>1181</v>
      </c>
      <c r="C412" s="2" t="s">
        <v>1182</v>
      </c>
      <c r="D412" t="s">
        <v>6096</v>
      </c>
      <c r="E412" t="s">
        <v>7733</v>
      </c>
      <c r="F412" t="s">
        <v>0</v>
      </c>
      <c r="G412" s="1">
        <f>DATE(2024,1,5)</f>
        <v>45296</v>
      </c>
    </row>
    <row r="413" spans="1:7" x14ac:dyDescent="0.35">
      <c r="A413" s="2" t="s">
        <v>1183</v>
      </c>
      <c r="B413" s="2" t="s">
        <v>1184</v>
      </c>
      <c r="D413" t="s">
        <v>5756</v>
      </c>
      <c r="E413" t="e">
        <v>#VALUE!</v>
      </c>
      <c r="F413" t="s">
        <v>0</v>
      </c>
      <c r="G413" s="1">
        <f>DATE(2021,11,25)</f>
        <v>44525</v>
      </c>
    </row>
    <row r="414" spans="1:7" x14ac:dyDescent="0.35">
      <c r="A414" s="2" t="s">
        <v>1185</v>
      </c>
      <c r="B414" s="2" t="s">
        <v>1186</v>
      </c>
      <c r="C414" s="2" t="s">
        <v>1187</v>
      </c>
      <c r="D414" t="s">
        <v>6097</v>
      </c>
      <c r="E414" t="s">
        <v>7734</v>
      </c>
      <c r="F414" t="s">
        <v>0</v>
      </c>
      <c r="G414" s="1">
        <f>DATE(2022,1,21)</f>
        <v>44582</v>
      </c>
    </row>
    <row r="415" spans="1:7" x14ac:dyDescent="0.35">
      <c r="A415" s="2" t="s">
        <v>1188</v>
      </c>
      <c r="B415" s="2" t="s">
        <v>1189</v>
      </c>
      <c r="C415" s="2" t="s">
        <v>1190</v>
      </c>
      <c r="D415" t="s">
        <v>6098</v>
      </c>
      <c r="E415" t="s">
        <v>7735</v>
      </c>
      <c r="F415" t="s">
        <v>0</v>
      </c>
      <c r="G415" s="1">
        <f>DATE(2022,6,27)</f>
        <v>44739</v>
      </c>
    </row>
    <row r="416" spans="1:7" x14ac:dyDescent="0.35">
      <c r="A416" s="2" t="s">
        <v>1191</v>
      </c>
      <c r="B416" s="2" t="s">
        <v>1192</v>
      </c>
      <c r="C416" s="2" t="s">
        <v>1193</v>
      </c>
      <c r="D416" t="s">
        <v>6099</v>
      </c>
      <c r="E416" t="s">
        <v>7736</v>
      </c>
      <c r="F416" t="s">
        <v>0</v>
      </c>
      <c r="G416" s="1">
        <f>DATE(2021,12,10)</f>
        <v>44540</v>
      </c>
    </row>
    <row r="417" spans="1:7" x14ac:dyDescent="0.35">
      <c r="A417" s="2" t="s">
        <v>1194</v>
      </c>
      <c r="B417" s="2" t="s">
        <v>1195</v>
      </c>
      <c r="C417" s="2" t="s">
        <v>1196</v>
      </c>
      <c r="D417" t="s">
        <v>6100</v>
      </c>
      <c r="E417" t="s">
        <v>7737</v>
      </c>
      <c r="F417" t="s">
        <v>0</v>
      </c>
      <c r="G417" s="1">
        <f>DATE(2021,10,25)</f>
        <v>44494</v>
      </c>
    </row>
    <row r="418" spans="1:7" x14ac:dyDescent="0.35">
      <c r="A418" s="2" t="s">
        <v>1197</v>
      </c>
      <c r="B418" s="2" t="s">
        <v>1198</v>
      </c>
      <c r="C418" s="2" t="s">
        <v>1199</v>
      </c>
      <c r="D418" t="s">
        <v>6101</v>
      </c>
      <c r="E418" t="s">
        <v>7738</v>
      </c>
      <c r="F418" t="s">
        <v>0</v>
      </c>
      <c r="G418" s="1">
        <f>DATE(2021,10,27)</f>
        <v>44496</v>
      </c>
    </row>
    <row r="419" spans="1:7" x14ac:dyDescent="0.35">
      <c r="A419" s="2" t="s">
        <v>1200</v>
      </c>
      <c r="B419" s="2" t="s">
        <v>1201</v>
      </c>
      <c r="C419" s="2" t="s">
        <v>1202</v>
      </c>
      <c r="D419" t="s">
        <v>6102</v>
      </c>
      <c r="E419" t="s">
        <v>7739</v>
      </c>
      <c r="F419" t="s">
        <v>0</v>
      </c>
      <c r="G419" s="1">
        <f>DATE(2022,8,30)</f>
        <v>44803</v>
      </c>
    </row>
    <row r="420" spans="1:7" x14ac:dyDescent="0.35">
      <c r="A420" s="2" t="s">
        <v>1203</v>
      </c>
      <c r="B420" s="2" t="s">
        <v>1204</v>
      </c>
      <c r="C420" s="2" t="s">
        <v>1205</v>
      </c>
      <c r="D420" t="s">
        <v>6103</v>
      </c>
      <c r="E420" t="s">
        <v>7740</v>
      </c>
      <c r="F420" t="s">
        <v>0</v>
      </c>
      <c r="G420" s="1">
        <f>DATE(2022,10,28)</f>
        <v>44862</v>
      </c>
    </row>
    <row r="421" spans="1:7" x14ac:dyDescent="0.35">
      <c r="A421" s="2" t="s">
        <v>1206</v>
      </c>
      <c r="B421" s="2" t="s">
        <v>1207</v>
      </c>
      <c r="C421" s="2" t="s">
        <v>1208</v>
      </c>
      <c r="D421" t="s">
        <v>6104</v>
      </c>
      <c r="E421" t="s">
        <v>7741</v>
      </c>
      <c r="F421" t="s">
        <v>0</v>
      </c>
      <c r="G421" s="1">
        <f>DATE(2022,1,21)</f>
        <v>44582</v>
      </c>
    </row>
    <row r="422" spans="1:7" x14ac:dyDescent="0.35">
      <c r="A422" s="2" t="s">
        <v>1209</v>
      </c>
      <c r="B422" s="2" t="s">
        <v>1210</v>
      </c>
      <c r="C422" s="2" t="s">
        <v>1211</v>
      </c>
      <c r="D422" t="s">
        <v>6105</v>
      </c>
      <c r="E422" t="s">
        <v>7742</v>
      </c>
      <c r="F422" t="s">
        <v>0</v>
      </c>
      <c r="G422" s="1">
        <f>DATE(2021,12,10)</f>
        <v>44540</v>
      </c>
    </row>
    <row r="423" spans="1:7" x14ac:dyDescent="0.35">
      <c r="A423" s="2" t="s">
        <v>1212</v>
      </c>
      <c r="B423" s="2" t="s">
        <v>1213</v>
      </c>
      <c r="D423" t="s">
        <v>5756</v>
      </c>
      <c r="E423" t="e">
        <v>#VALUE!</v>
      </c>
      <c r="F423" t="s">
        <v>0</v>
      </c>
      <c r="G423" s="1">
        <f>DATE(2021,11,8)</f>
        <v>44508</v>
      </c>
    </row>
    <row r="424" spans="1:7" x14ac:dyDescent="0.35">
      <c r="A424" s="2" t="s">
        <v>1214</v>
      </c>
      <c r="B424" s="2" t="s">
        <v>1215</v>
      </c>
      <c r="C424" s="2" t="s">
        <v>1216</v>
      </c>
      <c r="D424" t="s">
        <v>6106</v>
      </c>
      <c r="E424" t="s">
        <v>7743</v>
      </c>
      <c r="F424" t="s">
        <v>0</v>
      </c>
      <c r="G424" s="1">
        <f>DATE(2021,12,10)</f>
        <v>44540</v>
      </c>
    </row>
    <row r="425" spans="1:7" x14ac:dyDescent="0.35">
      <c r="A425" s="2" t="s">
        <v>1217</v>
      </c>
      <c r="B425" s="2" t="s">
        <v>1218</v>
      </c>
      <c r="C425" s="2" t="s">
        <v>1219</v>
      </c>
      <c r="D425" t="s">
        <v>6107</v>
      </c>
      <c r="E425" t="s">
        <v>7744</v>
      </c>
      <c r="F425" t="s">
        <v>0</v>
      </c>
      <c r="G425" s="1">
        <f>DATE(2021,12,10)</f>
        <v>44540</v>
      </c>
    </row>
    <row r="426" spans="1:7" x14ac:dyDescent="0.35">
      <c r="A426" s="2" t="s">
        <v>1220</v>
      </c>
      <c r="B426" s="2" t="s">
        <v>1221</v>
      </c>
      <c r="C426" s="2" t="s">
        <v>1222</v>
      </c>
      <c r="D426" t="s">
        <v>6108</v>
      </c>
      <c r="E426" t="s">
        <v>7745</v>
      </c>
      <c r="F426" t="s">
        <v>0</v>
      </c>
      <c r="G426" s="1">
        <f>DATE(2022,1,21)</f>
        <v>44582</v>
      </c>
    </row>
    <row r="427" spans="1:7" x14ac:dyDescent="0.35">
      <c r="A427" s="2" t="s">
        <v>1223</v>
      </c>
      <c r="B427" s="2" t="s">
        <v>1224</v>
      </c>
      <c r="D427" t="s">
        <v>5756</v>
      </c>
      <c r="E427" t="e">
        <v>#VALUE!</v>
      </c>
      <c r="F427" t="s">
        <v>0</v>
      </c>
      <c r="G427" s="1">
        <f>DATE(2023,6,16)</f>
        <v>45093</v>
      </c>
    </row>
    <row r="428" spans="1:7" x14ac:dyDescent="0.35">
      <c r="A428" s="2" t="s">
        <v>1225</v>
      </c>
      <c r="B428" s="2" t="s">
        <v>1226</v>
      </c>
      <c r="C428" s="2" t="s">
        <v>1227</v>
      </c>
      <c r="D428" t="s">
        <v>6109</v>
      </c>
      <c r="E428" t="s">
        <v>7746</v>
      </c>
      <c r="F428" t="s">
        <v>0</v>
      </c>
      <c r="G428" s="1">
        <f>DATE(2021,12,10)</f>
        <v>44540</v>
      </c>
    </row>
    <row r="429" spans="1:7" x14ac:dyDescent="0.35">
      <c r="A429" s="2" t="s">
        <v>1228</v>
      </c>
      <c r="B429" s="2" t="s">
        <v>1229</v>
      </c>
      <c r="C429" s="2" t="s">
        <v>608</v>
      </c>
      <c r="D429" t="s">
        <v>5930</v>
      </c>
      <c r="E429" t="s">
        <v>7566</v>
      </c>
      <c r="F429" t="s">
        <v>0</v>
      </c>
      <c r="G429" s="1">
        <f>DATE(2021,12,30)</f>
        <v>44560</v>
      </c>
    </row>
    <row r="430" spans="1:7" x14ac:dyDescent="0.35">
      <c r="A430" s="2" t="s">
        <v>1230</v>
      </c>
      <c r="B430" s="2" t="s">
        <v>1231</v>
      </c>
      <c r="C430" s="2" t="s">
        <v>608</v>
      </c>
      <c r="D430" t="s">
        <v>5930</v>
      </c>
      <c r="E430" t="s">
        <v>7566</v>
      </c>
      <c r="F430" t="s">
        <v>0</v>
      </c>
      <c r="G430" s="1">
        <f>DATE(2022,4,25)</f>
        <v>44676</v>
      </c>
    </row>
    <row r="431" spans="1:7" x14ac:dyDescent="0.35">
      <c r="A431" s="2" t="s">
        <v>1232</v>
      </c>
      <c r="B431" s="2" t="s">
        <v>1233</v>
      </c>
      <c r="C431" s="2" t="s">
        <v>1234</v>
      </c>
      <c r="D431" t="s">
        <v>6110</v>
      </c>
      <c r="E431" t="s">
        <v>7747</v>
      </c>
      <c r="F431" t="s">
        <v>0</v>
      </c>
      <c r="G431" s="1">
        <f>DATE(2024,1,5)</f>
        <v>45296</v>
      </c>
    </row>
    <row r="432" spans="1:7" x14ac:dyDescent="0.35">
      <c r="A432" s="2" t="s">
        <v>1235</v>
      </c>
      <c r="B432" s="2" t="s">
        <v>1236</v>
      </c>
      <c r="C432" s="2" t="s">
        <v>1237</v>
      </c>
      <c r="D432" t="s">
        <v>6111</v>
      </c>
      <c r="E432" t="s">
        <v>7748</v>
      </c>
      <c r="F432" t="s">
        <v>0</v>
      </c>
      <c r="G432" s="1">
        <f>DATE(2022,3,7)</f>
        <v>44627</v>
      </c>
    </row>
    <row r="433" spans="1:7" x14ac:dyDescent="0.35">
      <c r="A433" s="2" t="s">
        <v>1238</v>
      </c>
      <c r="B433" s="2" t="s">
        <v>1239</v>
      </c>
      <c r="C433" s="2" t="s">
        <v>1240</v>
      </c>
      <c r="D433" t="s">
        <v>6112</v>
      </c>
      <c r="E433" t="s">
        <v>7749</v>
      </c>
      <c r="F433" t="s">
        <v>0</v>
      </c>
      <c r="G433" s="1">
        <f>DATE(2021,12,10)</f>
        <v>44540</v>
      </c>
    </row>
    <row r="434" spans="1:7" x14ac:dyDescent="0.35">
      <c r="A434" s="2" t="s">
        <v>1241</v>
      </c>
      <c r="B434" s="2" t="s">
        <v>1242</v>
      </c>
      <c r="C434" s="2" t="s">
        <v>1243</v>
      </c>
      <c r="D434" t="s">
        <v>6113</v>
      </c>
      <c r="E434" t="s">
        <v>7750</v>
      </c>
      <c r="F434" t="s">
        <v>0</v>
      </c>
      <c r="G434" s="1">
        <f>DATE(2022,11,15)</f>
        <v>44880</v>
      </c>
    </row>
    <row r="435" spans="1:7" x14ac:dyDescent="0.35">
      <c r="A435" s="2" t="s">
        <v>1244</v>
      </c>
      <c r="B435" s="2" t="s">
        <v>1245</v>
      </c>
      <c r="C435" s="2" t="s">
        <v>1246</v>
      </c>
      <c r="D435" t="s">
        <v>6114</v>
      </c>
      <c r="E435" t="s">
        <v>7751</v>
      </c>
      <c r="F435" t="s">
        <v>0</v>
      </c>
      <c r="G435" s="1">
        <f>DATE(2021,12,10)</f>
        <v>44540</v>
      </c>
    </row>
    <row r="436" spans="1:7" x14ac:dyDescent="0.35">
      <c r="A436" s="2" t="s">
        <v>1247</v>
      </c>
      <c r="B436" s="2" t="s">
        <v>1248</v>
      </c>
      <c r="C436" s="2" t="s">
        <v>1222</v>
      </c>
      <c r="D436" t="s">
        <v>6108</v>
      </c>
      <c r="E436" t="s">
        <v>7745</v>
      </c>
      <c r="F436" t="s">
        <v>0</v>
      </c>
      <c r="G436" s="1">
        <f>DATE(2021,12,10)</f>
        <v>44540</v>
      </c>
    </row>
    <row r="437" spans="1:7" x14ac:dyDescent="0.35">
      <c r="A437" s="2" t="s">
        <v>1249</v>
      </c>
      <c r="B437" s="2" t="s">
        <v>1250</v>
      </c>
      <c r="C437" s="2" t="s">
        <v>1251</v>
      </c>
      <c r="D437" t="s">
        <v>6115</v>
      </c>
      <c r="E437" t="s">
        <v>7752</v>
      </c>
      <c r="F437" t="s">
        <v>0</v>
      </c>
      <c r="G437" s="1">
        <f>DATE(2021,12,10)</f>
        <v>44540</v>
      </c>
    </row>
    <row r="438" spans="1:7" x14ac:dyDescent="0.35">
      <c r="A438" s="2" t="s">
        <v>1252</v>
      </c>
      <c r="B438" s="2" t="s">
        <v>1253</v>
      </c>
      <c r="C438" s="2" t="s">
        <v>1254</v>
      </c>
      <c r="D438" t="s">
        <v>6116</v>
      </c>
      <c r="E438" t="s">
        <v>7753</v>
      </c>
      <c r="F438" t="s">
        <v>0</v>
      </c>
      <c r="G438" s="1">
        <f>DATE(2022,1,26)</f>
        <v>44587</v>
      </c>
    </row>
    <row r="439" spans="1:7" x14ac:dyDescent="0.35">
      <c r="A439" s="2" t="s">
        <v>1255</v>
      </c>
      <c r="B439" s="2" t="s">
        <v>1256</v>
      </c>
      <c r="C439" s="2" t="s">
        <v>1257</v>
      </c>
      <c r="D439" t="s">
        <v>6117</v>
      </c>
      <c r="E439" t="s">
        <v>7754</v>
      </c>
      <c r="F439" t="s">
        <v>0</v>
      </c>
      <c r="G439" s="1">
        <f>DATE(2023,6,16)</f>
        <v>45093</v>
      </c>
    </row>
    <row r="440" spans="1:7" x14ac:dyDescent="0.35">
      <c r="A440" s="2" t="s">
        <v>1258</v>
      </c>
      <c r="B440" s="2" t="s">
        <v>1259</v>
      </c>
      <c r="C440" s="2" t="s">
        <v>1260</v>
      </c>
      <c r="D440" t="s">
        <v>6118</v>
      </c>
      <c r="E440" t="s">
        <v>7755</v>
      </c>
      <c r="F440" t="s">
        <v>0</v>
      </c>
      <c r="G440" s="1">
        <f>DATE(2021,12,3)</f>
        <v>44533</v>
      </c>
    </row>
    <row r="441" spans="1:7" x14ac:dyDescent="0.35">
      <c r="A441" s="2" t="s">
        <v>1261</v>
      </c>
      <c r="B441" s="2" t="s">
        <v>1262</v>
      </c>
      <c r="C441" s="2" t="s">
        <v>1263</v>
      </c>
      <c r="D441" t="s">
        <v>6119</v>
      </c>
      <c r="E441" t="s">
        <v>7756</v>
      </c>
      <c r="F441" t="s">
        <v>0</v>
      </c>
      <c r="G441" s="1">
        <f>DATE(2022,1,19)</f>
        <v>44580</v>
      </c>
    </row>
    <row r="442" spans="1:7" x14ac:dyDescent="0.35">
      <c r="A442" s="2" t="s">
        <v>1264</v>
      </c>
      <c r="B442" s="2" t="s">
        <v>1265</v>
      </c>
      <c r="C442" s="2" t="s">
        <v>1266</v>
      </c>
      <c r="D442" t="s">
        <v>6120</v>
      </c>
      <c r="E442" t="s">
        <v>7757</v>
      </c>
      <c r="F442" t="s">
        <v>0</v>
      </c>
      <c r="G442" s="1">
        <f>DATE(2022,1,19)</f>
        <v>44580</v>
      </c>
    </row>
    <row r="443" spans="1:7" x14ac:dyDescent="0.35">
      <c r="A443" s="2" t="s">
        <v>1267</v>
      </c>
      <c r="B443" s="2" t="s">
        <v>1268</v>
      </c>
      <c r="C443" s="2" t="s">
        <v>1269</v>
      </c>
      <c r="D443" t="s">
        <v>6121</v>
      </c>
      <c r="E443" t="s">
        <v>7758</v>
      </c>
      <c r="F443" t="s">
        <v>0</v>
      </c>
      <c r="G443" s="1">
        <f>DATE(2022,1,19)</f>
        <v>44580</v>
      </c>
    </row>
    <row r="444" spans="1:7" x14ac:dyDescent="0.35">
      <c r="A444" s="2" t="s">
        <v>1270</v>
      </c>
      <c r="B444" s="2" t="s">
        <v>1271</v>
      </c>
      <c r="C444" s="2" t="s">
        <v>1272</v>
      </c>
      <c r="D444" t="s">
        <v>6122</v>
      </c>
      <c r="E444" t="s">
        <v>7759</v>
      </c>
      <c r="F444" t="s">
        <v>0</v>
      </c>
      <c r="G444" s="1">
        <f>DATE(2021,12,10)</f>
        <v>44540</v>
      </c>
    </row>
    <row r="445" spans="1:7" x14ac:dyDescent="0.35">
      <c r="A445" s="2" t="s">
        <v>1273</v>
      </c>
      <c r="B445" s="2" t="s">
        <v>1274</v>
      </c>
      <c r="C445" s="2" t="s">
        <v>1275</v>
      </c>
      <c r="D445" t="s">
        <v>6123</v>
      </c>
      <c r="E445" t="s">
        <v>7760</v>
      </c>
      <c r="F445" t="s">
        <v>0</v>
      </c>
      <c r="G445" s="1">
        <f>DATE(2022,5,30)</f>
        <v>44711</v>
      </c>
    </row>
    <row r="446" spans="1:7" x14ac:dyDescent="0.35">
      <c r="A446" s="2" t="s">
        <v>1276</v>
      </c>
      <c r="B446" s="2" t="s">
        <v>1277</v>
      </c>
      <c r="C446" s="2" t="s">
        <v>1278</v>
      </c>
      <c r="D446" t="s">
        <v>6124</v>
      </c>
      <c r="E446" t="s">
        <v>7761</v>
      </c>
      <c r="F446" t="s">
        <v>0</v>
      </c>
      <c r="G446" s="1">
        <f>DATE(2022,1,19)</f>
        <v>44580</v>
      </c>
    </row>
    <row r="447" spans="1:7" x14ac:dyDescent="0.35">
      <c r="A447" s="2" t="s">
        <v>1279</v>
      </c>
      <c r="B447" s="2" t="s">
        <v>1280</v>
      </c>
      <c r="C447" s="2" t="s">
        <v>1281</v>
      </c>
      <c r="D447" t="s">
        <v>6125</v>
      </c>
      <c r="E447" t="s">
        <v>7762</v>
      </c>
      <c r="F447" t="s">
        <v>0</v>
      </c>
      <c r="G447" s="1">
        <f>DATE(2023,7,5)</f>
        <v>45112</v>
      </c>
    </row>
    <row r="448" spans="1:7" x14ac:dyDescent="0.35">
      <c r="A448" s="2" t="s">
        <v>1282</v>
      </c>
      <c r="B448" s="2" t="s">
        <v>1283</v>
      </c>
      <c r="C448" s="2" t="s">
        <v>1284</v>
      </c>
      <c r="D448" t="s">
        <v>6126</v>
      </c>
      <c r="E448" t="s">
        <v>7763</v>
      </c>
      <c r="F448" t="s">
        <v>0</v>
      </c>
      <c r="G448" s="1">
        <f>DATE(2021,12,7)</f>
        <v>44537</v>
      </c>
    </row>
    <row r="449" spans="1:7" x14ac:dyDescent="0.35">
      <c r="A449" s="2" t="s">
        <v>1285</v>
      </c>
      <c r="B449" s="2" t="s">
        <v>1286</v>
      </c>
      <c r="D449" t="s">
        <v>5756</v>
      </c>
      <c r="E449" t="e">
        <v>#VALUE!</v>
      </c>
      <c r="F449" t="s">
        <v>0</v>
      </c>
      <c r="G449" s="1">
        <f>DATE(2022,1,6)</f>
        <v>44567</v>
      </c>
    </row>
    <row r="450" spans="1:7" x14ac:dyDescent="0.35">
      <c r="A450" s="2" t="s">
        <v>1287</v>
      </c>
      <c r="B450" s="2" t="s">
        <v>1288</v>
      </c>
      <c r="C450" s="2" t="s">
        <v>1289</v>
      </c>
      <c r="D450" t="s">
        <v>6127</v>
      </c>
      <c r="E450" t="s">
        <v>7764</v>
      </c>
      <c r="F450" t="s">
        <v>0</v>
      </c>
      <c r="G450" s="1">
        <f>DATE(2021,12,8)</f>
        <v>44538</v>
      </c>
    </row>
    <row r="451" spans="1:7" x14ac:dyDescent="0.35">
      <c r="A451" s="2" t="s">
        <v>1290</v>
      </c>
      <c r="B451" s="2" t="s">
        <v>1291</v>
      </c>
      <c r="C451" s="2" t="s">
        <v>1292</v>
      </c>
      <c r="D451" t="s">
        <v>6128</v>
      </c>
      <c r="E451" t="s">
        <v>7765</v>
      </c>
      <c r="F451" t="s">
        <v>0</v>
      </c>
      <c r="G451" s="1">
        <f>DATE(2021,12,10)</f>
        <v>44540</v>
      </c>
    </row>
    <row r="452" spans="1:7" x14ac:dyDescent="0.35">
      <c r="A452" s="2" t="s">
        <v>1293</v>
      </c>
      <c r="B452" s="2" t="s">
        <v>1294</v>
      </c>
      <c r="C452" s="2" t="s">
        <v>1295</v>
      </c>
      <c r="D452" t="s">
        <v>6129</v>
      </c>
      <c r="E452" t="s">
        <v>7766</v>
      </c>
      <c r="F452" t="s">
        <v>0</v>
      </c>
      <c r="G452" s="1">
        <f>DATE(2023,11,29)</f>
        <v>45259</v>
      </c>
    </row>
    <row r="453" spans="1:7" x14ac:dyDescent="0.35">
      <c r="A453" s="2" t="s">
        <v>1296</v>
      </c>
      <c r="B453" s="2" t="s">
        <v>1297</v>
      </c>
      <c r="C453" s="2" t="s">
        <v>1298</v>
      </c>
      <c r="D453" t="s">
        <v>6130</v>
      </c>
      <c r="E453" t="s">
        <v>7767</v>
      </c>
      <c r="F453" t="s">
        <v>0</v>
      </c>
      <c r="G453" s="1">
        <f>DATE(2023,12,12)</f>
        <v>45272</v>
      </c>
    </row>
    <row r="454" spans="1:7" x14ac:dyDescent="0.35">
      <c r="A454" s="2" t="s">
        <v>1299</v>
      </c>
      <c r="B454" s="2" t="s">
        <v>1300</v>
      </c>
      <c r="C454" s="2" t="s">
        <v>1301</v>
      </c>
      <c r="D454" t="s">
        <v>6131</v>
      </c>
      <c r="E454" t="s">
        <v>7768</v>
      </c>
      <c r="F454" t="s">
        <v>0</v>
      </c>
      <c r="G454" s="1">
        <f>DATE(2021,12,22)</f>
        <v>44552</v>
      </c>
    </row>
    <row r="455" spans="1:7" x14ac:dyDescent="0.35">
      <c r="A455" s="2" t="s">
        <v>1302</v>
      </c>
      <c r="B455" s="2" t="s">
        <v>1303</v>
      </c>
      <c r="C455" s="2" t="s">
        <v>1304</v>
      </c>
      <c r="D455" t="s">
        <v>6132</v>
      </c>
      <c r="E455" t="s">
        <v>7769</v>
      </c>
      <c r="F455" t="s">
        <v>0</v>
      </c>
      <c r="G455" s="1">
        <f>DATE(2023,9,7)</f>
        <v>45176</v>
      </c>
    </row>
    <row r="456" spans="1:7" x14ac:dyDescent="0.35">
      <c r="A456" s="2" t="s">
        <v>1305</v>
      </c>
      <c r="B456" s="2" t="s">
        <v>1306</v>
      </c>
      <c r="C456" s="2" t="s">
        <v>1307</v>
      </c>
      <c r="D456" t="s">
        <v>6133</v>
      </c>
      <c r="E456" t="s">
        <v>7770</v>
      </c>
      <c r="F456" t="s">
        <v>0</v>
      </c>
      <c r="G456" s="1">
        <f>DATE(2022,2,16)</f>
        <v>44608</v>
      </c>
    </row>
    <row r="457" spans="1:7" x14ac:dyDescent="0.35">
      <c r="A457" s="2" t="s">
        <v>1308</v>
      </c>
      <c r="B457" s="2" t="s">
        <v>1309</v>
      </c>
      <c r="C457" s="2" t="s">
        <v>1310</v>
      </c>
      <c r="D457" t="s">
        <v>6134</v>
      </c>
      <c r="E457" t="s">
        <v>7771</v>
      </c>
      <c r="F457" t="s">
        <v>0</v>
      </c>
      <c r="G457" s="1">
        <f>DATE(2023,6,16)</f>
        <v>45093</v>
      </c>
    </row>
    <row r="458" spans="1:7" x14ac:dyDescent="0.35">
      <c r="A458" s="2" t="s">
        <v>1311</v>
      </c>
      <c r="B458" s="2" t="s">
        <v>1312</v>
      </c>
      <c r="C458" s="2" t="s">
        <v>1313</v>
      </c>
      <c r="D458" t="s">
        <v>6135</v>
      </c>
      <c r="E458" t="s">
        <v>7772</v>
      </c>
      <c r="F458" t="s">
        <v>0</v>
      </c>
      <c r="G458" s="1">
        <f>DATE(2021,12,17)</f>
        <v>44547</v>
      </c>
    </row>
    <row r="459" spans="1:7" x14ac:dyDescent="0.35">
      <c r="A459" s="2" t="s">
        <v>1314</v>
      </c>
      <c r="B459" s="2" t="s">
        <v>1315</v>
      </c>
      <c r="C459" s="2" t="s">
        <v>1316</v>
      </c>
      <c r="D459" t="s">
        <v>6136</v>
      </c>
      <c r="E459" t="s">
        <v>7773</v>
      </c>
      <c r="F459" t="s">
        <v>0</v>
      </c>
      <c r="G459" s="1">
        <f>DATE(2022,6,2)</f>
        <v>44714</v>
      </c>
    </row>
    <row r="460" spans="1:7" x14ac:dyDescent="0.35">
      <c r="A460" s="2" t="s">
        <v>1317</v>
      </c>
      <c r="B460" s="2" t="s">
        <v>1318</v>
      </c>
      <c r="C460" s="2" t="s">
        <v>1319</v>
      </c>
      <c r="D460" t="s">
        <v>6137</v>
      </c>
      <c r="E460" t="s">
        <v>7774</v>
      </c>
      <c r="F460" t="s">
        <v>0</v>
      </c>
      <c r="G460" s="1">
        <f>DATE(2021,12,17)</f>
        <v>44547</v>
      </c>
    </row>
    <row r="461" spans="1:7" x14ac:dyDescent="0.35">
      <c r="A461" s="2" t="s">
        <v>1320</v>
      </c>
      <c r="B461" s="2" t="s">
        <v>1321</v>
      </c>
      <c r="C461" s="2" t="s">
        <v>1322</v>
      </c>
      <c r="D461" t="s">
        <v>6138</v>
      </c>
      <c r="E461" t="s">
        <v>7775</v>
      </c>
      <c r="F461" t="s">
        <v>0</v>
      </c>
      <c r="G461" s="1">
        <f>DATE(2021,12,22)</f>
        <v>44552</v>
      </c>
    </row>
    <row r="462" spans="1:7" x14ac:dyDescent="0.35">
      <c r="A462" s="2" t="s">
        <v>1323</v>
      </c>
      <c r="B462" s="2" t="s">
        <v>1324</v>
      </c>
      <c r="C462" s="2" t="s">
        <v>1325</v>
      </c>
      <c r="D462" t="s">
        <v>6139</v>
      </c>
      <c r="E462" t="s">
        <v>7776</v>
      </c>
      <c r="F462" t="s">
        <v>0</v>
      </c>
      <c r="G462" s="1">
        <f>DATE(2022,5,12)</f>
        <v>44693</v>
      </c>
    </row>
    <row r="463" spans="1:7" x14ac:dyDescent="0.35">
      <c r="A463" s="2" t="s">
        <v>1326</v>
      </c>
      <c r="B463" s="2" t="s">
        <v>1327</v>
      </c>
      <c r="C463" s="2" t="s">
        <v>1328</v>
      </c>
      <c r="D463" t="s">
        <v>6140</v>
      </c>
      <c r="E463" t="s">
        <v>7777</v>
      </c>
      <c r="F463" t="s">
        <v>0</v>
      </c>
      <c r="G463" s="1">
        <f>DATE(2022,2,11)</f>
        <v>44603</v>
      </c>
    </row>
    <row r="464" spans="1:7" x14ac:dyDescent="0.35">
      <c r="A464" s="2" t="s">
        <v>1329</v>
      </c>
      <c r="B464" s="2" t="s">
        <v>1330</v>
      </c>
      <c r="C464" s="2" t="s">
        <v>1331</v>
      </c>
      <c r="D464" t="s">
        <v>6141</v>
      </c>
      <c r="E464" t="s">
        <v>7778</v>
      </c>
      <c r="F464" t="s">
        <v>0</v>
      </c>
      <c r="G464" s="1">
        <f>DATE(2022,2,11)</f>
        <v>44603</v>
      </c>
    </row>
    <row r="465" spans="1:7" x14ac:dyDescent="0.35">
      <c r="A465" s="2" t="s">
        <v>1332</v>
      </c>
      <c r="B465" s="2" t="s">
        <v>1333</v>
      </c>
      <c r="C465" s="2" t="s">
        <v>608</v>
      </c>
      <c r="D465" t="s">
        <v>5930</v>
      </c>
      <c r="E465" t="s">
        <v>7566</v>
      </c>
      <c r="F465" t="s">
        <v>0</v>
      </c>
      <c r="G465" s="1">
        <f>DATE(2021,12,30)</f>
        <v>44560</v>
      </c>
    </row>
    <row r="466" spans="1:7" x14ac:dyDescent="0.35">
      <c r="A466" s="2" t="s">
        <v>1334</v>
      </c>
      <c r="B466" s="2" t="s">
        <v>1335</v>
      </c>
      <c r="C466" s="2" t="s">
        <v>608</v>
      </c>
      <c r="D466" t="s">
        <v>5930</v>
      </c>
      <c r="E466" t="s">
        <v>7566</v>
      </c>
      <c r="F466" t="s">
        <v>0</v>
      </c>
      <c r="G466" s="1">
        <f>DATE(2022,3,1)</f>
        <v>44621</v>
      </c>
    </row>
    <row r="467" spans="1:7" x14ac:dyDescent="0.35">
      <c r="A467" s="2" t="s">
        <v>1336</v>
      </c>
      <c r="B467" s="2" t="s">
        <v>1337</v>
      </c>
      <c r="D467" t="s">
        <v>5756</v>
      </c>
      <c r="E467" t="e">
        <v>#VALUE!</v>
      </c>
      <c r="F467" t="s">
        <v>0</v>
      </c>
      <c r="G467" s="1">
        <f>DATE(2022,2,2)</f>
        <v>44594</v>
      </c>
    </row>
    <row r="468" spans="1:7" x14ac:dyDescent="0.35">
      <c r="A468" s="2" t="s">
        <v>1338</v>
      </c>
      <c r="B468" s="2" t="s">
        <v>1339</v>
      </c>
      <c r="C468" s="2" t="s">
        <v>1340</v>
      </c>
      <c r="D468" t="s">
        <v>6142</v>
      </c>
      <c r="E468" t="s">
        <v>7779</v>
      </c>
      <c r="F468" t="s">
        <v>0</v>
      </c>
      <c r="G468" s="1">
        <f>DATE(2022,1,5)</f>
        <v>44566</v>
      </c>
    </row>
    <row r="469" spans="1:7" x14ac:dyDescent="0.35">
      <c r="A469" s="2" t="s">
        <v>1341</v>
      </c>
      <c r="B469" s="2" t="s">
        <v>1342</v>
      </c>
      <c r="D469" t="s">
        <v>5756</v>
      </c>
      <c r="E469" t="e">
        <v>#VALUE!</v>
      </c>
      <c r="F469" t="s">
        <v>0</v>
      </c>
      <c r="G469" s="1">
        <f>DATE(2022,1,5)</f>
        <v>44566</v>
      </c>
    </row>
    <row r="470" spans="1:7" x14ac:dyDescent="0.35">
      <c r="A470" s="2" t="s">
        <v>1343</v>
      </c>
      <c r="B470" s="2" t="s">
        <v>1344</v>
      </c>
      <c r="D470" t="s">
        <v>5756</v>
      </c>
      <c r="E470" t="e">
        <v>#VALUE!</v>
      </c>
      <c r="F470" t="s">
        <v>0</v>
      </c>
      <c r="G470" s="1">
        <f>DATE(2022,1,6)</f>
        <v>44567</v>
      </c>
    </row>
    <row r="471" spans="1:7" x14ac:dyDescent="0.35">
      <c r="A471" s="2" t="s">
        <v>1345</v>
      </c>
      <c r="B471" s="2" t="s">
        <v>1346</v>
      </c>
      <c r="C471" s="2" t="s">
        <v>1347</v>
      </c>
      <c r="D471" t="s">
        <v>6143</v>
      </c>
      <c r="E471" t="s">
        <v>7780</v>
      </c>
      <c r="F471" t="s">
        <v>0</v>
      </c>
      <c r="G471" s="1">
        <f>DATE(2022,1,12)</f>
        <v>44573</v>
      </c>
    </row>
    <row r="472" spans="1:7" x14ac:dyDescent="0.35">
      <c r="A472" s="2" t="s">
        <v>1348</v>
      </c>
      <c r="B472" s="2" t="s">
        <v>1349</v>
      </c>
      <c r="D472" t="s">
        <v>5756</v>
      </c>
      <c r="E472" t="e">
        <v>#VALUE!</v>
      </c>
      <c r="F472" t="s">
        <v>0</v>
      </c>
      <c r="G472" s="1">
        <f>DATE(2022,1,24)</f>
        <v>44585</v>
      </c>
    </row>
    <row r="473" spans="1:7" x14ac:dyDescent="0.35">
      <c r="A473" s="2" t="s">
        <v>1350</v>
      </c>
      <c r="B473" s="2" t="s">
        <v>1351</v>
      </c>
      <c r="C473" s="2" t="s">
        <v>1352</v>
      </c>
      <c r="D473" t="s">
        <v>6144</v>
      </c>
      <c r="E473" t="s">
        <v>7781</v>
      </c>
      <c r="F473" t="s">
        <v>0</v>
      </c>
      <c r="G473" s="1">
        <f>DATE(2022,1,21)</f>
        <v>44582</v>
      </c>
    </row>
    <row r="474" spans="1:7" x14ac:dyDescent="0.35">
      <c r="A474" s="2" t="s">
        <v>1353</v>
      </c>
      <c r="B474" s="2" t="s">
        <v>1354</v>
      </c>
      <c r="C474" s="2" t="s">
        <v>1355</v>
      </c>
      <c r="D474" t="s">
        <v>6145</v>
      </c>
      <c r="E474" t="s">
        <v>7782</v>
      </c>
      <c r="F474" t="s">
        <v>0</v>
      </c>
      <c r="G474" s="1">
        <f>DATE(2022,1,14)</f>
        <v>44575</v>
      </c>
    </row>
    <row r="475" spans="1:7" x14ac:dyDescent="0.35">
      <c r="A475" s="2" t="s">
        <v>1356</v>
      </c>
      <c r="B475" s="2" t="s">
        <v>1357</v>
      </c>
      <c r="C475" s="2" t="s">
        <v>1358</v>
      </c>
      <c r="D475" t="s">
        <v>6146</v>
      </c>
      <c r="E475" t="s">
        <v>7783</v>
      </c>
      <c r="F475" t="s">
        <v>0</v>
      </c>
      <c r="G475" s="1">
        <f>DATE(2022,1,12)</f>
        <v>44573</v>
      </c>
    </row>
    <row r="476" spans="1:7" x14ac:dyDescent="0.35">
      <c r="A476" s="2" t="s">
        <v>1359</v>
      </c>
      <c r="B476" s="2" t="s">
        <v>1360</v>
      </c>
      <c r="C476" s="2" t="s">
        <v>1361</v>
      </c>
      <c r="D476" t="s">
        <v>6147</v>
      </c>
      <c r="E476" t="s">
        <v>7784</v>
      </c>
      <c r="F476" t="s">
        <v>0</v>
      </c>
      <c r="G476" s="1">
        <f>DATE(2022,6,7)</f>
        <v>44719</v>
      </c>
    </row>
    <row r="477" spans="1:7" x14ac:dyDescent="0.35">
      <c r="A477" s="2" t="s">
        <v>1362</v>
      </c>
      <c r="B477" s="2" t="s">
        <v>1363</v>
      </c>
      <c r="C477" s="2" t="s">
        <v>1364</v>
      </c>
      <c r="D477" t="s">
        <v>6148</v>
      </c>
      <c r="E477" t="s">
        <v>7785</v>
      </c>
      <c r="F477" t="s">
        <v>0</v>
      </c>
      <c r="G477" s="1">
        <f>DATE(2022,4,13)</f>
        <v>44664</v>
      </c>
    </row>
    <row r="478" spans="1:7" x14ac:dyDescent="0.35">
      <c r="A478" s="2" t="s">
        <v>1365</v>
      </c>
      <c r="B478" s="2" t="s">
        <v>1366</v>
      </c>
      <c r="C478" s="2" t="s">
        <v>1367</v>
      </c>
      <c r="D478" t="s">
        <v>6149</v>
      </c>
      <c r="E478" t="s">
        <v>7786</v>
      </c>
      <c r="F478" t="s">
        <v>0</v>
      </c>
      <c r="G478" s="1">
        <f>DATE(2022,4,15)</f>
        <v>44666</v>
      </c>
    </row>
    <row r="479" spans="1:7" x14ac:dyDescent="0.35">
      <c r="A479" s="2" t="s">
        <v>1368</v>
      </c>
      <c r="B479" s="2" t="s">
        <v>1369</v>
      </c>
      <c r="C479" s="2" t="s">
        <v>1370</v>
      </c>
      <c r="D479" t="s">
        <v>6150</v>
      </c>
      <c r="E479" t="s">
        <v>7787</v>
      </c>
      <c r="F479" t="s">
        <v>0</v>
      </c>
      <c r="G479" s="1">
        <f>DATE(2022,1,28)</f>
        <v>44589</v>
      </c>
    </row>
    <row r="480" spans="1:7" x14ac:dyDescent="0.35">
      <c r="A480" s="2" t="s">
        <v>1371</v>
      </c>
      <c r="B480" s="2" t="s">
        <v>1372</v>
      </c>
      <c r="C480" s="2" t="s">
        <v>1373</v>
      </c>
      <c r="D480" t="s">
        <v>6151</v>
      </c>
      <c r="E480" t="s">
        <v>7788</v>
      </c>
      <c r="F480" t="s">
        <v>0</v>
      </c>
      <c r="G480" s="1">
        <f>DATE(2022,3,21)</f>
        <v>44641</v>
      </c>
    </row>
    <row r="481" spans="1:7" x14ac:dyDescent="0.35">
      <c r="A481" s="2" t="s">
        <v>1374</v>
      </c>
      <c r="B481" s="2" t="s">
        <v>1375</v>
      </c>
      <c r="C481" s="2" t="s">
        <v>1376</v>
      </c>
      <c r="D481" t="s">
        <v>6152</v>
      </c>
      <c r="E481" t="s">
        <v>7789</v>
      </c>
      <c r="F481" t="s">
        <v>0</v>
      </c>
      <c r="G481" s="1">
        <f>DATE(2022,3,18)</f>
        <v>44638</v>
      </c>
    </row>
    <row r="482" spans="1:7" x14ac:dyDescent="0.35">
      <c r="A482" s="2" t="s">
        <v>1377</v>
      </c>
      <c r="B482" s="2" t="s">
        <v>1378</v>
      </c>
      <c r="C482" s="2" t="s">
        <v>1379</v>
      </c>
      <c r="D482" t="s">
        <v>6153</v>
      </c>
      <c r="E482" t="s">
        <v>7790</v>
      </c>
      <c r="F482" t="s">
        <v>0</v>
      </c>
      <c r="G482" s="1">
        <f>DATE(2022,2,7)</f>
        <v>44599</v>
      </c>
    </row>
    <row r="483" spans="1:7" x14ac:dyDescent="0.35">
      <c r="A483" s="2" t="s">
        <v>1380</v>
      </c>
      <c r="B483" s="2" t="s">
        <v>1381</v>
      </c>
      <c r="C483" s="2" t="s">
        <v>1382</v>
      </c>
      <c r="D483" t="s">
        <v>6154</v>
      </c>
      <c r="E483" t="s">
        <v>7791</v>
      </c>
      <c r="F483" t="s">
        <v>0</v>
      </c>
      <c r="G483" s="1">
        <f>DATE(2022,2,7)</f>
        <v>44599</v>
      </c>
    </row>
    <row r="484" spans="1:7" x14ac:dyDescent="0.35">
      <c r="A484" s="2" t="s">
        <v>1383</v>
      </c>
      <c r="B484" s="2" t="s">
        <v>1384</v>
      </c>
      <c r="C484" s="2" t="s">
        <v>1385</v>
      </c>
      <c r="D484" t="s">
        <v>6155</v>
      </c>
      <c r="E484" t="s">
        <v>7792</v>
      </c>
      <c r="F484" t="s">
        <v>0</v>
      </c>
      <c r="G484" s="1">
        <f>DATE(2022,2,7)</f>
        <v>44599</v>
      </c>
    </row>
    <row r="485" spans="1:7" x14ac:dyDescent="0.35">
      <c r="A485" s="2" t="s">
        <v>1386</v>
      </c>
      <c r="B485" s="2" t="s">
        <v>1387</v>
      </c>
      <c r="C485" s="2" t="s">
        <v>1388</v>
      </c>
      <c r="D485" t="s">
        <v>6156</v>
      </c>
      <c r="E485" t="s">
        <v>7793</v>
      </c>
      <c r="F485" t="s">
        <v>0</v>
      </c>
      <c r="G485" s="1">
        <f>DATE(2022,2,4)</f>
        <v>44596</v>
      </c>
    </row>
    <row r="486" spans="1:7" x14ac:dyDescent="0.35">
      <c r="A486" s="2" t="s">
        <v>1389</v>
      </c>
      <c r="B486" s="2" t="s">
        <v>1390</v>
      </c>
      <c r="C486" s="2" t="s">
        <v>1391</v>
      </c>
      <c r="D486" t="s">
        <v>6157</v>
      </c>
      <c r="E486" t="s">
        <v>7794</v>
      </c>
      <c r="F486" t="s">
        <v>0</v>
      </c>
      <c r="G486" s="1">
        <f>DATE(2023,3,17)</f>
        <v>45002</v>
      </c>
    </row>
    <row r="487" spans="1:7" x14ac:dyDescent="0.35">
      <c r="A487" s="2" t="s">
        <v>1392</v>
      </c>
      <c r="B487" s="2" t="s">
        <v>1393</v>
      </c>
      <c r="C487" s="2" t="s">
        <v>1394</v>
      </c>
      <c r="D487" t="s">
        <v>6158</v>
      </c>
      <c r="E487" t="s">
        <v>7795</v>
      </c>
      <c r="F487" t="s">
        <v>0</v>
      </c>
      <c r="G487" s="1">
        <f>DATE(2022,2,7)</f>
        <v>44599</v>
      </c>
    </row>
    <row r="488" spans="1:7" x14ac:dyDescent="0.35">
      <c r="A488" s="2" t="s">
        <v>1395</v>
      </c>
      <c r="B488" s="2" t="s">
        <v>1396</v>
      </c>
      <c r="C488" s="2" t="s">
        <v>1397</v>
      </c>
      <c r="D488" t="s">
        <v>6159</v>
      </c>
      <c r="E488" t="s">
        <v>7796</v>
      </c>
      <c r="F488" t="s">
        <v>0</v>
      </c>
      <c r="G488" s="1">
        <f>DATE(2023,9,25)</f>
        <v>45194</v>
      </c>
    </row>
    <row r="489" spans="1:7" x14ac:dyDescent="0.35">
      <c r="A489" s="2" t="s">
        <v>1398</v>
      </c>
      <c r="B489" s="2" t="s">
        <v>1399</v>
      </c>
      <c r="C489" s="2" t="s">
        <v>1400</v>
      </c>
      <c r="D489" t="s">
        <v>6160</v>
      </c>
      <c r="E489" t="s">
        <v>7797</v>
      </c>
      <c r="F489" t="s">
        <v>0</v>
      </c>
      <c r="G489" s="1">
        <f>DATE(2023,12,26)</f>
        <v>45286</v>
      </c>
    </row>
    <row r="490" spans="1:7" x14ac:dyDescent="0.35">
      <c r="A490" s="2" t="s">
        <v>1401</v>
      </c>
      <c r="B490" s="2" t="s">
        <v>1402</v>
      </c>
      <c r="C490" s="2" t="s">
        <v>1403</v>
      </c>
      <c r="D490" t="s">
        <v>6161</v>
      </c>
      <c r="E490" t="s">
        <v>7798</v>
      </c>
      <c r="F490" t="s">
        <v>0</v>
      </c>
      <c r="G490" s="1">
        <f>DATE(2023,7,5)</f>
        <v>45112</v>
      </c>
    </row>
    <row r="491" spans="1:7" x14ac:dyDescent="0.35">
      <c r="A491" s="2" t="s">
        <v>1404</v>
      </c>
      <c r="B491" s="2" t="s">
        <v>1405</v>
      </c>
      <c r="C491" s="2" t="s">
        <v>1406</v>
      </c>
      <c r="D491" t="s">
        <v>6162</v>
      </c>
      <c r="E491" t="s">
        <v>7799</v>
      </c>
      <c r="F491" t="s">
        <v>0</v>
      </c>
      <c r="G491" s="1">
        <f>DATE(2022,2,4)</f>
        <v>44596</v>
      </c>
    </row>
    <row r="492" spans="1:7" x14ac:dyDescent="0.35">
      <c r="A492" s="2" t="s">
        <v>1407</v>
      </c>
      <c r="B492" s="2" t="s">
        <v>1408</v>
      </c>
      <c r="C492" s="2" t="s">
        <v>1409</v>
      </c>
      <c r="D492" t="s">
        <v>6163</v>
      </c>
      <c r="E492" t="s">
        <v>7800</v>
      </c>
      <c r="F492" t="s">
        <v>0</v>
      </c>
      <c r="G492" s="1">
        <f>DATE(2022,2,4)</f>
        <v>44596</v>
      </c>
    </row>
    <row r="493" spans="1:7" x14ac:dyDescent="0.35">
      <c r="A493" s="2" t="s">
        <v>1410</v>
      </c>
      <c r="B493" s="2" t="s">
        <v>1411</v>
      </c>
      <c r="C493" s="2" t="s">
        <v>1412</v>
      </c>
      <c r="D493" t="s">
        <v>6164</v>
      </c>
      <c r="E493" t="s">
        <v>7801</v>
      </c>
      <c r="F493" t="s">
        <v>0</v>
      </c>
      <c r="G493" s="1">
        <f>DATE(2022,2,7)</f>
        <v>44599</v>
      </c>
    </row>
    <row r="494" spans="1:7" x14ac:dyDescent="0.35">
      <c r="A494" s="2" t="s">
        <v>1413</v>
      </c>
      <c r="B494" s="2" t="s">
        <v>1414</v>
      </c>
      <c r="C494" s="2" t="s">
        <v>1415</v>
      </c>
      <c r="D494" t="s">
        <v>6165</v>
      </c>
      <c r="E494" t="s">
        <v>7802</v>
      </c>
      <c r="F494" t="s">
        <v>0</v>
      </c>
      <c r="G494" s="1">
        <f>DATE(2022,2,7)</f>
        <v>44599</v>
      </c>
    </row>
    <row r="495" spans="1:7" x14ac:dyDescent="0.35">
      <c r="A495" s="2" t="s">
        <v>1416</v>
      </c>
      <c r="B495" s="2" t="s">
        <v>1417</v>
      </c>
      <c r="C495" s="2" t="s">
        <v>1418</v>
      </c>
      <c r="D495" t="s">
        <v>6166</v>
      </c>
      <c r="E495" t="s">
        <v>7803</v>
      </c>
      <c r="F495" t="s">
        <v>0</v>
      </c>
      <c r="G495" s="1">
        <f>DATE(2022,2,7)</f>
        <v>44599</v>
      </c>
    </row>
    <row r="496" spans="1:7" x14ac:dyDescent="0.35">
      <c r="A496" s="2" t="s">
        <v>1419</v>
      </c>
      <c r="B496" s="2" t="s">
        <v>1420</v>
      </c>
      <c r="C496" s="2" t="s">
        <v>1421</v>
      </c>
      <c r="D496" t="s">
        <v>6167</v>
      </c>
      <c r="E496" t="s">
        <v>7804</v>
      </c>
      <c r="F496" t="s">
        <v>0</v>
      </c>
      <c r="G496" s="1">
        <f>DATE(2022,2,7)</f>
        <v>44599</v>
      </c>
    </row>
    <row r="497" spans="1:7" x14ac:dyDescent="0.35">
      <c r="A497" s="2" t="s">
        <v>1422</v>
      </c>
      <c r="B497" s="2" t="s">
        <v>1423</v>
      </c>
      <c r="C497" s="2" t="s">
        <v>1424</v>
      </c>
      <c r="D497" t="s">
        <v>6168</v>
      </c>
      <c r="E497" t="s">
        <v>7805</v>
      </c>
      <c r="F497" t="s">
        <v>0</v>
      </c>
      <c r="G497" s="1">
        <f>DATE(2022,3,7)</f>
        <v>44627</v>
      </c>
    </row>
    <row r="498" spans="1:7" x14ac:dyDescent="0.35">
      <c r="A498" s="2" t="s">
        <v>1425</v>
      </c>
      <c r="B498" s="2" t="s">
        <v>1426</v>
      </c>
      <c r="C498" s="2" t="s">
        <v>1427</v>
      </c>
      <c r="D498" t="s">
        <v>6169</v>
      </c>
      <c r="E498" t="s">
        <v>7806</v>
      </c>
      <c r="F498" t="s">
        <v>0</v>
      </c>
      <c r="G498" s="1">
        <f>DATE(2023,6,26)</f>
        <v>45103</v>
      </c>
    </row>
    <row r="499" spans="1:7" x14ac:dyDescent="0.35">
      <c r="A499" s="2" t="s">
        <v>1428</v>
      </c>
      <c r="B499" s="2" t="s">
        <v>1429</v>
      </c>
      <c r="C499" s="2" t="s">
        <v>1430</v>
      </c>
      <c r="D499" t="s">
        <v>6170</v>
      </c>
      <c r="E499" t="s">
        <v>7807</v>
      </c>
      <c r="F499" t="s">
        <v>0</v>
      </c>
      <c r="G499" s="1">
        <f>DATE(2022,2,7)</f>
        <v>44599</v>
      </c>
    </row>
    <row r="500" spans="1:7" x14ac:dyDescent="0.35">
      <c r="A500" s="2" t="s">
        <v>1431</v>
      </c>
      <c r="B500" s="2" t="s">
        <v>1432</v>
      </c>
      <c r="D500" t="s">
        <v>5756</v>
      </c>
      <c r="E500" t="e">
        <v>#VALUE!</v>
      </c>
      <c r="F500" t="s">
        <v>0</v>
      </c>
      <c r="G500" s="1">
        <f>DATE(2023,3,31)</f>
        <v>45016</v>
      </c>
    </row>
    <row r="501" spans="1:7" x14ac:dyDescent="0.35">
      <c r="A501" s="2" t="s">
        <v>1433</v>
      </c>
      <c r="B501" s="2" t="s">
        <v>1434</v>
      </c>
      <c r="C501" s="2" t="s">
        <v>1435</v>
      </c>
      <c r="D501" t="s">
        <v>6171</v>
      </c>
      <c r="E501" t="s">
        <v>7808</v>
      </c>
      <c r="F501" t="s">
        <v>0</v>
      </c>
      <c r="G501" s="1">
        <f>DATE(2022,2,7)</f>
        <v>44599</v>
      </c>
    </row>
    <row r="502" spans="1:7" x14ac:dyDescent="0.35">
      <c r="A502" s="2" t="s">
        <v>1436</v>
      </c>
      <c r="B502" s="2" t="s">
        <v>1437</v>
      </c>
      <c r="C502" s="2" t="s">
        <v>1438</v>
      </c>
      <c r="D502" t="s">
        <v>6172</v>
      </c>
      <c r="E502" t="s">
        <v>7809</v>
      </c>
      <c r="F502" t="s">
        <v>0</v>
      </c>
      <c r="G502" s="1">
        <f>DATE(2023,9,19)</f>
        <v>45188</v>
      </c>
    </row>
    <row r="503" spans="1:7" x14ac:dyDescent="0.35">
      <c r="A503" s="2" t="s">
        <v>1439</v>
      </c>
      <c r="B503" s="2" t="s">
        <v>1440</v>
      </c>
      <c r="C503" s="2" t="s">
        <v>1441</v>
      </c>
      <c r="D503" t="s">
        <v>6173</v>
      </c>
      <c r="E503" t="s">
        <v>7810</v>
      </c>
      <c r="F503" t="s">
        <v>0</v>
      </c>
      <c r="G503" s="1">
        <f>DATE(2022,2,7)</f>
        <v>44599</v>
      </c>
    </row>
    <row r="504" spans="1:7" x14ac:dyDescent="0.35">
      <c r="A504" s="2" t="s">
        <v>1442</v>
      </c>
      <c r="B504" s="2" t="s">
        <v>1443</v>
      </c>
      <c r="C504" s="2" t="s">
        <v>1444</v>
      </c>
      <c r="D504" t="s">
        <v>6174</v>
      </c>
      <c r="E504" t="s">
        <v>7811</v>
      </c>
      <c r="F504" t="s">
        <v>0</v>
      </c>
      <c r="G504" s="1">
        <f>DATE(2022,2,10)</f>
        <v>44602</v>
      </c>
    </row>
    <row r="505" spans="1:7" x14ac:dyDescent="0.35">
      <c r="A505" s="2" t="s">
        <v>1445</v>
      </c>
      <c r="B505" s="2" t="s">
        <v>1446</v>
      </c>
      <c r="C505" s="2" t="s">
        <v>1447</v>
      </c>
      <c r="D505" t="s">
        <v>6175</v>
      </c>
      <c r="E505" t="s">
        <v>7812</v>
      </c>
      <c r="F505" t="s">
        <v>0</v>
      </c>
      <c r="G505" s="1">
        <f>DATE(2023,3,16)</f>
        <v>45001</v>
      </c>
    </row>
    <row r="506" spans="1:7" x14ac:dyDescent="0.35">
      <c r="A506" s="2" t="s">
        <v>1448</v>
      </c>
      <c r="B506" s="2" t="s">
        <v>1449</v>
      </c>
      <c r="C506" s="2" t="s">
        <v>1450</v>
      </c>
      <c r="D506" t="s">
        <v>6176</v>
      </c>
      <c r="E506" t="s">
        <v>7813</v>
      </c>
      <c r="F506" t="s">
        <v>0</v>
      </c>
      <c r="G506" s="1">
        <f>DATE(2022,2,10)</f>
        <v>44602</v>
      </c>
    </row>
    <row r="507" spans="1:7" x14ac:dyDescent="0.35">
      <c r="A507" s="2" t="s">
        <v>1451</v>
      </c>
      <c r="B507" s="2" t="s">
        <v>1452</v>
      </c>
      <c r="C507" s="2" t="s">
        <v>1453</v>
      </c>
      <c r="D507" t="s">
        <v>6177</v>
      </c>
      <c r="E507" t="s">
        <v>7814</v>
      </c>
      <c r="F507" t="s">
        <v>0</v>
      </c>
      <c r="G507" s="1">
        <f>DATE(2022,2,10)</f>
        <v>44602</v>
      </c>
    </row>
    <row r="508" spans="1:7" x14ac:dyDescent="0.35">
      <c r="A508" s="2" t="s">
        <v>1454</v>
      </c>
      <c r="B508" s="2" t="s">
        <v>1455</v>
      </c>
      <c r="C508" s="2" t="s">
        <v>1456</v>
      </c>
      <c r="D508" t="s">
        <v>6178</v>
      </c>
      <c r="E508" t="s">
        <v>7815</v>
      </c>
      <c r="F508" t="s">
        <v>0</v>
      </c>
      <c r="G508" s="1">
        <f>DATE(2023,11,29)</f>
        <v>45259</v>
      </c>
    </row>
    <row r="509" spans="1:7" x14ac:dyDescent="0.35">
      <c r="A509" s="2" t="s">
        <v>1457</v>
      </c>
      <c r="B509" s="2" t="s">
        <v>1458</v>
      </c>
      <c r="D509" t="s">
        <v>5756</v>
      </c>
      <c r="E509" t="e">
        <v>#VALUE!</v>
      </c>
      <c r="F509" t="s">
        <v>0</v>
      </c>
      <c r="G509" s="1">
        <f>DATE(2022,6,7)</f>
        <v>44719</v>
      </c>
    </row>
    <row r="510" spans="1:7" x14ac:dyDescent="0.35">
      <c r="A510" s="2" t="s">
        <v>1459</v>
      </c>
      <c r="B510" s="2" t="s">
        <v>1460</v>
      </c>
      <c r="C510" s="2" t="s">
        <v>1461</v>
      </c>
      <c r="D510" t="s">
        <v>6179</v>
      </c>
      <c r="E510" t="s">
        <v>7816</v>
      </c>
      <c r="F510" t="s">
        <v>0</v>
      </c>
      <c r="G510" s="1">
        <f>DATE(2022,2,10)</f>
        <v>44602</v>
      </c>
    </row>
    <row r="511" spans="1:7" x14ac:dyDescent="0.35">
      <c r="A511" s="2" t="s">
        <v>1462</v>
      </c>
      <c r="B511" s="2" t="s">
        <v>1463</v>
      </c>
      <c r="C511" s="2" t="s">
        <v>1464</v>
      </c>
      <c r="D511" t="s">
        <v>6180</v>
      </c>
      <c r="E511" t="s">
        <v>7817</v>
      </c>
      <c r="F511" t="s">
        <v>0</v>
      </c>
      <c r="G511" s="1">
        <f>DATE(2022,2,10)</f>
        <v>44602</v>
      </c>
    </row>
    <row r="512" spans="1:7" x14ac:dyDescent="0.35">
      <c r="A512" s="2" t="s">
        <v>1465</v>
      </c>
      <c r="B512" s="2" t="s">
        <v>1466</v>
      </c>
      <c r="C512" s="2" t="s">
        <v>1467</v>
      </c>
      <c r="D512" t="s">
        <v>6181</v>
      </c>
      <c r="E512" t="s">
        <v>7818</v>
      </c>
      <c r="F512" t="s">
        <v>0</v>
      </c>
      <c r="G512" s="1">
        <f>DATE(2022,2,10)</f>
        <v>44602</v>
      </c>
    </row>
    <row r="513" spans="1:7" x14ac:dyDescent="0.35">
      <c r="A513" s="2" t="s">
        <v>1468</v>
      </c>
      <c r="B513" s="2" t="s">
        <v>1469</v>
      </c>
      <c r="C513" s="2" t="s">
        <v>1470</v>
      </c>
      <c r="D513" t="s">
        <v>6182</v>
      </c>
      <c r="E513" t="s">
        <v>7819</v>
      </c>
      <c r="F513" t="s">
        <v>0</v>
      </c>
      <c r="G513" s="1">
        <f>DATE(2022,2,10)</f>
        <v>44602</v>
      </c>
    </row>
    <row r="514" spans="1:7" x14ac:dyDescent="0.35">
      <c r="A514" s="2" t="s">
        <v>1471</v>
      </c>
      <c r="B514" s="2" t="s">
        <v>1472</v>
      </c>
      <c r="C514" s="2" t="s">
        <v>1473</v>
      </c>
      <c r="D514" t="s">
        <v>6183</v>
      </c>
      <c r="E514" t="s">
        <v>7820</v>
      </c>
      <c r="F514" t="s">
        <v>0</v>
      </c>
      <c r="G514" s="1">
        <f>DATE(2022,2,10)</f>
        <v>44602</v>
      </c>
    </row>
    <row r="515" spans="1:7" x14ac:dyDescent="0.35">
      <c r="A515" s="2" t="s">
        <v>1474</v>
      </c>
      <c r="B515" s="2" t="s">
        <v>1475</v>
      </c>
      <c r="C515" s="2" t="s">
        <v>1476</v>
      </c>
      <c r="D515" t="s">
        <v>6184</v>
      </c>
      <c r="E515" t="s">
        <v>7821</v>
      </c>
      <c r="F515" t="s">
        <v>0</v>
      </c>
      <c r="G515" s="1">
        <f>DATE(2022,2,13)</f>
        <v>44605</v>
      </c>
    </row>
    <row r="516" spans="1:7" x14ac:dyDescent="0.35">
      <c r="A516" s="2" t="s">
        <v>1477</v>
      </c>
      <c r="B516" s="2" t="s">
        <v>1478</v>
      </c>
      <c r="C516" s="2" t="s">
        <v>1479</v>
      </c>
      <c r="D516" t="s">
        <v>6185</v>
      </c>
      <c r="E516" t="s">
        <v>7822</v>
      </c>
      <c r="F516" t="s">
        <v>0</v>
      </c>
      <c r="G516" s="1">
        <f>DATE(2022,2,10)</f>
        <v>44602</v>
      </c>
    </row>
    <row r="517" spans="1:7" x14ac:dyDescent="0.35">
      <c r="A517" s="2" t="s">
        <v>1480</v>
      </c>
      <c r="B517" s="2" t="s">
        <v>1481</v>
      </c>
      <c r="C517" s="2" t="s">
        <v>1482</v>
      </c>
      <c r="D517" t="s">
        <v>6186</v>
      </c>
      <c r="E517" t="s">
        <v>7823</v>
      </c>
      <c r="F517" t="s">
        <v>0</v>
      </c>
      <c r="G517" s="1">
        <f>DATE(2022,2,18)</f>
        <v>44610</v>
      </c>
    </row>
    <row r="518" spans="1:7" x14ac:dyDescent="0.35">
      <c r="A518" s="2" t="s">
        <v>1483</v>
      </c>
      <c r="B518" s="2" t="s">
        <v>1484</v>
      </c>
      <c r="C518" s="2" t="s">
        <v>1485</v>
      </c>
      <c r="D518" t="s">
        <v>6187</v>
      </c>
      <c r="E518" t="s">
        <v>7824</v>
      </c>
      <c r="F518" t="s">
        <v>0</v>
      </c>
      <c r="G518" s="1">
        <f>DATE(2022,2,13)</f>
        <v>44605</v>
      </c>
    </row>
    <row r="519" spans="1:7" x14ac:dyDescent="0.35">
      <c r="A519" s="2" t="s">
        <v>1486</v>
      </c>
      <c r="B519" s="2" t="s">
        <v>1487</v>
      </c>
      <c r="C519" s="2" t="s">
        <v>1488</v>
      </c>
      <c r="D519" t="s">
        <v>6188</v>
      </c>
      <c r="E519" t="s">
        <v>7825</v>
      </c>
      <c r="F519" t="s">
        <v>0</v>
      </c>
      <c r="G519" s="1">
        <f>DATE(2022,2,13)</f>
        <v>44605</v>
      </c>
    </row>
    <row r="520" spans="1:7" x14ac:dyDescent="0.35">
      <c r="A520" s="2" t="s">
        <v>1489</v>
      </c>
      <c r="B520" s="2" t="s">
        <v>1490</v>
      </c>
      <c r="C520" s="2" t="s">
        <v>1491</v>
      </c>
      <c r="D520" t="s">
        <v>6189</v>
      </c>
      <c r="E520" t="s">
        <v>7826</v>
      </c>
      <c r="F520" t="s">
        <v>0</v>
      </c>
      <c r="G520" s="1">
        <f>DATE(2022,2,13)</f>
        <v>44605</v>
      </c>
    </row>
    <row r="521" spans="1:7" x14ac:dyDescent="0.35">
      <c r="A521" s="2" t="s">
        <v>1492</v>
      </c>
      <c r="B521" s="2" t="s">
        <v>1493</v>
      </c>
      <c r="C521" s="2" t="s">
        <v>1494</v>
      </c>
      <c r="D521" t="s">
        <v>6190</v>
      </c>
      <c r="E521" t="s">
        <v>7827</v>
      </c>
      <c r="F521" t="s">
        <v>0</v>
      </c>
      <c r="G521" s="1">
        <f>DATE(2022,2,13)</f>
        <v>44605</v>
      </c>
    </row>
    <row r="522" spans="1:7" x14ac:dyDescent="0.35">
      <c r="A522" s="2" t="s">
        <v>1495</v>
      </c>
      <c r="B522" s="2" t="s">
        <v>1496</v>
      </c>
      <c r="C522" s="2" t="s">
        <v>1497</v>
      </c>
      <c r="D522" t="s">
        <v>6191</v>
      </c>
      <c r="E522" t="s">
        <v>7828</v>
      </c>
      <c r="F522" t="s">
        <v>0</v>
      </c>
      <c r="G522" s="1">
        <f>DATE(2023,11,24)</f>
        <v>45254</v>
      </c>
    </row>
    <row r="523" spans="1:7" x14ac:dyDescent="0.35">
      <c r="A523" s="2" t="s">
        <v>1498</v>
      </c>
      <c r="B523" s="2" t="s">
        <v>1499</v>
      </c>
      <c r="C523" s="2" t="s">
        <v>1500</v>
      </c>
      <c r="D523" t="s">
        <v>6192</v>
      </c>
      <c r="E523" t="s">
        <v>7829</v>
      </c>
      <c r="F523" t="s">
        <v>0</v>
      </c>
      <c r="G523" s="1">
        <f>DATE(2022,2,13)</f>
        <v>44605</v>
      </c>
    </row>
    <row r="524" spans="1:7" x14ac:dyDescent="0.35">
      <c r="A524" s="2" t="s">
        <v>1501</v>
      </c>
      <c r="B524" s="2" t="s">
        <v>1502</v>
      </c>
      <c r="C524" s="2" t="s">
        <v>1503</v>
      </c>
      <c r="D524" t="s">
        <v>6193</v>
      </c>
      <c r="E524" t="s">
        <v>7830</v>
      </c>
      <c r="F524" t="s">
        <v>0</v>
      </c>
      <c r="G524" s="1">
        <f>DATE(2023,5,23)</f>
        <v>45069</v>
      </c>
    </row>
    <row r="525" spans="1:7" x14ac:dyDescent="0.35">
      <c r="A525" s="2" t="s">
        <v>1504</v>
      </c>
      <c r="B525" s="2" t="s">
        <v>1505</v>
      </c>
      <c r="C525" s="2" t="s">
        <v>1506</v>
      </c>
      <c r="D525" t="s">
        <v>6194</v>
      </c>
      <c r="E525" t="s">
        <v>7831</v>
      </c>
      <c r="F525" t="s">
        <v>0</v>
      </c>
      <c r="G525" s="1">
        <f>DATE(2023,11,29)</f>
        <v>45259</v>
      </c>
    </row>
    <row r="526" spans="1:7" x14ac:dyDescent="0.35">
      <c r="A526" s="2" t="s">
        <v>1507</v>
      </c>
      <c r="B526" s="2" t="s">
        <v>1508</v>
      </c>
      <c r="C526" s="2" t="s">
        <v>1506</v>
      </c>
      <c r="D526" t="s">
        <v>6194</v>
      </c>
      <c r="E526" t="s">
        <v>7831</v>
      </c>
      <c r="F526" t="s">
        <v>0</v>
      </c>
      <c r="G526" s="1">
        <f>DATE(2022,2,13)</f>
        <v>44605</v>
      </c>
    </row>
    <row r="527" spans="1:7" x14ac:dyDescent="0.35">
      <c r="A527" s="2" t="s">
        <v>1509</v>
      </c>
      <c r="B527" s="2" t="s">
        <v>1510</v>
      </c>
      <c r="C527" s="2" t="s">
        <v>1506</v>
      </c>
      <c r="D527" t="s">
        <v>6194</v>
      </c>
      <c r="E527" t="s">
        <v>7831</v>
      </c>
      <c r="F527" t="s">
        <v>0</v>
      </c>
      <c r="G527" s="1">
        <f>DATE(2022,2,13)</f>
        <v>44605</v>
      </c>
    </row>
    <row r="528" spans="1:7" x14ac:dyDescent="0.35">
      <c r="A528" s="2" t="s">
        <v>1511</v>
      </c>
      <c r="B528" s="2" t="s">
        <v>1512</v>
      </c>
      <c r="C528" s="2" t="s">
        <v>1513</v>
      </c>
      <c r="D528" t="s">
        <v>6195</v>
      </c>
      <c r="E528" t="s">
        <v>7832</v>
      </c>
      <c r="F528" t="s">
        <v>0</v>
      </c>
      <c r="G528" s="1">
        <f>DATE(2022,2,15)</f>
        <v>44607</v>
      </c>
    </row>
    <row r="529" spans="1:7" x14ac:dyDescent="0.35">
      <c r="A529" s="2" t="s">
        <v>1514</v>
      </c>
      <c r="B529" s="2" t="s">
        <v>1515</v>
      </c>
      <c r="C529" s="2" t="s">
        <v>1516</v>
      </c>
      <c r="D529" t="s">
        <v>6196</v>
      </c>
      <c r="E529" t="s">
        <v>7833</v>
      </c>
      <c r="F529" t="s">
        <v>0</v>
      </c>
      <c r="G529" s="1">
        <f>DATE(2022,2,22)</f>
        <v>44614</v>
      </c>
    </row>
    <row r="530" spans="1:7" x14ac:dyDescent="0.35">
      <c r="A530" s="2" t="s">
        <v>1517</v>
      </c>
      <c r="B530" s="2" t="s">
        <v>1518</v>
      </c>
      <c r="C530" s="2" t="s">
        <v>1519</v>
      </c>
      <c r="D530" t="s">
        <v>6197</v>
      </c>
      <c r="E530" t="s">
        <v>7834</v>
      </c>
      <c r="F530" t="s">
        <v>0</v>
      </c>
      <c r="G530" s="1">
        <f>DATE(2022,2,14)</f>
        <v>44606</v>
      </c>
    </row>
    <row r="531" spans="1:7" x14ac:dyDescent="0.35">
      <c r="A531" s="2" t="s">
        <v>1520</v>
      </c>
      <c r="B531" s="2" t="s">
        <v>1521</v>
      </c>
      <c r="C531" s="2" t="s">
        <v>1522</v>
      </c>
      <c r="D531" t="s">
        <v>6198</v>
      </c>
      <c r="E531" t="s">
        <v>7835</v>
      </c>
      <c r="F531" t="s">
        <v>0</v>
      </c>
      <c r="G531" s="1">
        <f>DATE(2022,2,14)</f>
        <v>44606</v>
      </c>
    </row>
    <row r="532" spans="1:7" x14ac:dyDescent="0.35">
      <c r="A532" s="2" t="s">
        <v>1523</v>
      </c>
      <c r="B532" s="2" t="s">
        <v>1524</v>
      </c>
      <c r="D532" t="s">
        <v>5756</v>
      </c>
      <c r="E532" t="e">
        <v>#VALUE!</v>
      </c>
      <c r="F532" t="s">
        <v>0</v>
      </c>
      <c r="G532" s="1">
        <f>DATE(2022,6,17)</f>
        <v>44729</v>
      </c>
    </row>
    <row r="533" spans="1:7" x14ac:dyDescent="0.35">
      <c r="A533" s="2" t="s">
        <v>1525</v>
      </c>
      <c r="B533" s="2" t="s">
        <v>1526</v>
      </c>
      <c r="C533" s="2" t="s">
        <v>1527</v>
      </c>
      <c r="D533" t="s">
        <v>6199</v>
      </c>
      <c r="E533" t="s">
        <v>7836</v>
      </c>
      <c r="F533" t="s">
        <v>0</v>
      </c>
      <c r="G533" s="1">
        <f>DATE(2022,2,21)</f>
        <v>44613</v>
      </c>
    </row>
    <row r="534" spans="1:7" x14ac:dyDescent="0.35">
      <c r="A534" s="2" t="s">
        <v>1528</v>
      </c>
      <c r="B534" s="2" t="s">
        <v>1529</v>
      </c>
      <c r="C534" s="2" t="s">
        <v>1237</v>
      </c>
      <c r="D534" t="s">
        <v>6111</v>
      </c>
      <c r="E534" t="s">
        <v>7748</v>
      </c>
      <c r="F534" t="s">
        <v>0</v>
      </c>
      <c r="G534" s="1">
        <f>DATE(2024,1,4)</f>
        <v>45295</v>
      </c>
    </row>
    <row r="535" spans="1:7" x14ac:dyDescent="0.35">
      <c r="A535" s="2" t="s">
        <v>1530</v>
      </c>
      <c r="B535" s="2" t="s">
        <v>1531</v>
      </c>
      <c r="C535" s="2" t="s">
        <v>1532</v>
      </c>
      <c r="D535" t="s">
        <v>6200</v>
      </c>
      <c r="E535" t="s">
        <v>7837</v>
      </c>
      <c r="F535" t="s">
        <v>0</v>
      </c>
      <c r="G535" s="1">
        <f>DATE(2023,6,13)</f>
        <v>45090</v>
      </c>
    </row>
    <row r="536" spans="1:7" x14ac:dyDescent="0.35">
      <c r="A536" s="2" t="s">
        <v>1533</v>
      </c>
      <c r="B536" s="2" t="s">
        <v>1534</v>
      </c>
      <c r="D536" t="s">
        <v>5756</v>
      </c>
      <c r="E536" t="e">
        <v>#VALUE!</v>
      </c>
      <c r="F536" t="s">
        <v>0</v>
      </c>
      <c r="G536" s="1">
        <f>DATE(2023,6,13)</f>
        <v>45090</v>
      </c>
    </row>
    <row r="537" spans="1:7" x14ac:dyDescent="0.35">
      <c r="A537" s="2" t="s">
        <v>1535</v>
      </c>
      <c r="B537" s="2" t="s">
        <v>1536</v>
      </c>
      <c r="D537" t="s">
        <v>5756</v>
      </c>
      <c r="E537" t="e">
        <v>#VALUE!</v>
      </c>
      <c r="F537" t="s">
        <v>0</v>
      </c>
      <c r="G537" s="1">
        <f>DATE(2023,6,13)</f>
        <v>45090</v>
      </c>
    </row>
    <row r="538" spans="1:7" x14ac:dyDescent="0.35">
      <c r="A538" s="2" t="s">
        <v>1537</v>
      </c>
      <c r="B538" s="2" t="s">
        <v>1538</v>
      </c>
      <c r="D538" t="s">
        <v>5756</v>
      </c>
      <c r="E538" t="e">
        <v>#VALUE!</v>
      </c>
      <c r="F538" t="s">
        <v>0</v>
      </c>
      <c r="G538" s="1">
        <f>DATE(2023,6,16)</f>
        <v>45093</v>
      </c>
    </row>
    <row r="539" spans="1:7" x14ac:dyDescent="0.35">
      <c r="A539" s="2" t="s">
        <v>1539</v>
      </c>
      <c r="B539" s="2" t="s">
        <v>1540</v>
      </c>
      <c r="C539" s="2" t="s">
        <v>1541</v>
      </c>
      <c r="D539" t="s">
        <v>6201</v>
      </c>
      <c r="E539" t="s">
        <v>7838</v>
      </c>
      <c r="F539" t="s">
        <v>0</v>
      </c>
      <c r="G539" s="1">
        <f>DATE(2022,2,24)</f>
        <v>44616</v>
      </c>
    </row>
    <row r="540" spans="1:7" x14ac:dyDescent="0.35">
      <c r="A540" s="2" t="s">
        <v>1542</v>
      </c>
      <c r="B540" s="2" t="s">
        <v>1543</v>
      </c>
      <c r="C540" s="2" t="s">
        <v>1544</v>
      </c>
      <c r="D540" t="s">
        <v>6202</v>
      </c>
      <c r="E540" t="s">
        <v>7839</v>
      </c>
      <c r="F540" t="s">
        <v>0</v>
      </c>
      <c r="G540" s="1">
        <f>DATE(2022,6,30)</f>
        <v>44742</v>
      </c>
    </row>
    <row r="541" spans="1:7" x14ac:dyDescent="0.35">
      <c r="A541" s="2" t="s">
        <v>1545</v>
      </c>
      <c r="B541" s="2" t="s">
        <v>1546</v>
      </c>
      <c r="C541" s="2" t="s">
        <v>1547</v>
      </c>
      <c r="D541" t="s">
        <v>6203</v>
      </c>
      <c r="E541" t="s">
        <v>7840</v>
      </c>
      <c r="F541" t="s">
        <v>0</v>
      </c>
      <c r="G541" s="1">
        <f>DATE(2022,3,2)</f>
        <v>44622</v>
      </c>
    </row>
    <row r="542" spans="1:7" x14ac:dyDescent="0.35">
      <c r="A542" s="2" t="s">
        <v>1548</v>
      </c>
      <c r="B542" s="2" t="s">
        <v>1549</v>
      </c>
      <c r="C542" s="2" t="s">
        <v>1550</v>
      </c>
      <c r="D542" t="s">
        <v>6204</v>
      </c>
      <c r="E542" t="s">
        <v>7841</v>
      </c>
      <c r="F542" t="s">
        <v>0</v>
      </c>
      <c r="G542" s="1">
        <f>DATE(2022,4,29)</f>
        <v>44680</v>
      </c>
    </row>
    <row r="543" spans="1:7" x14ac:dyDescent="0.35">
      <c r="A543" s="2" t="s">
        <v>1551</v>
      </c>
      <c r="B543" s="2" t="s">
        <v>1552</v>
      </c>
      <c r="C543" s="2" t="s">
        <v>1553</v>
      </c>
      <c r="D543" t="s">
        <v>6205</v>
      </c>
      <c r="E543" t="s">
        <v>7842</v>
      </c>
      <c r="F543" t="s">
        <v>0</v>
      </c>
      <c r="G543" s="1">
        <f>DATE(2022,3,2)</f>
        <v>44622</v>
      </c>
    </row>
    <row r="544" spans="1:7" x14ac:dyDescent="0.35">
      <c r="A544" s="2" t="s">
        <v>1554</v>
      </c>
      <c r="B544" s="2" t="s">
        <v>1555</v>
      </c>
      <c r="C544" s="2" t="s">
        <v>1556</v>
      </c>
      <c r="D544" t="s">
        <v>6206</v>
      </c>
      <c r="E544" t="s">
        <v>7843</v>
      </c>
      <c r="F544" t="s">
        <v>0</v>
      </c>
      <c r="G544" s="1">
        <f>DATE(2022,3,2)</f>
        <v>44622</v>
      </c>
    </row>
    <row r="545" spans="1:7" x14ac:dyDescent="0.35">
      <c r="A545" s="2" t="s">
        <v>1557</v>
      </c>
      <c r="B545" s="2" t="s">
        <v>1558</v>
      </c>
      <c r="C545" s="2" t="s">
        <v>1559</v>
      </c>
      <c r="D545" t="s">
        <v>6207</v>
      </c>
      <c r="E545" t="s">
        <v>7844</v>
      </c>
      <c r="F545" t="s">
        <v>0</v>
      </c>
      <c r="G545" s="1">
        <f>DATE(2022,3,9)</f>
        <v>44629</v>
      </c>
    </row>
    <row r="546" spans="1:7" x14ac:dyDescent="0.35">
      <c r="A546" s="2" t="s">
        <v>1560</v>
      </c>
      <c r="B546" s="2" t="s">
        <v>1561</v>
      </c>
      <c r="C546" s="2" t="s">
        <v>1562</v>
      </c>
      <c r="D546" t="s">
        <v>6208</v>
      </c>
      <c r="E546" t="s">
        <v>7845</v>
      </c>
      <c r="F546" t="s">
        <v>0</v>
      </c>
      <c r="G546" s="1">
        <f>DATE(2022,3,9)</f>
        <v>44629</v>
      </c>
    </row>
    <row r="547" spans="1:7" x14ac:dyDescent="0.35">
      <c r="A547" s="2" t="s">
        <v>1563</v>
      </c>
      <c r="B547" s="2" t="s">
        <v>1564</v>
      </c>
      <c r="C547" s="2" t="s">
        <v>1565</v>
      </c>
      <c r="D547" t="s">
        <v>6209</v>
      </c>
      <c r="E547" t="s">
        <v>7846</v>
      </c>
      <c r="F547" t="s">
        <v>0</v>
      </c>
      <c r="G547" s="1">
        <f>DATE(2022,3,2)</f>
        <v>44622</v>
      </c>
    </row>
    <row r="548" spans="1:7" x14ac:dyDescent="0.35">
      <c r="A548" s="2" t="s">
        <v>1566</v>
      </c>
      <c r="B548" s="2" t="s">
        <v>1567</v>
      </c>
      <c r="C548" s="2" t="s">
        <v>1568</v>
      </c>
      <c r="D548" t="s">
        <v>6210</v>
      </c>
      <c r="E548" t="s">
        <v>7847</v>
      </c>
      <c r="F548" t="s">
        <v>0</v>
      </c>
      <c r="G548" s="1">
        <f>DATE(2022,3,2)</f>
        <v>44622</v>
      </c>
    </row>
    <row r="549" spans="1:7" x14ac:dyDescent="0.35">
      <c r="A549" s="2" t="s">
        <v>1569</v>
      </c>
      <c r="B549" s="2" t="s">
        <v>1570</v>
      </c>
      <c r="C549" s="2" t="s">
        <v>1571</v>
      </c>
      <c r="D549" t="s">
        <v>6211</v>
      </c>
      <c r="E549" t="s">
        <v>7848</v>
      </c>
      <c r="F549" t="s">
        <v>0</v>
      </c>
      <c r="G549" s="1">
        <f>DATE(2022,3,2)</f>
        <v>44622</v>
      </c>
    </row>
    <row r="550" spans="1:7" x14ac:dyDescent="0.35">
      <c r="A550" s="2" t="s">
        <v>1572</v>
      </c>
      <c r="B550" s="2" t="s">
        <v>1573</v>
      </c>
      <c r="C550" s="2" t="s">
        <v>1574</v>
      </c>
      <c r="D550" t="s">
        <v>6212</v>
      </c>
      <c r="E550" t="s">
        <v>7849</v>
      </c>
      <c r="F550" t="s">
        <v>0</v>
      </c>
      <c r="G550" s="1">
        <f>DATE(2022,3,2)</f>
        <v>44622</v>
      </c>
    </row>
    <row r="551" spans="1:7" x14ac:dyDescent="0.35">
      <c r="A551" s="2" t="s">
        <v>1575</v>
      </c>
      <c r="B551" s="2" t="s">
        <v>1576</v>
      </c>
      <c r="C551" s="2" t="s">
        <v>1577</v>
      </c>
      <c r="D551" t="s">
        <v>6213</v>
      </c>
      <c r="E551" t="s">
        <v>7850</v>
      </c>
      <c r="F551" t="s">
        <v>0</v>
      </c>
      <c r="G551" s="1">
        <f>DATE(2022,3,2)</f>
        <v>44622</v>
      </c>
    </row>
    <row r="552" spans="1:7" x14ac:dyDescent="0.35">
      <c r="A552" s="2" t="s">
        <v>1578</v>
      </c>
      <c r="B552" s="2" t="s">
        <v>1579</v>
      </c>
      <c r="C552" s="2" t="s">
        <v>1580</v>
      </c>
      <c r="D552" t="s">
        <v>6214</v>
      </c>
      <c r="E552" t="s">
        <v>7851</v>
      </c>
      <c r="F552" t="s">
        <v>0</v>
      </c>
      <c r="G552" s="1">
        <f>DATE(2022,7,13)</f>
        <v>44755</v>
      </c>
    </row>
    <row r="553" spans="1:7" x14ac:dyDescent="0.35">
      <c r="A553" s="2" t="s">
        <v>1581</v>
      </c>
      <c r="B553" s="2" t="s">
        <v>1582</v>
      </c>
      <c r="C553" s="2" t="s">
        <v>1583</v>
      </c>
      <c r="D553" t="s">
        <v>6215</v>
      </c>
      <c r="E553" t="s">
        <v>7852</v>
      </c>
      <c r="F553" t="s">
        <v>0</v>
      </c>
      <c r="G553" s="1">
        <f>DATE(2022,7,29)</f>
        <v>44771</v>
      </c>
    </row>
    <row r="554" spans="1:7" x14ac:dyDescent="0.35">
      <c r="A554" s="2" t="s">
        <v>1584</v>
      </c>
      <c r="B554" s="2" t="s">
        <v>1585</v>
      </c>
      <c r="C554" s="2" t="s">
        <v>1586</v>
      </c>
      <c r="D554" t="s">
        <v>6216</v>
      </c>
      <c r="E554" t="s">
        <v>7853</v>
      </c>
      <c r="F554" t="s">
        <v>0</v>
      </c>
      <c r="G554" s="1">
        <f>DATE(2022,10,28)</f>
        <v>44862</v>
      </c>
    </row>
    <row r="555" spans="1:7" x14ac:dyDescent="0.35">
      <c r="A555" s="2" t="s">
        <v>1587</v>
      </c>
      <c r="B555" s="2" t="s">
        <v>1588</v>
      </c>
      <c r="C555" s="2" t="s">
        <v>1589</v>
      </c>
      <c r="D555" t="s">
        <v>6217</v>
      </c>
      <c r="E555" t="s">
        <v>7854</v>
      </c>
      <c r="F555" t="s">
        <v>0</v>
      </c>
      <c r="G555" s="1">
        <f>DATE(2022,3,3)</f>
        <v>44623</v>
      </c>
    </row>
    <row r="556" spans="1:7" x14ac:dyDescent="0.35">
      <c r="A556" s="2" t="s">
        <v>1590</v>
      </c>
      <c r="B556" s="2" t="s">
        <v>1591</v>
      </c>
      <c r="D556" t="s">
        <v>5756</v>
      </c>
      <c r="E556" t="e">
        <v>#VALUE!</v>
      </c>
      <c r="F556" t="s">
        <v>0</v>
      </c>
      <c r="G556" s="1">
        <f>DATE(2022,3,4)</f>
        <v>44624</v>
      </c>
    </row>
    <row r="557" spans="1:7" x14ac:dyDescent="0.35">
      <c r="A557" s="2" t="s">
        <v>1592</v>
      </c>
      <c r="B557" s="2" t="s">
        <v>1593</v>
      </c>
      <c r="D557" t="s">
        <v>5756</v>
      </c>
      <c r="E557" t="e">
        <v>#VALUE!</v>
      </c>
      <c r="F557" t="s">
        <v>0</v>
      </c>
      <c r="G557" s="1">
        <f>DATE(2022,5,10)</f>
        <v>44691</v>
      </c>
    </row>
    <row r="558" spans="1:7" x14ac:dyDescent="0.35">
      <c r="A558" s="2" t="s">
        <v>1594</v>
      </c>
      <c r="B558" s="2" t="s">
        <v>1595</v>
      </c>
      <c r="C558" s="2" t="s">
        <v>1596</v>
      </c>
      <c r="D558" t="s">
        <v>6218</v>
      </c>
      <c r="E558" t="s">
        <v>7855</v>
      </c>
      <c r="F558" t="s">
        <v>0</v>
      </c>
      <c r="G558" s="1">
        <f>DATE(2022,8,29)</f>
        <v>44802</v>
      </c>
    </row>
    <row r="559" spans="1:7" x14ac:dyDescent="0.35">
      <c r="A559" s="2" t="s">
        <v>1597</v>
      </c>
      <c r="B559" s="2" t="s">
        <v>1598</v>
      </c>
      <c r="C559" s="2" t="s">
        <v>1599</v>
      </c>
      <c r="D559" t="s">
        <v>6219</v>
      </c>
      <c r="E559" t="s">
        <v>7856</v>
      </c>
      <c r="F559" t="s">
        <v>0</v>
      </c>
      <c r="G559" s="1">
        <f>DATE(2022,3,22)</f>
        <v>44642</v>
      </c>
    </row>
    <row r="560" spans="1:7" x14ac:dyDescent="0.35">
      <c r="A560" s="2" t="s">
        <v>1600</v>
      </c>
      <c r="B560" s="2" t="s">
        <v>1601</v>
      </c>
      <c r="C560" s="2" t="s">
        <v>1602</v>
      </c>
      <c r="D560" t="s">
        <v>6220</v>
      </c>
      <c r="E560" t="s">
        <v>7857</v>
      </c>
      <c r="F560" t="s">
        <v>0</v>
      </c>
      <c r="G560" s="1">
        <f>DATE(2022,7,28)</f>
        <v>44770</v>
      </c>
    </row>
    <row r="561" spans="1:7" x14ac:dyDescent="0.35">
      <c r="A561" s="2" t="s">
        <v>1603</v>
      </c>
      <c r="B561" s="2" t="s">
        <v>1604</v>
      </c>
      <c r="C561" s="2" t="s">
        <v>1605</v>
      </c>
      <c r="D561" t="s">
        <v>6221</v>
      </c>
      <c r="E561" t="s">
        <v>7858</v>
      </c>
      <c r="F561" t="s">
        <v>0</v>
      </c>
      <c r="G561" s="1">
        <f>DATE(2023,11,22)</f>
        <v>45252</v>
      </c>
    </row>
    <row r="562" spans="1:7" x14ac:dyDescent="0.35">
      <c r="A562" s="2" t="s">
        <v>1606</v>
      </c>
      <c r="B562" s="2" t="s">
        <v>1607</v>
      </c>
      <c r="C562" s="2" t="s">
        <v>1608</v>
      </c>
      <c r="D562" t="s">
        <v>6222</v>
      </c>
      <c r="E562" t="s">
        <v>7859</v>
      </c>
      <c r="F562" t="s">
        <v>0</v>
      </c>
      <c r="G562" s="1">
        <f>DATE(2022,4,5)</f>
        <v>44656</v>
      </c>
    </row>
    <row r="563" spans="1:7" x14ac:dyDescent="0.35">
      <c r="A563" s="2" t="s">
        <v>1609</v>
      </c>
      <c r="B563" s="2" t="s">
        <v>1610</v>
      </c>
      <c r="D563" t="s">
        <v>5756</v>
      </c>
      <c r="E563" t="e">
        <v>#VALUE!</v>
      </c>
      <c r="F563" t="s">
        <v>0</v>
      </c>
      <c r="G563" s="1">
        <f>DATE(2023,2,20)</f>
        <v>44977</v>
      </c>
    </row>
    <row r="564" spans="1:7" x14ac:dyDescent="0.35">
      <c r="A564" s="2" t="s">
        <v>1611</v>
      </c>
      <c r="B564" s="2" t="s">
        <v>1612</v>
      </c>
      <c r="C564" s="2" t="s">
        <v>1613</v>
      </c>
      <c r="D564" t="s">
        <v>6223</v>
      </c>
      <c r="E564" t="s">
        <v>7860</v>
      </c>
      <c r="F564" t="s">
        <v>0</v>
      </c>
      <c r="G564" s="1">
        <f>DATE(2022,4,12)</f>
        <v>44663</v>
      </c>
    </row>
    <row r="565" spans="1:7" x14ac:dyDescent="0.35">
      <c r="A565" s="2" t="s">
        <v>1614</v>
      </c>
      <c r="B565" s="2" t="s">
        <v>1615</v>
      </c>
      <c r="C565" s="2" t="s">
        <v>1616</v>
      </c>
      <c r="D565" t="s">
        <v>6224</v>
      </c>
      <c r="E565" t="s">
        <v>7861</v>
      </c>
      <c r="F565" t="s">
        <v>0</v>
      </c>
      <c r="G565" s="1">
        <f>DATE(2022,4,12)</f>
        <v>44663</v>
      </c>
    </row>
    <row r="566" spans="1:7" x14ac:dyDescent="0.35">
      <c r="A566" s="2" t="s">
        <v>1617</v>
      </c>
      <c r="B566" s="2" t="s">
        <v>1618</v>
      </c>
      <c r="C566" s="2" t="s">
        <v>1619</v>
      </c>
      <c r="D566" t="s">
        <v>6225</v>
      </c>
      <c r="E566" t="s">
        <v>7862</v>
      </c>
      <c r="F566" t="s">
        <v>0</v>
      </c>
      <c r="G566" s="1">
        <f>DATE(2023,9,25)</f>
        <v>45194</v>
      </c>
    </row>
    <row r="567" spans="1:7" x14ac:dyDescent="0.35">
      <c r="A567" s="2" t="s">
        <v>1620</v>
      </c>
      <c r="B567" s="2" t="s">
        <v>1621</v>
      </c>
      <c r="C567" s="2" t="s">
        <v>1622</v>
      </c>
      <c r="D567" t="s">
        <v>6226</v>
      </c>
      <c r="E567" t="s">
        <v>7863</v>
      </c>
      <c r="F567" t="s">
        <v>0</v>
      </c>
      <c r="G567" s="1">
        <f>DATE(2022,4,29)</f>
        <v>44680</v>
      </c>
    </row>
    <row r="568" spans="1:7" x14ac:dyDescent="0.35">
      <c r="A568" s="2" t="s">
        <v>1623</v>
      </c>
      <c r="B568" s="2" t="s">
        <v>1624</v>
      </c>
      <c r="C568" s="2" t="s">
        <v>1625</v>
      </c>
      <c r="D568" t="s">
        <v>6227</v>
      </c>
      <c r="E568" t="s">
        <v>7864</v>
      </c>
      <c r="F568" t="s">
        <v>0</v>
      </c>
      <c r="G568" s="1">
        <f>DATE(2024,1,13)</f>
        <v>45304</v>
      </c>
    </row>
    <row r="569" spans="1:7" x14ac:dyDescent="0.35">
      <c r="A569" s="2" t="s">
        <v>1626</v>
      </c>
      <c r="B569" s="2" t="s">
        <v>1627</v>
      </c>
      <c r="C569" s="2" t="s">
        <v>1628</v>
      </c>
      <c r="D569" t="s">
        <v>6228</v>
      </c>
      <c r="E569" t="s">
        <v>7865</v>
      </c>
      <c r="F569" t="s">
        <v>0</v>
      </c>
      <c r="G569" s="1">
        <f>DATE(2022,6,17)</f>
        <v>44729</v>
      </c>
    </row>
    <row r="570" spans="1:7" x14ac:dyDescent="0.35">
      <c r="A570" s="2" t="s">
        <v>1629</v>
      </c>
      <c r="B570" s="2" t="s">
        <v>1630</v>
      </c>
      <c r="D570" t="s">
        <v>5756</v>
      </c>
      <c r="E570" t="e">
        <v>#VALUE!</v>
      </c>
      <c r="F570" t="s">
        <v>0</v>
      </c>
      <c r="G570" s="1">
        <f>DATE(2022,11,28)</f>
        <v>44893</v>
      </c>
    </row>
    <row r="571" spans="1:7" x14ac:dyDescent="0.35">
      <c r="A571" s="2" t="s">
        <v>1631</v>
      </c>
      <c r="B571" s="2" t="s">
        <v>1632</v>
      </c>
      <c r="C571" s="2" t="s">
        <v>1633</v>
      </c>
      <c r="D571" t="s">
        <v>6229</v>
      </c>
      <c r="E571" t="s">
        <v>7866</v>
      </c>
      <c r="F571" t="s">
        <v>0</v>
      </c>
      <c r="G571" s="1">
        <f>DATE(2023,3,14)</f>
        <v>44999</v>
      </c>
    </row>
    <row r="572" spans="1:7" x14ac:dyDescent="0.35">
      <c r="A572" s="2" t="s">
        <v>1634</v>
      </c>
      <c r="B572" s="2" t="s">
        <v>1635</v>
      </c>
      <c r="D572" t="s">
        <v>5756</v>
      </c>
      <c r="E572" t="e">
        <v>#VALUE!</v>
      </c>
      <c r="F572" t="s">
        <v>0</v>
      </c>
      <c r="G572" s="1">
        <f>DATE(2023,6,15)</f>
        <v>45092</v>
      </c>
    </row>
    <row r="573" spans="1:7" x14ac:dyDescent="0.35">
      <c r="A573" s="2" t="s">
        <v>1636</v>
      </c>
      <c r="B573" s="2" t="s">
        <v>1637</v>
      </c>
      <c r="C573" s="2" t="s">
        <v>1638</v>
      </c>
      <c r="D573" t="s">
        <v>6230</v>
      </c>
      <c r="E573" t="s">
        <v>7867</v>
      </c>
      <c r="F573" t="s">
        <v>0</v>
      </c>
      <c r="G573" s="1">
        <f>DATE(2022,5,11)</f>
        <v>44692</v>
      </c>
    </row>
    <row r="574" spans="1:7" x14ac:dyDescent="0.35">
      <c r="A574" s="2" t="s">
        <v>1639</v>
      </c>
      <c r="B574" s="2" t="s">
        <v>1640</v>
      </c>
      <c r="C574" s="2" t="s">
        <v>670</v>
      </c>
      <c r="D574" t="s">
        <v>5948</v>
      </c>
      <c r="E574" t="s">
        <v>7584</v>
      </c>
      <c r="F574" t="s">
        <v>0</v>
      </c>
      <c r="G574" s="1">
        <f>DATE(2023,6,13)</f>
        <v>45090</v>
      </c>
    </row>
    <row r="575" spans="1:7" x14ac:dyDescent="0.35">
      <c r="A575" s="2" t="s">
        <v>1641</v>
      </c>
      <c r="B575" s="2" t="s">
        <v>1642</v>
      </c>
      <c r="C575" s="2" t="s">
        <v>1643</v>
      </c>
      <c r="D575" t="s">
        <v>6231</v>
      </c>
      <c r="E575" t="s">
        <v>7868</v>
      </c>
      <c r="F575" t="s">
        <v>0</v>
      </c>
      <c r="G575" s="1">
        <f>DATE(2023,3,27)</f>
        <v>45012</v>
      </c>
    </row>
    <row r="576" spans="1:7" x14ac:dyDescent="0.35">
      <c r="A576" s="2" t="s">
        <v>1644</v>
      </c>
      <c r="B576" s="2" t="s">
        <v>1645</v>
      </c>
      <c r="C576" s="2" t="s">
        <v>1646</v>
      </c>
      <c r="D576" t="s">
        <v>6232</v>
      </c>
      <c r="E576" t="s">
        <v>7869</v>
      </c>
      <c r="F576" t="s">
        <v>0</v>
      </c>
      <c r="G576" s="1">
        <f>DATE(2022,5,20)</f>
        <v>44701</v>
      </c>
    </row>
    <row r="577" spans="1:7" x14ac:dyDescent="0.35">
      <c r="A577" s="2" t="s">
        <v>1647</v>
      </c>
      <c r="B577" s="2" t="s">
        <v>1648</v>
      </c>
      <c r="D577" t="s">
        <v>5756</v>
      </c>
      <c r="E577" t="e">
        <v>#VALUE!</v>
      </c>
      <c r="F577" t="s">
        <v>0</v>
      </c>
      <c r="G577" s="1">
        <f>DATE(2022,5,31)</f>
        <v>44712</v>
      </c>
    </row>
    <row r="578" spans="1:7" x14ac:dyDescent="0.35">
      <c r="A578" s="2" t="s">
        <v>1649</v>
      </c>
      <c r="B578" s="2" t="s">
        <v>1650</v>
      </c>
      <c r="C578" s="2" t="s">
        <v>1651</v>
      </c>
      <c r="D578" t="s">
        <v>6233</v>
      </c>
      <c r="E578" t="s">
        <v>7870</v>
      </c>
      <c r="F578" t="s">
        <v>0</v>
      </c>
      <c r="G578" s="1">
        <f>DATE(2022,7,27)</f>
        <v>44769</v>
      </c>
    </row>
    <row r="579" spans="1:7" x14ac:dyDescent="0.35">
      <c r="A579" s="2" t="s">
        <v>1652</v>
      </c>
      <c r="B579" s="2" t="s">
        <v>1653</v>
      </c>
      <c r="D579" t="s">
        <v>5756</v>
      </c>
      <c r="E579" t="e">
        <v>#VALUE!</v>
      </c>
      <c r="F579" t="s">
        <v>0</v>
      </c>
      <c r="G579" s="1">
        <f>DATE(2023,10,19)</f>
        <v>45218</v>
      </c>
    </row>
    <row r="580" spans="1:7" x14ac:dyDescent="0.35">
      <c r="A580" s="2" t="s">
        <v>1654</v>
      </c>
      <c r="B580" s="2" t="s">
        <v>1655</v>
      </c>
      <c r="C580" s="2" t="s">
        <v>1656</v>
      </c>
      <c r="D580" t="s">
        <v>6234</v>
      </c>
      <c r="E580" t="s">
        <v>7871</v>
      </c>
      <c r="F580" t="s">
        <v>0</v>
      </c>
      <c r="G580" s="1">
        <f>DATE(2022,7,7)</f>
        <v>44749</v>
      </c>
    </row>
    <row r="581" spans="1:7" x14ac:dyDescent="0.35">
      <c r="A581" s="2" t="s">
        <v>1657</v>
      </c>
      <c r="B581" s="2" t="s">
        <v>1658</v>
      </c>
      <c r="C581" s="2" t="s">
        <v>1659</v>
      </c>
      <c r="D581" t="s">
        <v>6235</v>
      </c>
      <c r="E581" t="s">
        <v>7872</v>
      </c>
      <c r="F581" t="s">
        <v>0</v>
      </c>
      <c r="G581" s="1">
        <f>DATE(2022,6,2)</f>
        <v>44714</v>
      </c>
    </row>
    <row r="582" spans="1:7" x14ac:dyDescent="0.35">
      <c r="A582" s="2" t="s">
        <v>1660</v>
      </c>
      <c r="B582" s="2" t="s">
        <v>1661</v>
      </c>
      <c r="C582" s="2" t="s">
        <v>1662</v>
      </c>
      <c r="D582" t="s">
        <v>6236</v>
      </c>
      <c r="E582" t="s">
        <v>7873</v>
      </c>
      <c r="F582" t="s">
        <v>0</v>
      </c>
      <c r="G582" s="1">
        <f>DATE(2022,6,2)</f>
        <v>44714</v>
      </c>
    </row>
    <row r="583" spans="1:7" x14ac:dyDescent="0.35">
      <c r="A583" s="2" t="s">
        <v>1663</v>
      </c>
      <c r="B583" s="2" t="s">
        <v>1664</v>
      </c>
      <c r="D583" t="s">
        <v>5756</v>
      </c>
      <c r="E583" t="e">
        <v>#VALUE!</v>
      </c>
      <c r="F583" t="s">
        <v>0</v>
      </c>
      <c r="G583" s="1">
        <f>DATE(2023,6,13)</f>
        <v>45090</v>
      </c>
    </row>
    <row r="584" spans="1:7" x14ac:dyDescent="0.35">
      <c r="A584" s="2" t="s">
        <v>1665</v>
      </c>
      <c r="B584" s="2" t="s">
        <v>1666</v>
      </c>
      <c r="D584" t="s">
        <v>5756</v>
      </c>
      <c r="E584" t="e">
        <v>#VALUE!</v>
      </c>
      <c r="F584" t="s">
        <v>0</v>
      </c>
      <c r="G584" s="1">
        <f>DATE(2023,6,13)</f>
        <v>45090</v>
      </c>
    </row>
    <row r="585" spans="1:7" x14ac:dyDescent="0.35">
      <c r="A585" s="2" t="s">
        <v>1667</v>
      </c>
      <c r="B585" s="2" t="s">
        <v>1668</v>
      </c>
      <c r="C585" s="2" t="s">
        <v>1669</v>
      </c>
      <c r="D585" t="s">
        <v>6237</v>
      </c>
      <c r="E585" t="s">
        <v>7874</v>
      </c>
      <c r="F585" t="s">
        <v>0</v>
      </c>
      <c r="G585" s="1">
        <f>DATE(2023,10,20)</f>
        <v>45219</v>
      </c>
    </row>
    <row r="586" spans="1:7" x14ac:dyDescent="0.35">
      <c r="A586" s="2" t="s">
        <v>1670</v>
      </c>
      <c r="B586" s="2" t="s">
        <v>1671</v>
      </c>
      <c r="C586" s="2" t="s">
        <v>1672</v>
      </c>
      <c r="D586" t="s">
        <v>6238</v>
      </c>
      <c r="E586" t="s">
        <v>7875</v>
      </c>
      <c r="F586" t="s">
        <v>0</v>
      </c>
      <c r="G586" s="1">
        <f>DATE(2021,10,8)</f>
        <v>44477</v>
      </c>
    </row>
    <row r="587" spans="1:7" x14ac:dyDescent="0.35">
      <c r="A587" s="2" t="s">
        <v>1673</v>
      </c>
      <c r="B587" s="2" t="s">
        <v>1674</v>
      </c>
      <c r="C587" s="2" t="s">
        <v>1675</v>
      </c>
      <c r="D587" t="s">
        <v>6239</v>
      </c>
      <c r="E587" t="s">
        <v>7876</v>
      </c>
      <c r="F587" t="s">
        <v>0</v>
      </c>
      <c r="G587" s="1">
        <f>DATE(2020,10,1)</f>
        <v>44105</v>
      </c>
    </row>
    <row r="588" spans="1:7" x14ac:dyDescent="0.35">
      <c r="A588" s="2" t="s">
        <v>1676</v>
      </c>
      <c r="B588" s="2" t="s">
        <v>1677</v>
      </c>
      <c r="C588" s="2" t="s">
        <v>1678</v>
      </c>
      <c r="D588" t="s">
        <v>6240</v>
      </c>
      <c r="E588" t="s">
        <v>7877</v>
      </c>
      <c r="F588" t="s">
        <v>0</v>
      </c>
      <c r="G588" s="1">
        <f>DATE(2020,9,29)</f>
        <v>44103</v>
      </c>
    </row>
    <row r="589" spans="1:7" x14ac:dyDescent="0.35">
      <c r="A589" s="2" t="s">
        <v>1679</v>
      </c>
      <c r="B589" s="2" t="s">
        <v>1680</v>
      </c>
      <c r="D589" t="s">
        <v>5756</v>
      </c>
      <c r="E589" t="e">
        <v>#VALUE!</v>
      </c>
      <c r="F589" t="s">
        <v>0</v>
      </c>
      <c r="G589" s="1">
        <f>DATE(2022,10,7)</f>
        <v>44841</v>
      </c>
    </row>
    <row r="590" spans="1:7" x14ac:dyDescent="0.35">
      <c r="A590" s="2" t="s">
        <v>1681</v>
      </c>
      <c r="B590" s="2" t="s">
        <v>1682</v>
      </c>
      <c r="C590" s="2" t="s">
        <v>1683</v>
      </c>
      <c r="D590" t="s">
        <v>6241</v>
      </c>
      <c r="E590" t="s">
        <v>7878</v>
      </c>
      <c r="F590" t="s">
        <v>0</v>
      </c>
      <c r="G590" s="1">
        <f>DATE(2020,10,8)</f>
        <v>44112</v>
      </c>
    </row>
    <row r="591" spans="1:7" x14ac:dyDescent="0.35">
      <c r="A591" s="2" t="s">
        <v>1684</v>
      </c>
      <c r="B591" s="2" t="s">
        <v>1685</v>
      </c>
      <c r="C591" s="2" t="s">
        <v>1686</v>
      </c>
      <c r="D591" t="s">
        <v>6242</v>
      </c>
      <c r="E591" t="s">
        <v>7879</v>
      </c>
      <c r="F591" t="s">
        <v>0</v>
      </c>
      <c r="G591" s="1">
        <f>DATE(2024,1,5)</f>
        <v>45296</v>
      </c>
    </row>
    <row r="592" spans="1:7" x14ac:dyDescent="0.35">
      <c r="A592" s="2" t="s">
        <v>1687</v>
      </c>
      <c r="B592" s="2" t="s">
        <v>1688</v>
      </c>
      <c r="C592" s="2" t="s">
        <v>1689</v>
      </c>
      <c r="D592" t="s">
        <v>6243</v>
      </c>
      <c r="E592" t="s">
        <v>7880</v>
      </c>
      <c r="F592" t="s">
        <v>0</v>
      </c>
      <c r="G592" s="1">
        <f>DATE(2020,10,9)</f>
        <v>44113</v>
      </c>
    </row>
    <row r="593" spans="1:7" x14ac:dyDescent="0.35">
      <c r="A593" s="2" t="s">
        <v>1690</v>
      </c>
      <c r="B593" s="2" t="s">
        <v>1691</v>
      </c>
      <c r="C593" s="2" t="s">
        <v>1692</v>
      </c>
      <c r="D593" t="s">
        <v>6244</v>
      </c>
      <c r="E593" t="s">
        <v>7881</v>
      </c>
      <c r="F593" t="s">
        <v>0</v>
      </c>
      <c r="G593" s="1">
        <f>DATE(2020,10,15)</f>
        <v>44119</v>
      </c>
    </row>
    <row r="594" spans="1:7" x14ac:dyDescent="0.35">
      <c r="A594" s="2" t="s">
        <v>1693</v>
      </c>
      <c r="B594" s="2" t="s">
        <v>1694</v>
      </c>
      <c r="D594" t="s">
        <v>5756</v>
      </c>
      <c r="E594" t="e">
        <v>#VALUE!</v>
      </c>
      <c r="F594" t="s">
        <v>0</v>
      </c>
      <c r="G594" s="1">
        <f>DATE(2023,9,7)</f>
        <v>45176</v>
      </c>
    </row>
    <row r="595" spans="1:7" x14ac:dyDescent="0.35">
      <c r="A595" s="2" t="s">
        <v>1695</v>
      </c>
      <c r="B595" s="2" t="s">
        <v>1696</v>
      </c>
      <c r="C595" s="2" t="s">
        <v>1697</v>
      </c>
      <c r="D595" t="s">
        <v>6245</v>
      </c>
      <c r="E595" t="s">
        <v>7882</v>
      </c>
      <c r="F595" t="s">
        <v>0</v>
      </c>
      <c r="G595" s="1">
        <f>DATE(2020,10,15)</f>
        <v>44119</v>
      </c>
    </row>
    <row r="596" spans="1:7" x14ac:dyDescent="0.35">
      <c r="A596" s="2" t="s">
        <v>1698</v>
      </c>
      <c r="B596" s="2" t="s">
        <v>1699</v>
      </c>
      <c r="C596" s="2" t="s">
        <v>1700</v>
      </c>
      <c r="D596" t="s">
        <v>6246</v>
      </c>
      <c r="E596" t="s">
        <v>7883</v>
      </c>
      <c r="F596" t="s">
        <v>0</v>
      </c>
      <c r="G596" s="1">
        <f>DATE(2021,1,14)</f>
        <v>44210</v>
      </c>
    </row>
    <row r="597" spans="1:7" x14ac:dyDescent="0.35">
      <c r="A597" s="2" t="s">
        <v>1701</v>
      </c>
      <c r="B597" s="2" t="s">
        <v>1702</v>
      </c>
      <c r="C597" s="2" t="s">
        <v>1703</v>
      </c>
      <c r="D597" t="s">
        <v>6247</v>
      </c>
      <c r="E597" t="s">
        <v>7884</v>
      </c>
      <c r="F597" t="s">
        <v>0</v>
      </c>
      <c r="G597" s="1">
        <f>DATE(2021,10,20)</f>
        <v>44489</v>
      </c>
    </row>
    <row r="598" spans="1:7" x14ac:dyDescent="0.35">
      <c r="A598" s="2" t="s">
        <v>1704</v>
      </c>
      <c r="B598" s="2" t="s">
        <v>1705</v>
      </c>
      <c r="D598" t="s">
        <v>5756</v>
      </c>
      <c r="E598" t="e">
        <v>#VALUE!</v>
      </c>
      <c r="F598" t="s">
        <v>0</v>
      </c>
      <c r="G598" s="1">
        <f>DATE(2023,6,13)</f>
        <v>45090</v>
      </c>
    </row>
    <row r="599" spans="1:7" x14ac:dyDescent="0.35">
      <c r="A599" s="2" t="s">
        <v>1706</v>
      </c>
      <c r="B599" s="2" t="s">
        <v>1707</v>
      </c>
      <c r="C599" s="2" t="s">
        <v>1708</v>
      </c>
      <c r="D599" t="s">
        <v>6248</v>
      </c>
      <c r="E599" t="s">
        <v>7885</v>
      </c>
      <c r="F599" t="s">
        <v>0</v>
      </c>
      <c r="G599" s="1">
        <f>DATE(2021,1,21)</f>
        <v>44217</v>
      </c>
    </row>
    <row r="600" spans="1:7" x14ac:dyDescent="0.35">
      <c r="A600" s="2" t="s">
        <v>1709</v>
      </c>
      <c r="B600" s="2" t="s">
        <v>1710</v>
      </c>
      <c r="C600" s="2" t="s">
        <v>1711</v>
      </c>
      <c r="D600" t="s">
        <v>6249</v>
      </c>
      <c r="E600" t="s">
        <v>7886</v>
      </c>
      <c r="F600" t="s">
        <v>0</v>
      </c>
      <c r="G600" s="1">
        <f>DATE(2020,12,10)</f>
        <v>44175</v>
      </c>
    </row>
    <row r="601" spans="1:7" x14ac:dyDescent="0.35">
      <c r="A601" s="2" t="s">
        <v>1712</v>
      </c>
      <c r="B601" s="2" t="s">
        <v>1713</v>
      </c>
      <c r="C601" s="2" t="s">
        <v>1714</v>
      </c>
      <c r="D601" t="s">
        <v>6250</v>
      </c>
      <c r="E601" t="s">
        <v>7887</v>
      </c>
      <c r="F601" t="s">
        <v>0</v>
      </c>
      <c r="G601" s="1">
        <f>DATE(2020,12,1)</f>
        <v>44166</v>
      </c>
    </row>
    <row r="602" spans="1:7" x14ac:dyDescent="0.35">
      <c r="A602" s="2" t="s">
        <v>1715</v>
      </c>
      <c r="B602" s="2" t="s">
        <v>1716</v>
      </c>
      <c r="C602" s="2" t="s">
        <v>1717</v>
      </c>
      <c r="D602" t="s">
        <v>6251</v>
      </c>
      <c r="E602" t="s">
        <v>7888</v>
      </c>
      <c r="F602" t="s">
        <v>0</v>
      </c>
      <c r="G602" s="1">
        <f>DATE(2021,1,21)</f>
        <v>44217</v>
      </c>
    </row>
    <row r="603" spans="1:7" x14ac:dyDescent="0.35">
      <c r="A603" s="2" t="s">
        <v>1718</v>
      </c>
      <c r="B603" s="2" t="s">
        <v>1719</v>
      </c>
      <c r="C603" s="2" t="s">
        <v>1720</v>
      </c>
      <c r="D603" t="s">
        <v>6252</v>
      </c>
      <c r="E603" t="s">
        <v>7889</v>
      </c>
      <c r="F603" t="s">
        <v>0</v>
      </c>
      <c r="G603" s="1">
        <f>DATE(2022,2,8)</f>
        <v>44600</v>
      </c>
    </row>
    <row r="604" spans="1:7" x14ac:dyDescent="0.35">
      <c r="A604" s="2" t="s">
        <v>1721</v>
      </c>
      <c r="B604" s="2" t="s">
        <v>1722</v>
      </c>
      <c r="D604" t="s">
        <v>5756</v>
      </c>
      <c r="E604" t="e">
        <v>#VALUE!</v>
      </c>
      <c r="F604" t="s">
        <v>0</v>
      </c>
      <c r="G604" s="1">
        <f>DATE(2023,12,8)</f>
        <v>45268</v>
      </c>
    </row>
    <row r="605" spans="1:7" x14ac:dyDescent="0.35">
      <c r="A605" s="2" t="s">
        <v>1723</v>
      </c>
      <c r="B605" s="2" t="s">
        <v>1724</v>
      </c>
      <c r="C605" s="2" t="s">
        <v>1725</v>
      </c>
      <c r="D605" t="s">
        <v>6253</v>
      </c>
      <c r="E605" t="s">
        <v>7890</v>
      </c>
      <c r="F605" t="s">
        <v>0</v>
      </c>
      <c r="G605" s="1">
        <f>DATE(2023,9,25)</f>
        <v>45194</v>
      </c>
    </row>
    <row r="606" spans="1:7" x14ac:dyDescent="0.35">
      <c r="A606" s="2" t="s">
        <v>1726</v>
      </c>
      <c r="B606" s="2" t="s">
        <v>1727</v>
      </c>
      <c r="C606" s="2" t="s">
        <v>1728</v>
      </c>
      <c r="D606" t="s">
        <v>6254</v>
      </c>
      <c r="E606" t="s">
        <v>7891</v>
      </c>
      <c r="F606" t="s">
        <v>0</v>
      </c>
      <c r="G606" s="1">
        <f>DATE(2021,10,1)</f>
        <v>44470</v>
      </c>
    </row>
    <row r="607" spans="1:7" x14ac:dyDescent="0.35">
      <c r="A607" s="2" t="s">
        <v>1729</v>
      </c>
      <c r="B607" s="2" t="s">
        <v>1730</v>
      </c>
      <c r="C607" s="2" t="s">
        <v>1731</v>
      </c>
      <c r="D607" t="s">
        <v>6255</v>
      </c>
      <c r="E607" t="s">
        <v>7892</v>
      </c>
      <c r="F607" t="s">
        <v>0</v>
      </c>
      <c r="G607" s="1">
        <f>DATE(2021,10,6)</f>
        <v>44475</v>
      </c>
    </row>
    <row r="608" spans="1:7" x14ac:dyDescent="0.35">
      <c r="A608" s="2" t="s">
        <v>1732</v>
      </c>
      <c r="B608" s="2" t="s">
        <v>1733</v>
      </c>
      <c r="C608" s="2" t="s">
        <v>142</v>
      </c>
      <c r="D608" t="s">
        <v>5784</v>
      </c>
      <c r="E608" t="s">
        <v>7420</v>
      </c>
      <c r="F608" t="s">
        <v>0</v>
      </c>
      <c r="G608" s="1">
        <f>DATE(2023,5,11)</f>
        <v>45057</v>
      </c>
    </row>
    <row r="609" spans="1:7" x14ac:dyDescent="0.35">
      <c r="A609" s="2" t="s">
        <v>1734</v>
      </c>
      <c r="B609" s="2" t="s">
        <v>1735</v>
      </c>
      <c r="C609" s="2" t="s">
        <v>1736</v>
      </c>
      <c r="D609" t="s">
        <v>6256</v>
      </c>
      <c r="E609" t="s">
        <v>7893</v>
      </c>
      <c r="F609" t="s">
        <v>0</v>
      </c>
      <c r="G609" s="1">
        <f>DATE(2020,11,24)</f>
        <v>44159</v>
      </c>
    </row>
    <row r="610" spans="1:7" x14ac:dyDescent="0.35">
      <c r="A610" s="2" t="s">
        <v>1737</v>
      </c>
      <c r="B610" s="2" t="s">
        <v>1738</v>
      </c>
      <c r="C610" s="2" t="s">
        <v>1739</v>
      </c>
      <c r="D610" t="s">
        <v>6257</v>
      </c>
      <c r="E610" t="s">
        <v>7894</v>
      </c>
      <c r="F610" t="s">
        <v>0</v>
      </c>
      <c r="G610" s="1">
        <f>DATE(2021,9,26)</f>
        <v>44465</v>
      </c>
    </row>
    <row r="611" spans="1:7" x14ac:dyDescent="0.35">
      <c r="A611" s="2" t="s">
        <v>1740</v>
      </c>
      <c r="B611" s="2" t="s">
        <v>1741</v>
      </c>
      <c r="C611" s="2" t="s">
        <v>1742</v>
      </c>
      <c r="D611" t="s">
        <v>6258</v>
      </c>
      <c r="E611" t="s">
        <v>7895</v>
      </c>
      <c r="F611" t="s">
        <v>0</v>
      </c>
      <c r="G611" s="1">
        <f>DATE(2020,11,27)</f>
        <v>44162</v>
      </c>
    </row>
    <row r="612" spans="1:7" x14ac:dyDescent="0.35">
      <c r="A612" s="2" t="s">
        <v>1743</v>
      </c>
      <c r="B612" s="2" t="s">
        <v>1744</v>
      </c>
      <c r="C612" s="2" t="s">
        <v>1745</v>
      </c>
      <c r="D612" t="s">
        <v>6259</v>
      </c>
      <c r="E612" t="s">
        <v>7896</v>
      </c>
      <c r="F612" t="s">
        <v>0</v>
      </c>
      <c r="G612" s="1">
        <f>DATE(2020,12,11)</f>
        <v>44176</v>
      </c>
    </row>
    <row r="613" spans="1:7" x14ac:dyDescent="0.35">
      <c r="A613" s="2" t="s">
        <v>1746</v>
      </c>
      <c r="B613" s="2" t="s">
        <v>1747</v>
      </c>
      <c r="C613" s="2" t="s">
        <v>1748</v>
      </c>
      <c r="D613" t="s">
        <v>6260</v>
      </c>
      <c r="E613" t="s">
        <v>7897</v>
      </c>
      <c r="F613" t="s">
        <v>0</v>
      </c>
      <c r="G613" s="1">
        <f>DATE(2020,12,8)</f>
        <v>44173</v>
      </c>
    </row>
    <row r="614" spans="1:7" x14ac:dyDescent="0.35">
      <c r="A614" s="2" t="s">
        <v>1749</v>
      </c>
      <c r="B614" s="2" t="s">
        <v>1750</v>
      </c>
      <c r="C614" s="2" t="s">
        <v>1751</v>
      </c>
      <c r="D614" t="s">
        <v>6261</v>
      </c>
      <c r="E614" t="s">
        <v>7898</v>
      </c>
      <c r="F614" t="s">
        <v>0</v>
      </c>
      <c r="G614" s="1">
        <f>DATE(2021,4,1)</f>
        <v>44287</v>
      </c>
    </row>
    <row r="615" spans="1:7" x14ac:dyDescent="0.35">
      <c r="A615" s="2" t="s">
        <v>1752</v>
      </c>
      <c r="B615" s="2" t="s">
        <v>1753</v>
      </c>
      <c r="D615" t="s">
        <v>5756</v>
      </c>
      <c r="E615" t="e">
        <v>#VALUE!</v>
      </c>
      <c r="F615" t="s">
        <v>0</v>
      </c>
      <c r="G615" s="1">
        <f>DATE(2023,6,26)</f>
        <v>45103</v>
      </c>
    </row>
    <row r="616" spans="1:7" x14ac:dyDescent="0.35">
      <c r="A616" s="2" t="s">
        <v>1754</v>
      </c>
      <c r="B616" s="2" t="s">
        <v>1755</v>
      </c>
      <c r="C616" s="2" t="s">
        <v>1756</v>
      </c>
      <c r="D616" t="s">
        <v>6262</v>
      </c>
      <c r="E616" t="s">
        <v>7899</v>
      </c>
      <c r="F616" t="s">
        <v>0</v>
      </c>
      <c r="G616" s="1">
        <f>DATE(2021,3,29)</f>
        <v>44284</v>
      </c>
    </row>
    <row r="617" spans="1:7" x14ac:dyDescent="0.35">
      <c r="A617" s="2" t="s">
        <v>1757</v>
      </c>
      <c r="B617" s="2" t="s">
        <v>1758</v>
      </c>
      <c r="C617" s="2" t="s">
        <v>1759</v>
      </c>
      <c r="D617" t="s">
        <v>6263</v>
      </c>
      <c r="E617" t="s">
        <v>7900</v>
      </c>
      <c r="F617" t="s">
        <v>0</v>
      </c>
      <c r="G617" s="1">
        <f>DATE(2021,1,21)</f>
        <v>44217</v>
      </c>
    </row>
    <row r="618" spans="1:7" x14ac:dyDescent="0.35">
      <c r="A618" s="2" t="s">
        <v>1760</v>
      </c>
      <c r="B618" s="2" t="s">
        <v>1761</v>
      </c>
      <c r="C618" s="2" t="s">
        <v>1762</v>
      </c>
      <c r="D618" t="s">
        <v>6264</v>
      </c>
      <c r="E618" t="s">
        <v>7901</v>
      </c>
      <c r="F618" t="s">
        <v>0</v>
      </c>
      <c r="G618" s="1">
        <f>DATE(2021,10,22)</f>
        <v>44491</v>
      </c>
    </row>
    <row r="619" spans="1:7" x14ac:dyDescent="0.35">
      <c r="A619" s="2" t="s">
        <v>1763</v>
      </c>
      <c r="B619" s="2" t="s">
        <v>1764</v>
      </c>
      <c r="C619" s="2" t="s">
        <v>1765</v>
      </c>
      <c r="D619" t="s">
        <v>6265</v>
      </c>
      <c r="E619" t="s">
        <v>7902</v>
      </c>
      <c r="F619" t="s">
        <v>0</v>
      </c>
      <c r="G619" s="1">
        <f>DATE(2021,1,13)</f>
        <v>44209</v>
      </c>
    </row>
    <row r="620" spans="1:7" x14ac:dyDescent="0.35">
      <c r="A620" s="2" t="s">
        <v>1766</v>
      </c>
      <c r="B620" s="2" t="s">
        <v>1767</v>
      </c>
      <c r="C620" s="2" t="s">
        <v>1768</v>
      </c>
      <c r="D620" t="s">
        <v>6266</v>
      </c>
      <c r="E620" t="s">
        <v>7903</v>
      </c>
      <c r="F620" t="s">
        <v>0</v>
      </c>
      <c r="G620" s="1">
        <f>DATE(2021,2,11)</f>
        <v>44238</v>
      </c>
    </row>
    <row r="621" spans="1:7" x14ac:dyDescent="0.35">
      <c r="A621" s="2" t="s">
        <v>1769</v>
      </c>
      <c r="B621" s="2" t="s">
        <v>1770</v>
      </c>
      <c r="C621" s="2" t="s">
        <v>1728</v>
      </c>
      <c r="D621" t="s">
        <v>6254</v>
      </c>
      <c r="E621" t="s">
        <v>7891</v>
      </c>
      <c r="F621" t="s">
        <v>0</v>
      </c>
      <c r="G621" s="1">
        <f>DATE(2023,6,13)</f>
        <v>45090</v>
      </c>
    </row>
    <row r="622" spans="1:7" x14ac:dyDescent="0.35">
      <c r="A622" s="2" t="s">
        <v>1771</v>
      </c>
      <c r="B622" s="2" t="s">
        <v>1772</v>
      </c>
      <c r="C622" s="2" t="s">
        <v>1773</v>
      </c>
      <c r="D622" t="s">
        <v>6267</v>
      </c>
      <c r="E622" t="s">
        <v>7904</v>
      </c>
      <c r="F622" t="s">
        <v>0</v>
      </c>
      <c r="G622" s="1">
        <f>DATE(2021,1,18)</f>
        <v>44214</v>
      </c>
    </row>
    <row r="623" spans="1:7" x14ac:dyDescent="0.35">
      <c r="A623" s="2" t="s">
        <v>1774</v>
      </c>
      <c r="B623" s="2" t="s">
        <v>1775</v>
      </c>
      <c r="C623" s="2" t="s">
        <v>1776</v>
      </c>
      <c r="D623" t="s">
        <v>6268</v>
      </c>
      <c r="E623" t="s">
        <v>7905</v>
      </c>
      <c r="F623" t="s">
        <v>0</v>
      </c>
      <c r="G623" s="1">
        <f>DATE(2021,3,8)</f>
        <v>44263</v>
      </c>
    </row>
    <row r="624" spans="1:7" x14ac:dyDescent="0.35">
      <c r="A624" s="2" t="s">
        <v>1777</v>
      </c>
      <c r="B624" s="2" t="s">
        <v>1778</v>
      </c>
      <c r="C624" s="2" t="s">
        <v>1779</v>
      </c>
      <c r="D624" t="s">
        <v>6269</v>
      </c>
      <c r="E624" t="s">
        <v>7906</v>
      </c>
      <c r="F624" t="s">
        <v>0</v>
      </c>
      <c r="G624" s="1">
        <f>DATE(2022,8,25)</f>
        <v>44798</v>
      </c>
    </row>
    <row r="625" spans="1:7" x14ac:dyDescent="0.35">
      <c r="A625" s="2" t="s">
        <v>1780</v>
      </c>
      <c r="B625" s="2" t="s">
        <v>1781</v>
      </c>
      <c r="C625" s="2" t="s">
        <v>1782</v>
      </c>
      <c r="D625" t="s">
        <v>6270</v>
      </c>
      <c r="E625" t="s">
        <v>7907</v>
      </c>
      <c r="F625" t="s">
        <v>0</v>
      </c>
      <c r="G625" s="1">
        <f>DATE(2022,8,25)</f>
        <v>44798</v>
      </c>
    </row>
    <row r="626" spans="1:7" x14ac:dyDescent="0.35">
      <c r="A626" s="2" t="s">
        <v>1783</v>
      </c>
      <c r="B626" s="2" t="s">
        <v>1784</v>
      </c>
      <c r="D626" t="s">
        <v>5756</v>
      </c>
      <c r="E626" t="e">
        <v>#VALUE!</v>
      </c>
      <c r="F626" t="s">
        <v>0</v>
      </c>
      <c r="G626" s="1">
        <f>DATE(2021,3,8)</f>
        <v>44263</v>
      </c>
    </row>
    <row r="627" spans="1:7" x14ac:dyDescent="0.35">
      <c r="A627" s="2" t="s">
        <v>1785</v>
      </c>
      <c r="B627" s="2" t="s">
        <v>1786</v>
      </c>
      <c r="C627" s="2" t="s">
        <v>1787</v>
      </c>
      <c r="D627" t="s">
        <v>6271</v>
      </c>
      <c r="E627" t="s">
        <v>7908</v>
      </c>
      <c r="F627" t="s">
        <v>0</v>
      </c>
      <c r="G627" s="1">
        <f>DATE(2021,3,17)</f>
        <v>44272</v>
      </c>
    </row>
    <row r="628" spans="1:7" x14ac:dyDescent="0.35">
      <c r="A628" s="2" t="s">
        <v>1788</v>
      </c>
      <c r="B628" s="2" t="s">
        <v>1789</v>
      </c>
      <c r="C628" s="2" t="s">
        <v>1790</v>
      </c>
      <c r="D628" t="s">
        <v>6272</v>
      </c>
      <c r="E628" t="s">
        <v>7909</v>
      </c>
      <c r="F628" t="s">
        <v>0</v>
      </c>
      <c r="G628" s="1">
        <f>DATE(2021,4,15)</f>
        <v>44301</v>
      </c>
    </row>
    <row r="629" spans="1:7" x14ac:dyDescent="0.35">
      <c r="A629" s="2" t="s">
        <v>1791</v>
      </c>
      <c r="B629" s="2" t="s">
        <v>1792</v>
      </c>
      <c r="C629" s="2" t="s">
        <v>1793</v>
      </c>
      <c r="D629" t="s">
        <v>6273</v>
      </c>
      <c r="E629" t="s">
        <v>7910</v>
      </c>
      <c r="F629" t="s">
        <v>0</v>
      </c>
      <c r="G629" s="1">
        <f>DATE(2021,5,6)</f>
        <v>44322</v>
      </c>
    </row>
    <row r="630" spans="1:7" x14ac:dyDescent="0.35">
      <c r="A630" s="2" t="s">
        <v>1794</v>
      </c>
      <c r="B630" s="2" t="s">
        <v>1795</v>
      </c>
      <c r="C630" s="2" t="s">
        <v>1796</v>
      </c>
      <c r="D630" t="s">
        <v>6274</v>
      </c>
      <c r="E630" t="s">
        <v>7911</v>
      </c>
      <c r="F630" t="s">
        <v>0</v>
      </c>
      <c r="G630" s="1">
        <f>DATE(2021,11,30)</f>
        <v>44530</v>
      </c>
    </row>
    <row r="631" spans="1:7" x14ac:dyDescent="0.35">
      <c r="A631" s="2" t="s">
        <v>1797</v>
      </c>
      <c r="B631" s="2" t="s">
        <v>1798</v>
      </c>
      <c r="C631" s="2" t="s">
        <v>1799</v>
      </c>
      <c r="D631" t="s">
        <v>6275</v>
      </c>
      <c r="E631" t="s">
        <v>7912</v>
      </c>
      <c r="F631" t="s">
        <v>0</v>
      </c>
      <c r="G631" s="1">
        <f>DATE(2021,6,3)</f>
        <v>44350</v>
      </c>
    </row>
    <row r="632" spans="1:7" x14ac:dyDescent="0.35">
      <c r="A632" s="2" t="s">
        <v>1800</v>
      </c>
      <c r="B632" s="2" t="s">
        <v>1801</v>
      </c>
      <c r="C632" s="2" t="s">
        <v>1802</v>
      </c>
      <c r="D632" t="s">
        <v>6276</v>
      </c>
      <c r="E632" t="s">
        <v>7913</v>
      </c>
      <c r="F632" t="s">
        <v>0</v>
      </c>
      <c r="G632" s="1">
        <f>DATE(2021,5,11)</f>
        <v>44327</v>
      </c>
    </row>
    <row r="633" spans="1:7" x14ac:dyDescent="0.35">
      <c r="A633" s="2" t="s">
        <v>1803</v>
      </c>
      <c r="B633" s="2" t="s">
        <v>1804</v>
      </c>
      <c r="C633" s="2" t="s">
        <v>1805</v>
      </c>
      <c r="D633" t="s">
        <v>6277</v>
      </c>
      <c r="E633" t="s">
        <v>7914</v>
      </c>
      <c r="F633" t="s">
        <v>0</v>
      </c>
      <c r="G633" s="1">
        <f>DATE(2023,3,30)</f>
        <v>45015</v>
      </c>
    </row>
    <row r="634" spans="1:7" x14ac:dyDescent="0.35">
      <c r="A634" s="2" t="s">
        <v>1806</v>
      </c>
      <c r="B634" s="2" t="s">
        <v>1807</v>
      </c>
      <c r="C634" s="2" t="s">
        <v>1808</v>
      </c>
      <c r="D634" t="s">
        <v>6278</v>
      </c>
      <c r="E634" t="s">
        <v>7915</v>
      </c>
      <c r="F634" t="s">
        <v>0</v>
      </c>
      <c r="G634" s="1">
        <f>DATE(2023,9,29)</f>
        <v>45198</v>
      </c>
    </row>
    <row r="635" spans="1:7" x14ac:dyDescent="0.35">
      <c r="A635" s="2" t="s">
        <v>1809</v>
      </c>
      <c r="B635" s="2" t="s">
        <v>1810</v>
      </c>
      <c r="C635" s="2" t="s">
        <v>1811</v>
      </c>
      <c r="D635" t="s">
        <v>6279</v>
      </c>
      <c r="E635" t="s">
        <v>7916</v>
      </c>
      <c r="F635" t="s">
        <v>0</v>
      </c>
      <c r="G635" s="1">
        <f>DATE(2021,5,18)</f>
        <v>44334</v>
      </c>
    </row>
    <row r="636" spans="1:7" x14ac:dyDescent="0.35">
      <c r="A636" s="2" t="s">
        <v>1812</v>
      </c>
      <c r="B636" s="2" t="s">
        <v>1813</v>
      </c>
      <c r="C636" s="2" t="s">
        <v>1814</v>
      </c>
      <c r="D636" t="s">
        <v>6280</v>
      </c>
      <c r="E636" t="s">
        <v>7917</v>
      </c>
      <c r="F636" t="s">
        <v>0</v>
      </c>
      <c r="G636" s="1">
        <f>DATE(2021,5,18)</f>
        <v>44334</v>
      </c>
    </row>
    <row r="637" spans="1:7" x14ac:dyDescent="0.35">
      <c r="A637" s="2" t="s">
        <v>1815</v>
      </c>
      <c r="B637" s="2" t="s">
        <v>1816</v>
      </c>
      <c r="C637" s="2" t="s">
        <v>1817</v>
      </c>
      <c r="D637" t="s">
        <v>6281</v>
      </c>
      <c r="E637" t="s">
        <v>7918</v>
      </c>
      <c r="F637" t="s">
        <v>0</v>
      </c>
      <c r="G637" s="1">
        <f>DATE(2021,5,25)</f>
        <v>44341</v>
      </c>
    </row>
    <row r="638" spans="1:7" x14ac:dyDescent="0.35">
      <c r="A638" s="2" t="s">
        <v>1818</v>
      </c>
      <c r="B638" s="2" t="s">
        <v>1819</v>
      </c>
      <c r="C638" s="2" t="s">
        <v>1820</v>
      </c>
      <c r="D638" t="s">
        <v>6282</v>
      </c>
      <c r="E638" t="s">
        <v>7919</v>
      </c>
      <c r="F638" t="s">
        <v>0</v>
      </c>
      <c r="G638" s="1">
        <f>DATE(2021,8,5)</f>
        <v>44413</v>
      </c>
    </row>
    <row r="639" spans="1:7" x14ac:dyDescent="0.35">
      <c r="A639" s="2" t="s">
        <v>1821</v>
      </c>
      <c r="B639" s="2" t="s">
        <v>1822</v>
      </c>
      <c r="C639" s="2" t="s">
        <v>1823</v>
      </c>
      <c r="D639" t="s">
        <v>6283</v>
      </c>
      <c r="E639" t="s">
        <v>7920</v>
      </c>
      <c r="F639" t="s">
        <v>0</v>
      </c>
      <c r="G639" s="1">
        <f>DATE(2021,6,8)</f>
        <v>44355</v>
      </c>
    </row>
    <row r="640" spans="1:7" x14ac:dyDescent="0.35">
      <c r="A640" s="2" t="s">
        <v>1824</v>
      </c>
      <c r="B640" s="2" t="s">
        <v>1825</v>
      </c>
      <c r="D640" t="s">
        <v>5756</v>
      </c>
      <c r="E640" t="e">
        <v>#VALUE!</v>
      </c>
      <c r="F640" t="s">
        <v>0</v>
      </c>
      <c r="G640" s="1">
        <f>DATE(2023,6,19)</f>
        <v>45096</v>
      </c>
    </row>
    <row r="641" spans="1:7" x14ac:dyDescent="0.35">
      <c r="A641" s="2" t="s">
        <v>1826</v>
      </c>
      <c r="B641" s="2" t="s">
        <v>1827</v>
      </c>
      <c r="C641" s="2" t="s">
        <v>1828</v>
      </c>
      <c r="D641" t="s">
        <v>6284</v>
      </c>
      <c r="E641" t="s">
        <v>7921</v>
      </c>
      <c r="F641" t="s">
        <v>0</v>
      </c>
      <c r="G641" s="1">
        <f>DATE(2021,9,16)</f>
        <v>44455</v>
      </c>
    </row>
    <row r="642" spans="1:7" x14ac:dyDescent="0.35">
      <c r="A642" s="2" t="s">
        <v>1829</v>
      </c>
      <c r="B642" s="2" t="s">
        <v>1830</v>
      </c>
      <c r="C642" s="2" t="s">
        <v>1831</v>
      </c>
      <c r="D642" t="s">
        <v>6285</v>
      </c>
      <c r="E642" t="s">
        <v>7922</v>
      </c>
      <c r="F642" t="s">
        <v>0</v>
      </c>
      <c r="G642" s="1">
        <f>DATE(2021,5,31)</f>
        <v>44347</v>
      </c>
    </row>
    <row r="643" spans="1:7" x14ac:dyDescent="0.35">
      <c r="A643" s="2" t="s">
        <v>1832</v>
      </c>
      <c r="B643" s="2" t="s">
        <v>1833</v>
      </c>
      <c r="C643" s="2" t="s">
        <v>1834</v>
      </c>
      <c r="D643" t="s">
        <v>6286</v>
      </c>
      <c r="E643" t="s">
        <v>7923</v>
      </c>
      <c r="F643" t="s">
        <v>0</v>
      </c>
      <c r="G643" s="1">
        <f>DATE(2023,7,25)</f>
        <v>45132</v>
      </c>
    </row>
    <row r="644" spans="1:7" x14ac:dyDescent="0.35">
      <c r="A644" s="2" t="s">
        <v>1835</v>
      </c>
      <c r="B644" s="2" t="s">
        <v>1836</v>
      </c>
      <c r="C644" s="2" t="s">
        <v>1837</v>
      </c>
      <c r="D644" t="s">
        <v>6287</v>
      </c>
      <c r="E644" t="s">
        <v>7924</v>
      </c>
      <c r="F644" t="s">
        <v>0</v>
      </c>
      <c r="G644" s="1">
        <f>DATE(2021,11,10)</f>
        <v>44510</v>
      </c>
    </row>
    <row r="645" spans="1:7" x14ac:dyDescent="0.35">
      <c r="A645" s="2" t="s">
        <v>1838</v>
      </c>
      <c r="B645" s="2" t="s">
        <v>1839</v>
      </c>
      <c r="C645" s="2" t="s">
        <v>1840</v>
      </c>
      <c r="D645" t="s">
        <v>6288</v>
      </c>
      <c r="E645" t="s">
        <v>7925</v>
      </c>
      <c r="F645" t="s">
        <v>0</v>
      </c>
      <c r="G645" s="1">
        <f>DATE(2022,1,21)</f>
        <v>44582</v>
      </c>
    </row>
    <row r="646" spans="1:7" x14ac:dyDescent="0.35">
      <c r="A646" s="2" t="s">
        <v>1841</v>
      </c>
      <c r="B646" s="2" t="s">
        <v>1842</v>
      </c>
      <c r="C646" s="2" t="s">
        <v>1843</v>
      </c>
      <c r="D646" t="s">
        <v>6289</v>
      </c>
      <c r="E646" t="s">
        <v>7926</v>
      </c>
      <c r="F646" t="s">
        <v>0</v>
      </c>
      <c r="G646" s="1">
        <f>DATE(2021,9,16)</f>
        <v>44455</v>
      </c>
    </row>
    <row r="647" spans="1:7" x14ac:dyDescent="0.35">
      <c r="A647" s="2" t="s">
        <v>1844</v>
      </c>
      <c r="B647" s="2" t="s">
        <v>1845</v>
      </c>
      <c r="C647" s="2" t="s">
        <v>1846</v>
      </c>
      <c r="D647" t="s">
        <v>6290</v>
      </c>
      <c r="E647" t="s">
        <v>7927</v>
      </c>
      <c r="F647" t="s">
        <v>0</v>
      </c>
      <c r="G647" s="1">
        <f>DATE(2021,6,2)</f>
        <v>44349</v>
      </c>
    </row>
    <row r="648" spans="1:7" x14ac:dyDescent="0.35">
      <c r="A648" s="2" t="s">
        <v>1847</v>
      </c>
      <c r="B648" s="2" t="s">
        <v>1848</v>
      </c>
      <c r="C648" s="2" t="s">
        <v>1849</v>
      </c>
      <c r="D648" t="s">
        <v>6291</v>
      </c>
      <c r="E648" t="s">
        <v>7928</v>
      </c>
      <c r="F648" t="s">
        <v>0</v>
      </c>
      <c r="G648" s="1">
        <f>DATE(2021,6,17)</f>
        <v>44364</v>
      </c>
    </row>
    <row r="649" spans="1:7" x14ac:dyDescent="0.35">
      <c r="A649" s="2" t="s">
        <v>1850</v>
      </c>
      <c r="B649" s="2" t="s">
        <v>1851</v>
      </c>
      <c r="C649" s="2" t="s">
        <v>1852</v>
      </c>
      <c r="D649" t="s">
        <v>6292</v>
      </c>
      <c r="E649" t="s">
        <v>7929</v>
      </c>
      <c r="F649" t="s">
        <v>0</v>
      </c>
      <c r="G649" s="1">
        <f>DATE(2021,6,7)</f>
        <v>44354</v>
      </c>
    </row>
    <row r="650" spans="1:7" x14ac:dyDescent="0.35">
      <c r="A650" s="2" t="s">
        <v>1853</v>
      </c>
      <c r="B650" s="2" t="s">
        <v>1854</v>
      </c>
      <c r="C650" s="2" t="s">
        <v>1855</v>
      </c>
      <c r="D650" t="s">
        <v>6293</v>
      </c>
      <c r="E650" t="s">
        <v>7930</v>
      </c>
      <c r="F650" t="s">
        <v>0</v>
      </c>
      <c r="G650" s="1">
        <f>DATE(2021,6,9)</f>
        <v>44356</v>
      </c>
    </row>
    <row r="651" spans="1:7" x14ac:dyDescent="0.35">
      <c r="A651" s="2" t="s">
        <v>1856</v>
      </c>
      <c r="B651" s="2" t="s">
        <v>1857</v>
      </c>
      <c r="C651" s="2" t="s">
        <v>1858</v>
      </c>
      <c r="D651" t="s">
        <v>6294</v>
      </c>
      <c r="E651" t="s">
        <v>7931</v>
      </c>
      <c r="F651" t="s">
        <v>0</v>
      </c>
      <c r="G651" s="1">
        <f>DATE(2021,6,9)</f>
        <v>44356</v>
      </c>
    </row>
    <row r="652" spans="1:7" x14ac:dyDescent="0.35">
      <c r="A652" s="2" t="s">
        <v>1859</v>
      </c>
      <c r="B652" s="2" t="s">
        <v>1860</v>
      </c>
      <c r="C652" s="2" t="s">
        <v>1861</v>
      </c>
      <c r="D652" t="s">
        <v>6295</v>
      </c>
      <c r="E652" t="s">
        <v>7932</v>
      </c>
      <c r="F652" t="s">
        <v>0</v>
      </c>
      <c r="G652" s="1">
        <f>DATE(2021,7,5)</f>
        <v>44382</v>
      </c>
    </row>
    <row r="653" spans="1:7" x14ac:dyDescent="0.35">
      <c r="A653" s="2" t="s">
        <v>1862</v>
      </c>
      <c r="B653" s="2" t="s">
        <v>1863</v>
      </c>
      <c r="C653" s="2" t="s">
        <v>1864</v>
      </c>
      <c r="D653" t="s">
        <v>6296</v>
      </c>
      <c r="E653" t="s">
        <v>7933</v>
      </c>
      <c r="F653" t="s">
        <v>0</v>
      </c>
      <c r="G653" s="1">
        <f>DATE(2021,6,24)</f>
        <v>44371</v>
      </c>
    </row>
    <row r="654" spans="1:7" x14ac:dyDescent="0.35">
      <c r="A654" s="2" t="s">
        <v>1865</v>
      </c>
      <c r="B654" s="2" t="s">
        <v>1866</v>
      </c>
      <c r="C654" s="2" t="s">
        <v>1867</v>
      </c>
      <c r="D654" t="s">
        <v>6297</v>
      </c>
      <c r="E654" t="s">
        <v>7934</v>
      </c>
      <c r="F654" t="s">
        <v>0</v>
      </c>
      <c r="G654" s="1">
        <f>DATE(2022,4,25)</f>
        <v>44676</v>
      </c>
    </row>
    <row r="655" spans="1:7" x14ac:dyDescent="0.35">
      <c r="A655" s="2" t="s">
        <v>1868</v>
      </c>
      <c r="B655" s="2" t="s">
        <v>1869</v>
      </c>
      <c r="C655" s="2" t="s">
        <v>1870</v>
      </c>
      <c r="D655" t="s">
        <v>6298</v>
      </c>
      <c r="E655" t="s">
        <v>7935</v>
      </c>
      <c r="F655" t="s">
        <v>0</v>
      </c>
      <c r="G655" s="1">
        <f>DATE(2022,2,24)</f>
        <v>44616</v>
      </c>
    </row>
    <row r="656" spans="1:7" x14ac:dyDescent="0.35">
      <c r="A656" s="2" t="s">
        <v>1871</v>
      </c>
      <c r="B656" s="2" t="s">
        <v>1872</v>
      </c>
      <c r="C656" s="2" t="s">
        <v>1873</v>
      </c>
      <c r="D656" t="s">
        <v>6299</v>
      </c>
      <c r="E656" t="s">
        <v>7936</v>
      </c>
      <c r="F656" t="s">
        <v>0</v>
      </c>
      <c r="G656" s="1">
        <f>DATE(2021,6,22)</f>
        <v>44369</v>
      </c>
    </row>
    <row r="657" spans="1:7" x14ac:dyDescent="0.35">
      <c r="A657" s="2" t="s">
        <v>1874</v>
      </c>
      <c r="B657" s="2" t="s">
        <v>1875</v>
      </c>
      <c r="C657" s="2" t="s">
        <v>1876</v>
      </c>
      <c r="D657" t="s">
        <v>6300</v>
      </c>
      <c r="E657" t="s">
        <v>7937</v>
      </c>
      <c r="F657" t="s">
        <v>0</v>
      </c>
      <c r="G657" s="1">
        <f>DATE(2021,6,24)</f>
        <v>44371</v>
      </c>
    </row>
    <row r="658" spans="1:7" x14ac:dyDescent="0.35">
      <c r="A658" s="2" t="s">
        <v>1877</v>
      </c>
      <c r="B658" s="2" t="s">
        <v>1878</v>
      </c>
      <c r="D658" t="s">
        <v>5756</v>
      </c>
      <c r="E658" t="e">
        <v>#VALUE!</v>
      </c>
      <c r="F658" t="s">
        <v>0</v>
      </c>
      <c r="G658" s="1">
        <f>DATE(2024,1,11)</f>
        <v>45302</v>
      </c>
    </row>
    <row r="659" spans="1:7" x14ac:dyDescent="0.35">
      <c r="A659" s="2" t="s">
        <v>1879</v>
      </c>
      <c r="B659" s="2" t="s">
        <v>1880</v>
      </c>
      <c r="C659" s="2" t="s">
        <v>1881</v>
      </c>
      <c r="D659" t="s">
        <v>6301</v>
      </c>
      <c r="E659" t="s">
        <v>7938</v>
      </c>
      <c r="F659" t="s">
        <v>0</v>
      </c>
      <c r="G659" s="1">
        <f>DATE(2021,9,14)</f>
        <v>44453</v>
      </c>
    </row>
    <row r="660" spans="1:7" x14ac:dyDescent="0.35">
      <c r="A660" s="2" t="s">
        <v>1882</v>
      </c>
      <c r="B660" s="2" t="s">
        <v>1883</v>
      </c>
      <c r="C660" s="2" t="s">
        <v>1884</v>
      </c>
      <c r="D660" t="s">
        <v>6302</v>
      </c>
      <c r="E660" t="s">
        <v>7939</v>
      </c>
      <c r="F660" t="s">
        <v>0</v>
      </c>
      <c r="G660" s="1">
        <f>DATE(2022,1,21)</f>
        <v>44582</v>
      </c>
    </row>
    <row r="661" spans="1:7" x14ac:dyDescent="0.35">
      <c r="A661" s="2" t="s">
        <v>1885</v>
      </c>
      <c r="B661" s="2" t="s">
        <v>1886</v>
      </c>
      <c r="C661" s="2" t="s">
        <v>1887</v>
      </c>
      <c r="D661" t="s">
        <v>6303</v>
      </c>
      <c r="E661" t="s">
        <v>7940</v>
      </c>
      <c r="F661" t="s">
        <v>0</v>
      </c>
      <c r="G661" s="1">
        <f>DATE(2022,1,21)</f>
        <v>44582</v>
      </c>
    </row>
    <row r="662" spans="1:7" x14ac:dyDescent="0.35">
      <c r="A662" s="2" t="s">
        <v>1888</v>
      </c>
      <c r="B662" s="2" t="s">
        <v>1889</v>
      </c>
      <c r="C662" s="2" t="s">
        <v>1890</v>
      </c>
      <c r="D662" t="s">
        <v>6304</v>
      </c>
      <c r="E662" t="s">
        <v>7941</v>
      </c>
      <c r="F662" t="s">
        <v>0</v>
      </c>
      <c r="G662" s="1">
        <f>DATE(2021,7,9)</f>
        <v>44386</v>
      </c>
    </row>
    <row r="663" spans="1:7" x14ac:dyDescent="0.35">
      <c r="A663" s="2" t="s">
        <v>1891</v>
      </c>
      <c r="B663" s="2" t="s">
        <v>1892</v>
      </c>
      <c r="C663" s="2" t="s">
        <v>1893</v>
      </c>
      <c r="D663" t="s">
        <v>6305</v>
      </c>
      <c r="E663" t="s">
        <v>7942</v>
      </c>
      <c r="F663" t="s">
        <v>0</v>
      </c>
      <c r="G663" s="1">
        <f>DATE(2021,12,16)</f>
        <v>44546</v>
      </c>
    </row>
    <row r="664" spans="1:7" x14ac:dyDescent="0.35">
      <c r="A664" s="2" t="s">
        <v>1894</v>
      </c>
      <c r="B664" s="2" t="s">
        <v>1895</v>
      </c>
      <c r="C664" s="2" t="s">
        <v>1896</v>
      </c>
      <c r="D664" t="s">
        <v>6306</v>
      </c>
      <c r="E664" t="s">
        <v>7943</v>
      </c>
      <c r="F664" t="s">
        <v>0</v>
      </c>
      <c r="G664" s="1">
        <f>DATE(2023,6,19)</f>
        <v>45096</v>
      </c>
    </row>
    <row r="665" spans="1:7" x14ac:dyDescent="0.35">
      <c r="A665" s="2" t="s">
        <v>1897</v>
      </c>
      <c r="B665" s="2" t="s">
        <v>1898</v>
      </c>
      <c r="C665" s="2" t="s">
        <v>1899</v>
      </c>
      <c r="D665" t="s">
        <v>6307</v>
      </c>
      <c r="E665" t="s">
        <v>7944</v>
      </c>
      <c r="F665" t="s">
        <v>0</v>
      </c>
      <c r="G665" s="1">
        <f>DATE(2023,7,3)</f>
        <v>45110</v>
      </c>
    </row>
    <row r="666" spans="1:7" x14ac:dyDescent="0.35">
      <c r="A666" s="2" t="s">
        <v>1900</v>
      </c>
      <c r="B666" s="2" t="s">
        <v>1901</v>
      </c>
      <c r="C666" s="2" t="s">
        <v>1902</v>
      </c>
      <c r="D666" t="s">
        <v>6308</v>
      </c>
      <c r="E666" t="s">
        <v>7945</v>
      </c>
      <c r="F666" t="s">
        <v>0</v>
      </c>
      <c r="G666" s="1">
        <f>DATE(2022,3,24)</f>
        <v>44644</v>
      </c>
    </row>
    <row r="667" spans="1:7" x14ac:dyDescent="0.35">
      <c r="A667" s="2" t="s">
        <v>1903</v>
      </c>
      <c r="B667" s="2" t="s">
        <v>1904</v>
      </c>
      <c r="C667" s="2" t="s">
        <v>1905</v>
      </c>
      <c r="D667" t="s">
        <v>6309</v>
      </c>
      <c r="E667" t="s">
        <v>7946</v>
      </c>
      <c r="F667" t="s">
        <v>0</v>
      </c>
      <c r="G667" s="1">
        <f>DATE(2023,6,8)</f>
        <v>45085</v>
      </c>
    </row>
    <row r="668" spans="1:7" x14ac:dyDescent="0.35">
      <c r="A668" s="2" t="s">
        <v>1906</v>
      </c>
      <c r="B668" s="2" t="s">
        <v>1907</v>
      </c>
      <c r="C668" s="2" t="s">
        <v>1908</v>
      </c>
      <c r="D668" t="s">
        <v>6310</v>
      </c>
      <c r="E668" t="s">
        <v>7947</v>
      </c>
      <c r="F668" t="s">
        <v>0</v>
      </c>
      <c r="G668" s="1">
        <f>DATE(2021,11,6)</f>
        <v>44506</v>
      </c>
    </row>
    <row r="669" spans="1:7" x14ac:dyDescent="0.35">
      <c r="A669" s="2" t="s">
        <v>1909</v>
      </c>
      <c r="B669" s="2" t="s">
        <v>1910</v>
      </c>
      <c r="C669" s="2" t="s">
        <v>1911</v>
      </c>
      <c r="D669" t="s">
        <v>6311</v>
      </c>
      <c r="E669" t="s">
        <v>7948</v>
      </c>
      <c r="F669" t="s">
        <v>0</v>
      </c>
      <c r="G669" s="1">
        <f>DATE(2021,11,18)</f>
        <v>44518</v>
      </c>
    </row>
    <row r="670" spans="1:7" x14ac:dyDescent="0.35">
      <c r="A670" s="2" t="s">
        <v>1912</v>
      </c>
      <c r="B670" s="2" t="s">
        <v>1913</v>
      </c>
      <c r="C670" s="2" t="s">
        <v>1914</v>
      </c>
      <c r="D670" t="s">
        <v>6312</v>
      </c>
      <c r="E670" t="s">
        <v>7949</v>
      </c>
      <c r="F670" t="s">
        <v>0</v>
      </c>
      <c r="G670" s="1">
        <f>DATE(2021,8,4)</f>
        <v>44412</v>
      </c>
    </row>
    <row r="671" spans="1:7" x14ac:dyDescent="0.35">
      <c r="A671" s="2" t="s">
        <v>1915</v>
      </c>
      <c r="B671" s="2" t="s">
        <v>1916</v>
      </c>
      <c r="C671" s="2" t="s">
        <v>1917</v>
      </c>
      <c r="D671" t="s">
        <v>6313</v>
      </c>
      <c r="E671" t="s">
        <v>7950</v>
      </c>
      <c r="F671" t="s">
        <v>0</v>
      </c>
      <c r="G671" s="1">
        <f>DATE(2022,9,7)</f>
        <v>44811</v>
      </c>
    </row>
    <row r="672" spans="1:7" x14ac:dyDescent="0.35">
      <c r="A672" s="2" t="s">
        <v>1918</v>
      </c>
      <c r="B672" s="2" t="s">
        <v>1919</v>
      </c>
      <c r="C672" s="2" t="s">
        <v>1920</v>
      </c>
      <c r="D672" t="s">
        <v>6314</v>
      </c>
      <c r="E672" t="s">
        <v>7951</v>
      </c>
      <c r="F672" t="s">
        <v>0</v>
      </c>
      <c r="G672" s="1">
        <f>DATE(2021,8,19)</f>
        <v>44427</v>
      </c>
    </row>
    <row r="673" spans="1:7" x14ac:dyDescent="0.35">
      <c r="A673" s="2" t="s">
        <v>1921</v>
      </c>
      <c r="B673" s="2" t="s">
        <v>1922</v>
      </c>
      <c r="C673" s="2" t="s">
        <v>1923</v>
      </c>
      <c r="D673" t="s">
        <v>6315</v>
      </c>
      <c r="E673" t="s">
        <v>7952</v>
      </c>
      <c r="F673" t="s">
        <v>0</v>
      </c>
      <c r="G673" s="1">
        <f>DATE(2021,8,23)</f>
        <v>44431</v>
      </c>
    </row>
    <row r="674" spans="1:7" x14ac:dyDescent="0.35">
      <c r="A674" s="2" t="s">
        <v>1924</v>
      </c>
      <c r="B674" s="2" t="s">
        <v>1925</v>
      </c>
      <c r="C674" s="2" t="s">
        <v>1926</v>
      </c>
      <c r="D674" t="s">
        <v>6316</v>
      </c>
      <c r="E674" t="s">
        <v>7953</v>
      </c>
      <c r="F674" t="s">
        <v>0</v>
      </c>
      <c r="G674" s="1">
        <f>DATE(2021,3,8)</f>
        <v>44263</v>
      </c>
    </row>
    <row r="675" spans="1:7" x14ac:dyDescent="0.35">
      <c r="A675" s="2" t="s">
        <v>1927</v>
      </c>
      <c r="B675" s="2" t="s">
        <v>1928</v>
      </c>
      <c r="C675" s="2" t="s">
        <v>1929</v>
      </c>
      <c r="D675" t="s">
        <v>6317</v>
      </c>
      <c r="E675" t="s">
        <v>7954</v>
      </c>
      <c r="F675" t="s">
        <v>0</v>
      </c>
      <c r="G675" s="1">
        <f>DATE(2021,3,8)</f>
        <v>44263</v>
      </c>
    </row>
    <row r="676" spans="1:7" x14ac:dyDescent="0.35">
      <c r="A676" s="2" t="s">
        <v>1930</v>
      </c>
      <c r="B676" s="2" t="s">
        <v>1931</v>
      </c>
      <c r="C676" s="2" t="s">
        <v>1932</v>
      </c>
      <c r="D676" t="s">
        <v>6318</v>
      </c>
      <c r="E676" t="s">
        <v>7955</v>
      </c>
      <c r="F676" t="s">
        <v>0</v>
      </c>
      <c r="G676" s="1">
        <f>DATE(2023,10,12)</f>
        <v>45211</v>
      </c>
    </row>
    <row r="677" spans="1:7" x14ac:dyDescent="0.35">
      <c r="A677" s="2" t="s">
        <v>1933</v>
      </c>
      <c r="B677" s="2" t="s">
        <v>1934</v>
      </c>
      <c r="C677" s="2" t="s">
        <v>1935</v>
      </c>
      <c r="D677" t="s">
        <v>6319</v>
      </c>
      <c r="E677" t="s">
        <v>7956</v>
      </c>
      <c r="F677" t="s">
        <v>0</v>
      </c>
      <c r="G677" s="1">
        <f>DATE(2021,2,2)</f>
        <v>44229</v>
      </c>
    </row>
    <row r="678" spans="1:7" x14ac:dyDescent="0.35">
      <c r="A678" s="2" t="s">
        <v>1936</v>
      </c>
      <c r="B678" s="2" t="s">
        <v>1937</v>
      </c>
      <c r="C678" s="2" t="s">
        <v>1938</v>
      </c>
      <c r="D678" t="s">
        <v>6320</v>
      </c>
      <c r="E678" t="s">
        <v>7957</v>
      </c>
      <c r="F678" t="s">
        <v>0</v>
      </c>
      <c r="G678" s="1">
        <f>DATE(2024,1,18)</f>
        <v>45309</v>
      </c>
    </row>
    <row r="679" spans="1:7" x14ac:dyDescent="0.35">
      <c r="A679" s="2" t="s">
        <v>1939</v>
      </c>
      <c r="B679" s="2" t="s">
        <v>1940</v>
      </c>
      <c r="C679" s="2" t="s">
        <v>1941</v>
      </c>
      <c r="D679" t="s">
        <v>6321</v>
      </c>
      <c r="E679" t="s">
        <v>7958</v>
      </c>
      <c r="F679" t="s">
        <v>0</v>
      </c>
      <c r="G679" s="1">
        <f>DATE(2021,2,18)</f>
        <v>44245</v>
      </c>
    </row>
    <row r="680" spans="1:7" x14ac:dyDescent="0.35">
      <c r="A680" s="2" t="s">
        <v>1942</v>
      </c>
      <c r="B680" s="2" t="s">
        <v>1943</v>
      </c>
      <c r="C680" s="2" t="s">
        <v>1944</v>
      </c>
      <c r="D680" t="s">
        <v>6322</v>
      </c>
      <c r="E680" t="s">
        <v>7959</v>
      </c>
      <c r="F680" t="s">
        <v>0</v>
      </c>
      <c r="G680" s="1">
        <f>DATE(2022,12,16)</f>
        <v>44911</v>
      </c>
    </row>
    <row r="681" spans="1:7" x14ac:dyDescent="0.35">
      <c r="A681" s="2" t="s">
        <v>1945</v>
      </c>
      <c r="B681" s="2" t="s">
        <v>1946</v>
      </c>
      <c r="C681" s="2" t="s">
        <v>1947</v>
      </c>
      <c r="D681" t="s">
        <v>6323</v>
      </c>
      <c r="E681" t="s">
        <v>7960</v>
      </c>
      <c r="F681" t="s">
        <v>0</v>
      </c>
      <c r="G681" s="1">
        <f>DATE(2022,2,8)</f>
        <v>44600</v>
      </c>
    </row>
    <row r="682" spans="1:7" x14ac:dyDescent="0.35">
      <c r="A682" s="2" t="s">
        <v>1948</v>
      </c>
      <c r="B682" s="2" t="s">
        <v>1949</v>
      </c>
      <c r="C682" s="2" t="s">
        <v>1950</v>
      </c>
      <c r="D682" t="s">
        <v>6324</v>
      </c>
      <c r="E682" t="s">
        <v>7961</v>
      </c>
      <c r="F682" t="s">
        <v>0</v>
      </c>
      <c r="G682" s="1">
        <f>DATE(2021,3,15)</f>
        <v>44270</v>
      </c>
    </row>
    <row r="683" spans="1:7" x14ac:dyDescent="0.35">
      <c r="A683" s="2" t="s">
        <v>1951</v>
      </c>
      <c r="B683" s="2" t="s">
        <v>1952</v>
      </c>
      <c r="C683" s="2" t="s">
        <v>1953</v>
      </c>
      <c r="D683" t="s">
        <v>6325</v>
      </c>
      <c r="E683" t="s">
        <v>7962</v>
      </c>
      <c r="F683" t="s">
        <v>0</v>
      </c>
      <c r="G683" s="1">
        <f>DATE(2022,2,21)</f>
        <v>44613</v>
      </c>
    </row>
    <row r="684" spans="1:7" x14ac:dyDescent="0.35">
      <c r="A684" s="2" t="s">
        <v>1954</v>
      </c>
      <c r="B684" s="2" t="s">
        <v>1955</v>
      </c>
      <c r="C684" s="2" t="s">
        <v>1956</v>
      </c>
      <c r="D684" t="s">
        <v>6326</v>
      </c>
      <c r="E684" t="s">
        <v>7963</v>
      </c>
      <c r="F684" t="s">
        <v>0</v>
      </c>
      <c r="G684" s="1">
        <f>DATE(2021,2,2)</f>
        <v>44229</v>
      </c>
    </row>
    <row r="685" spans="1:7" x14ac:dyDescent="0.35">
      <c r="A685" s="2" t="s">
        <v>1957</v>
      </c>
      <c r="B685" s="2" t="s">
        <v>1958</v>
      </c>
      <c r="C685" s="2" t="s">
        <v>1959</v>
      </c>
      <c r="D685" t="s">
        <v>6327</v>
      </c>
      <c r="E685" t="s">
        <v>7964</v>
      </c>
      <c r="F685" t="s">
        <v>0</v>
      </c>
      <c r="G685" s="1">
        <f>DATE(2022,6,7)</f>
        <v>44719</v>
      </c>
    </row>
    <row r="686" spans="1:7" x14ac:dyDescent="0.35">
      <c r="A686" s="2" t="s">
        <v>1960</v>
      </c>
      <c r="B686" s="2" t="s">
        <v>1961</v>
      </c>
      <c r="C686" s="2" t="s">
        <v>1962</v>
      </c>
      <c r="D686" t="s">
        <v>6328</v>
      </c>
      <c r="E686" t="s">
        <v>7965</v>
      </c>
      <c r="F686" t="s">
        <v>0</v>
      </c>
      <c r="G686" s="1">
        <f>DATE(2022,1,6)</f>
        <v>44567</v>
      </c>
    </row>
    <row r="687" spans="1:7" x14ac:dyDescent="0.35">
      <c r="A687" s="2" t="s">
        <v>1963</v>
      </c>
      <c r="B687" s="2" t="s">
        <v>1964</v>
      </c>
      <c r="C687" s="2" t="s">
        <v>1965</v>
      </c>
      <c r="D687" t="s">
        <v>6329</v>
      </c>
      <c r="E687" t="s">
        <v>7966</v>
      </c>
      <c r="F687" t="s">
        <v>0</v>
      </c>
      <c r="G687" s="1">
        <f>DATE(2022,7,12)</f>
        <v>44754</v>
      </c>
    </row>
    <row r="688" spans="1:7" x14ac:dyDescent="0.35">
      <c r="A688" s="2" t="s">
        <v>1966</v>
      </c>
      <c r="B688" s="2" t="s">
        <v>1967</v>
      </c>
      <c r="C688" s="2" t="s">
        <v>1968</v>
      </c>
      <c r="D688" t="s">
        <v>6330</v>
      </c>
      <c r="E688" t="s">
        <v>7967</v>
      </c>
      <c r="F688" t="s">
        <v>0</v>
      </c>
      <c r="G688" s="1">
        <f>DATE(2021,2,5)</f>
        <v>44232</v>
      </c>
    </row>
    <row r="689" spans="1:7" x14ac:dyDescent="0.35">
      <c r="A689" s="2" t="s">
        <v>1969</v>
      </c>
      <c r="B689" s="2" t="s">
        <v>1970</v>
      </c>
      <c r="C689" s="2" t="s">
        <v>1971</v>
      </c>
      <c r="D689" t="s">
        <v>6331</v>
      </c>
      <c r="E689" t="s">
        <v>7968</v>
      </c>
      <c r="F689" t="s">
        <v>0</v>
      </c>
      <c r="G689" s="1">
        <f>DATE(2021,2,9)</f>
        <v>44236</v>
      </c>
    </row>
    <row r="690" spans="1:7" x14ac:dyDescent="0.35">
      <c r="A690" s="2" t="s">
        <v>1972</v>
      </c>
      <c r="B690" s="2" t="s">
        <v>1973</v>
      </c>
      <c r="C690" s="2" t="s">
        <v>1974</v>
      </c>
      <c r="D690" t="s">
        <v>6332</v>
      </c>
      <c r="E690" t="s">
        <v>7969</v>
      </c>
      <c r="F690" t="s">
        <v>0</v>
      </c>
      <c r="G690" s="1">
        <f>DATE(2023,9,25)</f>
        <v>45194</v>
      </c>
    </row>
    <row r="691" spans="1:7" x14ac:dyDescent="0.35">
      <c r="A691" s="2" t="s">
        <v>1975</v>
      </c>
      <c r="B691" s="2" t="s">
        <v>1976</v>
      </c>
      <c r="C691" s="2" t="s">
        <v>1977</v>
      </c>
      <c r="D691" t="s">
        <v>6333</v>
      </c>
      <c r="E691" t="s">
        <v>7970</v>
      </c>
      <c r="F691" t="s">
        <v>0</v>
      </c>
      <c r="G691" s="1">
        <f>DATE(2021,2,23)</f>
        <v>44250</v>
      </c>
    </row>
    <row r="692" spans="1:7" x14ac:dyDescent="0.35">
      <c r="A692" s="2" t="s">
        <v>1978</v>
      </c>
      <c r="B692" s="2" t="s">
        <v>1979</v>
      </c>
      <c r="D692" t="s">
        <v>5756</v>
      </c>
      <c r="E692" t="e">
        <v>#VALUE!</v>
      </c>
      <c r="F692" t="s">
        <v>0</v>
      </c>
      <c r="G692" s="1">
        <f>DATE(2023,9,7)</f>
        <v>45176</v>
      </c>
    </row>
    <row r="693" spans="1:7" x14ac:dyDescent="0.35">
      <c r="A693" s="2" t="s">
        <v>1980</v>
      </c>
      <c r="B693" s="2" t="s">
        <v>1981</v>
      </c>
      <c r="D693" t="s">
        <v>5756</v>
      </c>
      <c r="E693" t="e">
        <v>#VALUE!</v>
      </c>
      <c r="F693" t="s">
        <v>0</v>
      </c>
      <c r="G693" s="1">
        <f>DATE(2021,6,29)</f>
        <v>44376</v>
      </c>
    </row>
    <row r="694" spans="1:7" x14ac:dyDescent="0.35">
      <c r="A694" s="2" t="s">
        <v>1982</v>
      </c>
      <c r="B694" s="2" t="s">
        <v>1983</v>
      </c>
      <c r="C694" s="2" t="s">
        <v>1984</v>
      </c>
      <c r="D694" t="s">
        <v>6334</v>
      </c>
      <c r="E694" t="s">
        <v>7971</v>
      </c>
      <c r="F694" t="s">
        <v>0</v>
      </c>
      <c r="G694" s="1">
        <f>DATE(2023,6,14)</f>
        <v>45091</v>
      </c>
    </row>
    <row r="695" spans="1:7" x14ac:dyDescent="0.35">
      <c r="A695" s="2" t="s">
        <v>1985</v>
      </c>
      <c r="B695" s="2" t="s">
        <v>1986</v>
      </c>
      <c r="C695" s="2" t="s">
        <v>670</v>
      </c>
      <c r="D695" t="s">
        <v>5948</v>
      </c>
      <c r="E695" t="s">
        <v>7584</v>
      </c>
      <c r="F695" t="s">
        <v>0</v>
      </c>
      <c r="G695" s="1">
        <f>DATE(2022,11,28)</f>
        <v>44893</v>
      </c>
    </row>
    <row r="696" spans="1:7" x14ac:dyDescent="0.35">
      <c r="A696" s="2" t="s">
        <v>1987</v>
      </c>
      <c r="B696" s="2" t="s">
        <v>1988</v>
      </c>
      <c r="C696" s="2" t="s">
        <v>1989</v>
      </c>
      <c r="D696" t="s">
        <v>6335</v>
      </c>
      <c r="E696" t="s">
        <v>7972</v>
      </c>
      <c r="F696" t="s">
        <v>0</v>
      </c>
      <c r="G696" s="1">
        <f>DATE(2023,10,19)</f>
        <v>45218</v>
      </c>
    </row>
    <row r="697" spans="1:7" x14ac:dyDescent="0.35">
      <c r="A697" s="2" t="s">
        <v>1990</v>
      </c>
      <c r="B697" s="2" t="s">
        <v>1991</v>
      </c>
      <c r="C697" s="2" t="s">
        <v>1992</v>
      </c>
      <c r="D697" t="s">
        <v>6336</v>
      </c>
      <c r="E697" t="s">
        <v>7973</v>
      </c>
      <c r="F697" t="s">
        <v>0</v>
      </c>
      <c r="G697" s="1">
        <f>DATE(2021,6,3)</f>
        <v>44350</v>
      </c>
    </row>
    <row r="698" spans="1:7" x14ac:dyDescent="0.35">
      <c r="A698" s="2" t="s">
        <v>1993</v>
      </c>
      <c r="B698" s="2" t="s">
        <v>1994</v>
      </c>
      <c r="D698" t="s">
        <v>5756</v>
      </c>
      <c r="E698" t="e">
        <v>#VALUE!</v>
      </c>
      <c r="F698" t="s">
        <v>0</v>
      </c>
      <c r="G698" s="1">
        <f>DATE(2021,3,4)</f>
        <v>44259</v>
      </c>
    </row>
    <row r="699" spans="1:7" x14ac:dyDescent="0.35">
      <c r="A699" s="2" t="s">
        <v>1995</v>
      </c>
      <c r="B699" s="2" t="s">
        <v>1996</v>
      </c>
      <c r="D699" t="s">
        <v>5756</v>
      </c>
      <c r="E699" t="e">
        <v>#VALUE!</v>
      </c>
      <c r="F699" t="s">
        <v>0</v>
      </c>
      <c r="G699" s="1">
        <f>DATE(2021,3,4)</f>
        <v>44259</v>
      </c>
    </row>
    <row r="700" spans="1:7" x14ac:dyDescent="0.35">
      <c r="A700" s="2" t="s">
        <v>1997</v>
      </c>
      <c r="B700" s="2" t="s">
        <v>1998</v>
      </c>
      <c r="C700" s="2" t="s">
        <v>1999</v>
      </c>
      <c r="D700" t="s">
        <v>6337</v>
      </c>
      <c r="E700" t="s">
        <v>7974</v>
      </c>
      <c r="F700" t="s">
        <v>0</v>
      </c>
      <c r="G700" s="1">
        <f>DATE(2021,6,3)</f>
        <v>44350</v>
      </c>
    </row>
    <row r="701" spans="1:7" x14ac:dyDescent="0.35">
      <c r="A701" s="2" t="s">
        <v>2000</v>
      </c>
      <c r="B701" s="2" t="s">
        <v>2001</v>
      </c>
      <c r="C701" s="2" t="s">
        <v>2002</v>
      </c>
      <c r="D701" t="s">
        <v>6338</v>
      </c>
      <c r="E701" t="s">
        <v>7975</v>
      </c>
      <c r="F701" t="s">
        <v>0</v>
      </c>
      <c r="G701" s="1">
        <f>DATE(2021,6,29)</f>
        <v>44376</v>
      </c>
    </row>
    <row r="702" spans="1:7" x14ac:dyDescent="0.35">
      <c r="A702" s="2" t="s">
        <v>2003</v>
      </c>
      <c r="B702" s="2" t="s">
        <v>2004</v>
      </c>
      <c r="D702" t="s">
        <v>5756</v>
      </c>
      <c r="E702" t="e">
        <v>#VALUE!</v>
      </c>
      <c r="F702" t="s">
        <v>0</v>
      </c>
      <c r="G702" s="1">
        <f>DATE(2021,4,23)</f>
        <v>44309</v>
      </c>
    </row>
    <row r="703" spans="1:7" x14ac:dyDescent="0.35">
      <c r="A703" s="2" t="s">
        <v>2005</v>
      </c>
      <c r="B703" s="2" t="s">
        <v>2006</v>
      </c>
      <c r="C703" s="2" t="s">
        <v>2007</v>
      </c>
      <c r="D703" t="s">
        <v>6339</v>
      </c>
      <c r="E703" t="s">
        <v>7976</v>
      </c>
      <c r="F703" t="s">
        <v>0</v>
      </c>
      <c r="G703" s="1">
        <f>DATE(2023,9,25)</f>
        <v>45194</v>
      </c>
    </row>
    <row r="704" spans="1:7" x14ac:dyDescent="0.35">
      <c r="A704" s="2" t="s">
        <v>2008</v>
      </c>
      <c r="B704" s="2" t="s">
        <v>2009</v>
      </c>
      <c r="C704" s="2" t="s">
        <v>2010</v>
      </c>
      <c r="D704" t="s">
        <v>6340</v>
      </c>
      <c r="E704" t="s">
        <v>7977</v>
      </c>
      <c r="F704" t="s">
        <v>0</v>
      </c>
      <c r="G704" s="1">
        <f>DATE(2021,3,12)</f>
        <v>44267</v>
      </c>
    </row>
    <row r="705" spans="1:7" x14ac:dyDescent="0.35">
      <c r="A705" s="2" t="s">
        <v>2011</v>
      </c>
      <c r="B705" s="2" t="s">
        <v>2012</v>
      </c>
      <c r="C705" s="2" t="s">
        <v>2013</v>
      </c>
      <c r="D705" t="s">
        <v>6341</v>
      </c>
      <c r="E705" t="s">
        <v>7978</v>
      </c>
      <c r="F705" t="s">
        <v>0</v>
      </c>
      <c r="G705" s="1">
        <f>DATE(2021,3,15)</f>
        <v>44270</v>
      </c>
    </row>
    <row r="706" spans="1:7" x14ac:dyDescent="0.35">
      <c r="A706" s="2" t="s">
        <v>2014</v>
      </c>
      <c r="B706" s="2" t="s">
        <v>2015</v>
      </c>
      <c r="C706" s="2" t="s">
        <v>2016</v>
      </c>
      <c r="D706" t="s">
        <v>6342</v>
      </c>
      <c r="E706" t="s">
        <v>7979</v>
      </c>
      <c r="F706" t="s">
        <v>0</v>
      </c>
      <c r="G706" s="1">
        <f>DATE(2021,7,22)</f>
        <v>44399</v>
      </c>
    </row>
    <row r="707" spans="1:7" x14ac:dyDescent="0.35">
      <c r="A707" s="2" t="s">
        <v>2017</v>
      </c>
      <c r="B707" s="2" t="s">
        <v>2018</v>
      </c>
      <c r="C707" s="2" t="s">
        <v>2019</v>
      </c>
      <c r="D707" t="s">
        <v>6343</v>
      </c>
      <c r="E707" t="s">
        <v>7980</v>
      </c>
      <c r="F707" t="s">
        <v>0</v>
      </c>
      <c r="G707" s="1">
        <f>DATE(2021,8,30)</f>
        <v>44438</v>
      </c>
    </row>
    <row r="708" spans="1:7" x14ac:dyDescent="0.35">
      <c r="A708" s="2" t="s">
        <v>2020</v>
      </c>
      <c r="B708" s="2" t="s">
        <v>2021</v>
      </c>
      <c r="C708" s="2" t="s">
        <v>2022</v>
      </c>
      <c r="D708" t="s">
        <v>6344</v>
      </c>
      <c r="E708" t="s">
        <v>7981</v>
      </c>
      <c r="F708" t="s">
        <v>0</v>
      </c>
      <c r="G708" s="1">
        <f>DATE(2021,7,5)</f>
        <v>44382</v>
      </c>
    </row>
    <row r="709" spans="1:7" x14ac:dyDescent="0.35">
      <c r="A709" s="2" t="s">
        <v>2023</v>
      </c>
      <c r="B709" s="2" t="s">
        <v>2024</v>
      </c>
      <c r="C709" s="2" t="s">
        <v>2025</v>
      </c>
      <c r="D709" t="s">
        <v>6345</v>
      </c>
      <c r="E709" t="s">
        <v>7982</v>
      </c>
      <c r="F709" t="s">
        <v>0</v>
      </c>
      <c r="G709" s="1">
        <f>DATE(2022,6,20)</f>
        <v>44732</v>
      </c>
    </row>
    <row r="710" spans="1:7" x14ac:dyDescent="0.35">
      <c r="A710" s="2" t="s">
        <v>2026</v>
      </c>
      <c r="B710" s="2" t="s">
        <v>2027</v>
      </c>
      <c r="D710" t="s">
        <v>5756</v>
      </c>
      <c r="E710" t="e">
        <v>#VALUE!</v>
      </c>
      <c r="F710" t="s">
        <v>0</v>
      </c>
      <c r="G710" s="1">
        <f>DATE(2021,4,6)</f>
        <v>44292</v>
      </c>
    </row>
    <row r="711" spans="1:7" x14ac:dyDescent="0.35">
      <c r="A711" s="2" t="s">
        <v>2028</v>
      </c>
      <c r="B711" s="2" t="s">
        <v>2029</v>
      </c>
      <c r="C711" s="2" t="s">
        <v>2030</v>
      </c>
      <c r="D711" t="s">
        <v>6346</v>
      </c>
      <c r="E711" t="s">
        <v>7983</v>
      </c>
      <c r="F711" t="s">
        <v>0</v>
      </c>
      <c r="G711" s="1">
        <f>DATE(2022,5,24)</f>
        <v>44705</v>
      </c>
    </row>
    <row r="712" spans="1:7" x14ac:dyDescent="0.35">
      <c r="A712" s="2" t="s">
        <v>2031</v>
      </c>
      <c r="B712" s="2" t="s">
        <v>2032</v>
      </c>
      <c r="C712" s="2" t="s">
        <v>2033</v>
      </c>
      <c r="D712" t="s">
        <v>6347</v>
      </c>
      <c r="E712" t="s">
        <v>7984</v>
      </c>
      <c r="F712" t="s">
        <v>0</v>
      </c>
      <c r="G712" s="1">
        <f>DATE(2021,7,22)</f>
        <v>44399</v>
      </c>
    </row>
    <row r="713" spans="1:7" x14ac:dyDescent="0.35">
      <c r="A713" s="2" t="s">
        <v>2034</v>
      </c>
      <c r="B713" s="2" t="s">
        <v>2035</v>
      </c>
      <c r="C713" s="2" t="s">
        <v>2036</v>
      </c>
      <c r="D713" t="s">
        <v>6348</v>
      </c>
      <c r="E713" t="s">
        <v>7985</v>
      </c>
      <c r="F713" t="s">
        <v>0</v>
      </c>
      <c r="G713" s="1">
        <f>DATE(2024,1,5)</f>
        <v>45296</v>
      </c>
    </row>
    <row r="714" spans="1:7" x14ac:dyDescent="0.35">
      <c r="A714" s="2" t="s">
        <v>2037</v>
      </c>
      <c r="B714" s="2" t="s">
        <v>2038</v>
      </c>
      <c r="C714" s="2" t="s">
        <v>2039</v>
      </c>
      <c r="D714" t="s">
        <v>6349</v>
      </c>
      <c r="E714" t="s">
        <v>7986</v>
      </c>
      <c r="F714" t="s">
        <v>0</v>
      </c>
      <c r="G714" s="1">
        <f>DATE(2021,12,10)</f>
        <v>44540</v>
      </c>
    </row>
    <row r="715" spans="1:7" x14ac:dyDescent="0.35">
      <c r="A715" s="2" t="s">
        <v>2040</v>
      </c>
      <c r="B715" s="2" t="s">
        <v>2041</v>
      </c>
      <c r="C715" s="2" t="s">
        <v>2042</v>
      </c>
      <c r="D715" t="s">
        <v>6350</v>
      </c>
      <c r="E715" t="s">
        <v>7987</v>
      </c>
      <c r="F715" t="s">
        <v>0</v>
      </c>
      <c r="G715" s="1">
        <f>DATE(2021,6,3)</f>
        <v>44350</v>
      </c>
    </row>
    <row r="716" spans="1:7" x14ac:dyDescent="0.35">
      <c r="A716" s="2" t="s">
        <v>2043</v>
      </c>
      <c r="B716" s="2" t="s">
        <v>2044</v>
      </c>
      <c r="C716" s="2" t="s">
        <v>2045</v>
      </c>
      <c r="D716" t="s">
        <v>6351</v>
      </c>
      <c r="E716" t="s">
        <v>7988</v>
      </c>
      <c r="F716" t="s">
        <v>0</v>
      </c>
      <c r="G716" s="1">
        <f>DATE(2021,5,4)</f>
        <v>44320</v>
      </c>
    </row>
    <row r="717" spans="1:7" x14ac:dyDescent="0.35">
      <c r="A717" s="2" t="s">
        <v>2046</v>
      </c>
      <c r="B717" s="2" t="s">
        <v>2047</v>
      </c>
      <c r="C717" s="2" t="s">
        <v>2048</v>
      </c>
      <c r="D717" t="s">
        <v>6352</v>
      </c>
      <c r="E717" t="s">
        <v>7989</v>
      </c>
      <c r="F717" t="s">
        <v>0</v>
      </c>
      <c r="G717" s="1">
        <f>DATE(2021,4,30)</f>
        <v>44316</v>
      </c>
    </row>
    <row r="718" spans="1:7" x14ac:dyDescent="0.35">
      <c r="A718" s="2" t="s">
        <v>2049</v>
      </c>
      <c r="B718" s="2" t="s">
        <v>2050</v>
      </c>
      <c r="C718" s="2" t="s">
        <v>2051</v>
      </c>
      <c r="D718" t="s">
        <v>6353</v>
      </c>
      <c r="E718" t="s">
        <v>7990</v>
      </c>
      <c r="F718" t="s">
        <v>0</v>
      </c>
      <c r="G718" s="1">
        <f>DATE(2023,7,6)</f>
        <v>45113</v>
      </c>
    </row>
    <row r="719" spans="1:7" x14ac:dyDescent="0.35">
      <c r="A719" s="2" t="s">
        <v>2052</v>
      </c>
      <c r="B719" s="2" t="s">
        <v>2053</v>
      </c>
      <c r="C719" s="2" t="s">
        <v>2054</v>
      </c>
      <c r="D719" t="s">
        <v>6354</v>
      </c>
      <c r="E719" t="s">
        <v>7991</v>
      </c>
      <c r="F719" t="s">
        <v>0</v>
      </c>
      <c r="G719" s="1">
        <f>DATE(2022,7,22)</f>
        <v>44764</v>
      </c>
    </row>
    <row r="720" spans="1:7" x14ac:dyDescent="0.35">
      <c r="A720" s="2" t="s">
        <v>2055</v>
      </c>
      <c r="B720" s="2" t="s">
        <v>2056</v>
      </c>
      <c r="C720" s="2" t="s">
        <v>2057</v>
      </c>
      <c r="D720" t="s">
        <v>6355</v>
      </c>
      <c r="E720" t="s">
        <v>7992</v>
      </c>
      <c r="F720" t="s">
        <v>0</v>
      </c>
      <c r="G720" s="1">
        <f>DATE(2023,11,13)</f>
        <v>45243</v>
      </c>
    </row>
    <row r="721" spans="1:7" x14ac:dyDescent="0.35">
      <c r="A721" s="2" t="s">
        <v>2058</v>
      </c>
      <c r="B721" s="2" t="s">
        <v>2059</v>
      </c>
      <c r="C721" s="2" t="s">
        <v>2060</v>
      </c>
      <c r="D721" t="s">
        <v>6356</v>
      </c>
      <c r="E721" t="s">
        <v>7993</v>
      </c>
      <c r="F721" t="s">
        <v>0</v>
      </c>
      <c r="G721" s="1">
        <f>DATE(2022,8,1)</f>
        <v>44774</v>
      </c>
    </row>
    <row r="722" spans="1:7" x14ac:dyDescent="0.35">
      <c r="A722" s="2" t="s">
        <v>2061</v>
      </c>
      <c r="B722" s="2" t="s">
        <v>2062</v>
      </c>
      <c r="C722" s="2" t="s">
        <v>2063</v>
      </c>
      <c r="D722" t="s">
        <v>6357</v>
      </c>
      <c r="E722" t="s">
        <v>7994</v>
      </c>
      <c r="F722" t="s">
        <v>0</v>
      </c>
      <c r="G722" s="1">
        <f>DATE(2022,12,19)</f>
        <v>44914</v>
      </c>
    </row>
    <row r="723" spans="1:7" x14ac:dyDescent="0.35">
      <c r="A723" s="2" t="s">
        <v>2064</v>
      </c>
      <c r="B723" s="2" t="s">
        <v>2065</v>
      </c>
      <c r="C723" s="2" t="s">
        <v>2066</v>
      </c>
      <c r="D723" t="s">
        <v>6358</v>
      </c>
      <c r="E723" t="s">
        <v>7995</v>
      </c>
      <c r="F723" t="s">
        <v>0</v>
      </c>
      <c r="G723" s="1">
        <f>DATE(2023,4,13)</f>
        <v>45029</v>
      </c>
    </row>
    <row r="724" spans="1:7" x14ac:dyDescent="0.35">
      <c r="A724" s="2" t="s">
        <v>2067</v>
      </c>
      <c r="B724" s="2" t="s">
        <v>2068</v>
      </c>
      <c r="C724" s="2" t="s">
        <v>2069</v>
      </c>
      <c r="D724" t="s">
        <v>6359</v>
      </c>
      <c r="E724" t="s">
        <v>7996</v>
      </c>
      <c r="F724" t="s">
        <v>0</v>
      </c>
      <c r="G724" s="1">
        <f>DATE(2022,12,19)</f>
        <v>44914</v>
      </c>
    </row>
    <row r="725" spans="1:7" x14ac:dyDescent="0.35">
      <c r="A725" s="2" t="s">
        <v>2070</v>
      </c>
      <c r="B725" s="2" t="s">
        <v>2071</v>
      </c>
      <c r="C725" s="2" t="s">
        <v>2072</v>
      </c>
      <c r="D725" t="s">
        <v>6360</v>
      </c>
      <c r="E725" t="s">
        <v>7997</v>
      </c>
      <c r="F725" t="s">
        <v>0</v>
      </c>
      <c r="G725" s="1">
        <f>DATE(2022,8,3)</f>
        <v>44776</v>
      </c>
    </row>
    <row r="726" spans="1:7" x14ac:dyDescent="0.35">
      <c r="A726" s="2" t="s">
        <v>2073</v>
      </c>
      <c r="B726" s="2" t="s">
        <v>2074</v>
      </c>
      <c r="C726" s="2" t="s">
        <v>2075</v>
      </c>
      <c r="D726" t="s">
        <v>6361</v>
      </c>
      <c r="E726" t="s">
        <v>7998</v>
      </c>
      <c r="F726" t="s">
        <v>0</v>
      </c>
      <c r="G726" s="1">
        <f>DATE(2022,8,4)</f>
        <v>44777</v>
      </c>
    </row>
    <row r="727" spans="1:7" x14ac:dyDescent="0.35">
      <c r="A727" s="2" t="s">
        <v>2076</v>
      </c>
      <c r="B727" s="2" t="s">
        <v>2077</v>
      </c>
      <c r="C727" s="2" t="s">
        <v>2078</v>
      </c>
      <c r="D727" t="s">
        <v>6362</v>
      </c>
      <c r="E727" t="s">
        <v>7999</v>
      </c>
      <c r="F727" t="s">
        <v>0</v>
      </c>
      <c r="G727" s="1">
        <f>DATE(2022,8,23)</f>
        <v>44796</v>
      </c>
    </row>
    <row r="728" spans="1:7" x14ac:dyDescent="0.35">
      <c r="A728" s="2" t="s">
        <v>2079</v>
      </c>
      <c r="B728" s="2" t="s">
        <v>2080</v>
      </c>
      <c r="C728" s="2" t="s">
        <v>2081</v>
      </c>
      <c r="D728" t="s">
        <v>6363</v>
      </c>
      <c r="E728" t="s">
        <v>8000</v>
      </c>
      <c r="F728" t="s">
        <v>0</v>
      </c>
      <c r="G728" s="1">
        <f>DATE(2022,7,26)</f>
        <v>44768</v>
      </c>
    </row>
    <row r="729" spans="1:7" x14ac:dyDescent="0.35">
      <c r="A729" s="2" t="s">
        <v>2082</v>
      </c>
      <c r="B729" s="2" t="s">
        <v>2083</v>
      </c>
      <c r="C729" s="2" t="s">
        <v>2084</v>
      </c>
      <c r="D729" t="s">
        <v>6364</v>
      </c>
      <c r="E729" t="s">
        <v>8001</v>
      </c>
      <c r="F729" t="s">
        <v>0</v>
      </c>
      <c r="G729" s="1">
        <f>DATE(2022,7,26)</f>
        <v>44768</v>
      </c>
    </row>
    <row r="730" spans="1:7" x14ac:dyDescent="0.35">
      <c r="A730" s="2" t="s">
        <v>2085</v>
      </c>
      <c r="B730" s="2" t="s">
        <v>2086</v>
      </c>
      <c r="C730" s="2" t="s">
        <v>2087</v>
      </c>
      <c r="D730" t="s">
        <v>6365</v>
      </c>
      <c r="E730" t="s">
        <v>8002</v>
      </c>
      <c r="F730" t="s">
        <v>0</v>
      </c>
      <c r="G730" s="1">
        <f>DATE(2022,7,27)</f>
        <v>44769</v>
      </c>
    </row>
    <row r="731" spans="1:7" x14ac:dyDescent="0.35">
      <c r="A731" s="2" t="s">
        <v>2088</v>
      </c>
      <c r="B731" s="2" t="s">
        <v>2089</v>
      </c>
      <c r="C731" s="2" t="s">
        <v>2090</v>
      </c>
      <c r="D731" t="s">
        <v>6366</v>
      </c>
      <c r="E731" t="s">
        <v>8003</v>
      </c>
      <c r="F731" t="s">
        <v>0</v>
      </c>
      <c r="G731" s="1">
        <f>DATE(2024,1,5)</f>
        <v>45296</v>
      </c>
    </row>
    <row r="732" spans="1:7" x14ac:dyDescent="0.35">
      <c r="A732" s="2" t="s">
        <v>2091</v>
      </c>
      <c r="B732" s="2" t="s">
        <v>2092</v>
      </c>
      <c r="C732" s="2" t="s">
        <v>2093</v>
      </c>
      <c r="D732" t="s">
        <v>6367</v>
      </c>
      <c r="E732" t="s">
        <v>8004</v>
      </c>
      <c r="F732" t="s">
        <v>0</v>
      </c>
      <c r="G732" s="1">
        <f>DATE(2022,8,26)</f>
        <v>44799</v>
      </c>
    </row>
    <row r="733" spans="1:7" x14ac:dyDescent="0.35">
      <c r="A733" s="2" t="s">
        <v>2094</v>
      </c>
      <c r="B733" s="2" t="s">
        <v>2095</v>
      </c>
      <c r="C733" s="2" t="s">
        <v>2096</v>
      </c>
      <c r="D733" t="s">
        <v>6368</v>
      </c>
      <c r="E733" t="s">
        <v>8005</v>
      </c>
      <c r="F733" t="s">
        <v>0</v>
      </c>
      <c r="G733" s="1">
        <f>DATE(2022,8,2)</f>
        <v>44775</v>
      </c>
    </row>
    <row r="734" spans="1:7" x14ac:dyDescent="0.35">
      <c r="A734" s="2" t="s">
        <v>2097</v>
      </c>
      <c r="B734" s="2" t="s">
        <v>2098</v>
      </c>
      <c r="C734" s="2" t="s">
        <v>2099</v>
      </c>
      <c r="D734" t="s">
        <v>6369</v>
      </c>
      <c r="E734" t="s">
        <v>8006</v>
      </c>
      <c r="F734" t="s">
        <v>0</v>
      </c>
      <c r="G734" s="1">
        <f>DATE(2022,11,21)</f>
        <v>44886</v>
      </c>
    </row>
    <row r="735" spans="1:7" x14ac:dyDescent="0.35">
      <c r="A735" s="2" t="s">
        <v>2100</v>
      </c>
      <c r="B735" s="2" t="s">
        <v>2101</v>
      </c>
      <c r="C735" s="2" t="s">
        <v>2102</v>
      </c>
      <c r="D735" t="s">
        <v>6370</v>
      </c>
      <c r="E735" t="s">
        <v>8007</v>
      </c>
      <c r="F735" t="s">
        <v>0</v>
      </c>
      <c r="G735" s="1">
        <f>DATE(2022,10,20)</f>
        <v>44854</v>
      </c>
    </row>
    <row r="736" spans="1:7" x14ac:dyDescent="0.35">
      <c r="A736" s="2" t="s">
        <v>2103</v>
      </c>
      <c r="B736" s="2" t="s">
        <v>2104</v>
      </c>
      <c r="D736" t="s">
        <v>5756</v>
      </c>
      <c r="E736" t="e">
        <v>#VALUE!</v>
      </c>
      <c r="F736" t="s">
        <v>0</v>
      </c>
      <c r="G736" s="1">
        <f>DATE(2022,8,12)</f>
        <v>44785</v>
      </c>
    </row>
    <row r="737" spans="1:7" x14ac:dyDescent="0.35">
      <c r="A737" s="2" t="s">
        <v>2105</v>
      </c>
      <c r="B737" s="2" t="s">
        <v>2106</v>
      </c>
      <c r="D737" t="s">
        <v>5756</v>
      </c>
      <c r="E737" t="e">
        <v>#VALUE!</v>
      </c>
      <c r="F737" t="s">
        <v>0</v>
      </c>
      <c r="G737" s="1">
        <f>DATE(2022,8,12)</f>
        <v>44785</v>
      </c>
    </row>
    <row r="738" spans="1:7" x14ac:dyDescent="0.35">
      <c r="A738" s="2" t="s">
        <v>2107</v>
      </c>
      <c r="B738" s="2" t="s">
        <v>2108</v>
      </c>
      <c r="D738" t="s">
        <v>5756</v>
      </c>
      <c r="E738" t="e">
        <v>#VALUE!</v>
      </c>
      <c r="F738" t="s">
        <v>0</v>
      </c>
      <c r="G738" s="1">
        <f>DATE(2023,4,25)</f>
        <v>45041</v>
      </c>
    </row>
    <row r="739" spans="1:7" x14ac:dyDescent="0.35">
      <c r="A739" s="2" t="s">
        <v>2109</v>
      </c>
      <c r="B739" s="2" t="s">
        <v>2110</v>
      </c>
      <c r="C739" s="2" t="s">
        <v>2111</v>
      </c>
      <c r="D739" t="s">
        <v>6371</v>
      </c>
      <c r="E739" t="s">
        <v>8008</v>
      </c>
      <c r="F739" t="s">
        <v>0</v>
      </c>
      <c r="G739" s="1">
        <f>DATE(2023,4,25)</f>
        <v>45041</v>
      </c>
    </row>
    <row r="740" spans="1:7" x14ac:dyDescent="0.35">
      <c r="A740" s="2" t="s">
        <v>2112</v>
      </c>
      <c r="B740" s="2" t="s">
        <v>2113</v>
      </c>
      <c r="C740" s="2" t="s">
        <v>2114</v>
      </c>
      <c r="D740" t="s">
        <v>6372</v>
      </c>
      <c r="E740" t="s">
        <v>8009</v>
      </c>
      <c r="F740" t="s">
        <v>0</v>
      </c>
      <c r="G740" s="1">
        <f>DATE(2022,8,18)</f>
        <v>44791</v>
      </c>
    </row>
    <row r="741" spans="1:7" x14ac:dyDescent="0.35">
      <c r="A741" s="2" t="s">
        <v>2115</v>
      </c>
      <c r="B741" s="2" t="s">
        <v>2116</v>
      </c>
      <c r="C741" s="2" t="s">
        <v>2117</v>
      </c>
      <c r="D741" t="s">
        <v>6373</v>
      </c>
      <c r="E741" t="s">
        <v>8010</v>
      </c>
      <c r="F741" t="s">
        <v>0</v>
      </c>
      <c r="G741" s="1">
        <f>DATE(2022,11,4)</f>
        <v>44869</v>
      </c>
    </row>
    <row r="742" spans="1:7" x14ac:dyDescent="0.35">
      <c r="A742" s="2" t="s">
        <v>2118</v>
      </c>
      <c r="B742" s="2" t="s">
        <v>2119</v>
      </c>
      <c r="C742" s="2" t="s">
        <v>2120</v>
      </c>
      <c r="D742" t="s">
        <v>6374</v>
      </c>
      <c r="E742" t="s">
        <v>8011</v>
      </c>
      <c r="F742" t="s">
        <v>0</v>
      </c>
      <c r="G742" s="1">
        <f>DATE(2022,8,25)</f>
        <v>44798</v>
      </c>
    </row>
    <row r="743" spans="1:7" x14ac:dyDescent="0.35">
      <c r="A743" s="2" t="s">
        <v>2121</v>
      </c>
      <c r="B743" s="2" t="s">
        <v>2122</v>
      </c>
      <c r="C743" s="2" t="s">
        <v>2123</v>
      </c>
      <c r="D743" t="s">
        <v>6375</v>
      </c>
      <c r="E743" t="s">
        <v>8012</v>
      </c>
      <c r="F743" t="s">
        <v>0</v>
      </c>
      <c r="G743" s="1">
        <f>DATE(2023,9,7)</f>
        <v>45176</v>
      </c>
    </row>
    <row r="744" spans="1:7" x14ac:dyDescent="0.35">
      <c r="A744" s="2" t="s">
        <v>2124</v>
      </c>
      <c r="B744" s="2" t="s">
        <v>2125</v>
      </c>
      <c r="D744" t="s">
        <v>5756</v>
      </c>
      <c r="E744" t="e">
        <v>#VALUE!</v>
      </c>
      <c r="F744" t="s">
        <v>0</v>
      </c>
      <c r="G744" s="1">
        <f>DATE(2022,10,11)</f>
        <v>44845</v>
      </c>
    </row>
    <row r="745" spans="1:7" x14ac:dyDescent="0.35">
      <c r="A745" s="2" t="s">
        <v>2126</v>
      </c>
      <c r="B745" s="2" t="s">
        <v>2127</v>
      </c>
      <c r="C745" s="2" t="s">
        <v>2128</v>
      </c>
      <c r="D745" t="s">
        <v>6376</v>
      </c>
      <c r="E745" t="s">
        <v>8013</v>
      </c>
      <c r="F745" t="s">
        <v>0</v>
      </c>
      <c r="G745" s="1">
        <f>DATE(2022,12,7)</f>
        <v>44902</v>
      </c>
    </row>
    <row r="746" spans="1:7" x14ac:dyDescent="0.35">
      <c r="A746" s="2" t="s">
        <v>2129</v>
      </c>
      <c r="B746" s="2" t="s">
        <v>2130</v>
      </c>
      <c r="C746" s="2" t="s">
        <v>2131</v>
      </c>
      <c r="D746" t="s">
        <v>6377</v>
      </c>
      <c r="E746" t="s">
        <v>8014</v>
      </c>
      <c r="F746" t="s">
        <v>0</v>
      </c>
      <c r="G746" s="1">
        <f>DATE(2022,9,15)</f>
        <v>44819</v>
      </c>
    </row>
    <row r="747" spans="1:7" x14ac:dyDescent="0.35">
      <c r="A747" s="2" t="s">
        <v>2132</v>
      </c>
      <c r="B747" s="2" t="s">
        <v>2133</v>
      </c>
      <c r="D747" t="s">
        <v>5756</v>
      </c>
      <c r="E747" t="e">
        <v>#VALUE!</v>
      </c>
      <c r="F747" t="s">
        <v>0</v>
      </c>
      <c r="G747" s="1">
        <f>DATE(2022,9,12)</f>
        <v>44816</v>
      </c>
    </row>
    <row r="748" spans="1:7" x14ac:dyDescent="0.35">
      <c r="A748" s="2" t="s">
        <v>2134</v>
      </c>
      <c r="B748" s="2" t="s">
        <v>2135</v>
      </c>
      <c r="C748" s="2" t="s">
        <v>2136</v>
      </c>
      <c r="D748" t="s">
        <v>6378</v>
      </c>
      <c r="E748" t="s">
        <v>8015</v>
      </c>
      <c r="F748" t="s">
        <v>0</v>
      </c>
      <c r="G748" s="1">
        <f>DATE(2022,12,19)</f>
        <v>44914</v>
      </c>
    </row>
    <row r="749" spans="1:7" x14ac:dyDescent="0.35">
      <c r="A749" s="2" t="s">
        <v>2137</v>
      </c>
      <c r="B749" s="2" t="s">
        <v>2138</v>
      </c>
      <c r="C749" s="2" t="s">
        <v>2139</v>
      </c>
      <c r="D749" t="s">
        <v>6379</v>
      </c>
      <c r="E749" t="s">
        <v>8016</v>
      </c>
      <c r="F749" t="s">
        <v>0</v>
      </c>
      <c r="G749" s="1">
        <f>DATE(2022,9,29)</f>
        <v>44833</v>
      </c>
    </row>
    <row r="750" spans="1:7" x14ac:dyDescent="0.35">
      <c r="A750" s="2" t="s">
        <v>2140</v>
      </c>
      <c r="B750" s="2" t="s">
        <v>2141</v>
      </c>
      <c r="C750" s="2" t="s">
        <v>2142</v>
      </c>
      <c r="D750" t="s">
        <v>6380</v>
      </c>
      <c r="E750" t="s">
        <v>8017</v>
      </c>
      <c r="F750" t="s">
        <v>0</v>
      </c>
      <c r="G750" s="1">
        <f>DATE(2022,11,21)</f>
        <v>44886</v>
      </c>
    </row>
    <row r="751" spans="1:7" x14ac:dyDescent="0.35">
      <c r="A751" s="2" t="s">
        <v>2143</v>
      </c>
      <c r="B751" s="2" t="s">
        <v>2144</v>
      </c>
      <c r="C751" s="2" t="s">
        <v>2145</v>
      </c>
      <c r="D751" t="s">
        <v>6381</v>
      </c>
      <c r="E751" t="s">
        <v>8018</v>
      </c>
      <c r="F751" t="s">
        <v>0</v>
      </c>
      <c r="G751" s="1">
        <f>DATE(2022,10,21)</f>
        <v>44855</v>
      </c>
    </row>
    <row r="752" spans="1:7" x14ac:dyDescent="0.35">
      <c r="A752" s="2" t="s">
        <v>2146</v>
      </c>
      <c r="B752" s="2" t="s">
        <v>2147</v>
      </c>
      <c r="C752" s="2" t="s">
        <v>2148</v>
      </c>
      <c r="D752" t="s">
        <v>6382</v>
      </c>
      <c r="E752" t="s">
        <v>8019</v>
      </c>
      <c r="F752" t="s">
        <v>0</v>
      </c>
      <c r="G752" s="1">
        <f>DATE(2022,9,16)</f>
        <v>44820</v>
      </c>
    </row>
    <row r="753" spans="1:7" x14ac:dyDescent="0.35">
      <c r="A753" s="2" t="s">
        <v>2149</v>
      </c>
      <c r="B753" s="2" t="s">
        <v>2150</v>
      </c>
      <c r="C753" s="2" t="s">
        <v>2151</v>
      </c>
      <c r="D753" t="s">
        <v>6383</v>
      </c>
      <c r="E753" t="s">
        <v>8020</v>
      </c>
      <c r="F753" t="s">
        <v>0</v>
      </c>
      <c r="G753" s="1">
        <f>DATE(2022,11,23)</f>
        <v>44888</v>
      </c>
    </row>
    <row r="754" spans="1:7" x14ac:dyDescent="0.35">
      <c r="A754" s="2" t="s">
        <v>2152</v>
      </c>
      <c r="B754" s="2" t="s">
        <v>2153</v>
      </c>
      <c r="C754" s="2" t="s">
        <v>2154</v>
      </c>
      <c r="D754" t="s">
        <v>6384</v>
      </c>
      <c r="E754" t="s">
        <v>8021</v>
      </c>
      <c r="F754" t="s">
        <v>0</v>
      </c>
      <c r="G754" s="1">
        <f>DATE(2024,1,5)</f>
        <v>45296</v>
      </c>
    </row>
    <row r="755" spans="1:7" x14ac:dyDescent="0.35">
      <c r="A755" s="2" t="s">
        <v>2155</v>
      </c>
      <c r="B755" s="2" t="s">
        <v>2156</v>
      </c>
      <c r="C755" s="2" t="s">
        <v>2157</v>
      </c>
      <c r="D755" t="s">
        <v>6385</v>
      </c>
      <c r="E755" t="s">
        <v>8022</v>
      </c>
      <c r="F755" t="s">
        <v>0</v>
      </c>
      <c r="G755" s="1">
        <f>DATE(2022,11,23)</f>
        <v>44888</v>
      </c>
    </row>
    <row r="756" spans="1:7" x14ac:dyDescent="0.35">
      <c r="A756" s="2" t="s">
        <v>2158</v>
      </c>
      <c r="B756" s="2" t="s">
        <v>2159</v>
      </c>
      <c r="C756" s="2" t="s">
        <v>2160</v>
      </c>
      <c r="D756" t="s">
        <v>6386</v>
      </c>
      <c r="E756" t="s">
        <v>8023</v>
      </c>
      <c r="F756" t="s">
        <v>0</v>
      </c>
      <c r="G756" s="1">
        <f>DATE(2022,10,6)</f>
        <v>44840</v>
      </c>
    </row>
    <row r="757" spans="1:7" x14ac:dyDescent="0.35">
      <c r="A757" s="2" t="s">
        <v>2161</v>
      </c>
      <c r="B757" s="2" t="s">
        <v>2162</v>
      </c>
      <c r="C757" s="2" t="s">
        <v>2163</v>
      </c>
      <c r="D757" t="s">
        <v>6387</v>
      </c>
      <c r="E757" t="s">
        <v>8024</v>
      </c>
      <c r="F757" t="s">
        <v>0</v>
      </c>
      <c r="G757" s="1">
        <f>DATE(2023,7,21)</f>
        <v>45128</v>
      </c>
    </row>
    <row r="758" spans="1:7" x14ac:dyDescent="0.35">
      <c r="A758" s="2" t="s">
        <v>2164</v>
      </c>
      <c r="B758" s="2" t="s">
        <v>2165</v>
      </c>
      <c r="D758" t="s">
        <v>5756</v>
      </c>
      <c r="E758" t="e">
        <v>#VALUE!</v>
      </c>
      <c r="F758" t="s">
        <v>0</v>
      </c>
      <c r="G758" s="1">
        <f>DATE(2023,6,13)</f>
        <v>45090</v>
      </c>
    </row>
    <row r="759" spans="1:7" x14ac:dyDescent="0.35">
      <c r="A759" s="2" t="s">
        <v>2166</v>
      </c>
      <c r="B759" s="2" t="s">
        <v>2167</v>
      </c>
      <c r="C759" s="2" t="s">
        <v>2168</v>
      </c>
      <c r="D759" t="s">
        <v>6388</v>
      </c>
      <c r="E759" t="s">
        <v>8025</v>
      </c>
      <c r="F759" t="s">
        <v>0</v>
      </c>
      <c r="G759" s="1">
        <f>DATE(2023,2,6)</f>
        <v>44963</v>
      </c>
    </row>
    <row r="760" spans="1:7" x14ac:dyDescent="0.35">
      <c r="A760" s="2" t="s">
        <v>2169</v>
      </c>
      <c r="B760" s="2" t="s">
        <v>2170</v>
      </c>
      <c r="C760" s="2" t="s">
        <v>2171</v>
      </c>
      <c r="D760" t="s">
        <v>6389</v>
      </c>
      <c r="E760" t="s">
        <v>8026</v>
      </c>
      <c r="F760" t="s">
        <v>0</v>
      </c>
      <c r="G760" s="1">
        <f>DATE(2022,10,14)</f>
        <v>44848</v>
      </c>
    </row>
    <row r="761" spans="1:7" x14ac:dyDescent="0.35">
      <c r="A761" s="2" t="s">
        <v>2172</v>
      </c>
      <c r="B761" s="2" t="s">
        <v>2173</v>
      </c>
      <c r="C761" s="2" t="s">
        <v>2174</v>
      </c>
      <c r="D761" t="s">
        <v>6390</v>
      </c>
      <c r="E761" t="s">
        <v>8027</v>
      </c>
      <c r="F761" t="s">
        <v>0</v>
      </c>
      <c r="G761" s="1">
        <f>DATE(2023,9,11)</f>
        <v>45180</v>
      </c>
    </row>
    <row r="762" spans="1:7" x14ac:dyDescent="0.35">
      <c r="A762" s="2" t="s">
        <v>2175</v>
      </c>
      <c r="B762" s="2" t="s">
        <v>2176</v>
      </c>
      <c r="C762" s="2" t="s">
        <v>2177</v>
      </c>
      <c r="D762" t="s">
        <v>6391</v>
      </c>
      <c r="E762" t="s">
        <v>8028</v>
      </c>
      <c r="F762" t="s">
        <v>0</v>
      </c>
      <c r="G762" s="1">
        <f>DATE(2022,10,21)</f>
        <v>44855</v>
      </c>
    </row>
    <row r="763" spans="1:7" x14ac:dyDescent="0.35">
      <c r="A763" s="2" t="s">
        <v>2178</v>
      </c>
      <c r="B763" s="2" t="s">
        <v>2179</v>
      </c>
      <c r="D763" t="s">
        <v>5756</v>
      </c>
      <c r="E763" t="e">
        <v>#VALUE!</v>
      </c>
      <c r="F763" t="s">
        <v>0</v>
      </c>
      <c r="G763" s="1">
        <f>DATE(2023,6,13)</f>
        <v>45090</v>
      </c>
    </row>
    <row r="764" spans="1:7" x14ac:dyDescent="0.35">
      <c r="A764" s="2" t="s">
        <v>2180</v>
      </c>
      <c r="B764" s="2" t="s">
        <v>2181</v>
      </c>
      <c r="C764" s="2" t="s">
        <v>2182</v>
      </c>
      <c r="D764" t="s">
        <v>6392</v>
      </c>
      <c r="E764" t="s">
        <v>8029</v>
      </c>
      <c r="F764" t="s">
        <v>0</v>
      </c>
      <c r="G764" s="1">
        <f>DATE(2023,5,30)</f>
        <v>45076</v>
      </c>
    </row>
    <row r="765" spans="1:7" x14ac:dyDescent="0.35">
      <c r="A765" s="2" t="s">
        <v>2183</v>
      </c>
      <c r="B765" s="2" t="s">
        <v>2184</v>
      </c>
      <c r="C765" s="2" t="s">
        <v>2185</v>
      </c>
      <c r="D765" t="s">
        <v>6393</v>
      </c>
      <c r="E765" t="s">
        <v>8030</v>
      </c>
      <c r="F765" t="s">
        <v>0</v>
      </c>
      <c r="G765" s="1">
        <f>DATE(2022,10,27)</f>
        <v>44861</v>
      </c>
    </row>
    <row r="766" spans="1:7" x14ac:dyDescent="0.35">
      <c r="A766" s="2" t="s">
        <v>2186</v>
      </c>
      <c r="B766" s="2" t="s">
        <v>2187</v>
      </c>
      <c r="C766" s="2" t="s">
        <v>2188</v>
      </c>
      <c r="D766" t="s">
        <v>6394</v>
      </c>
      <c r="E766" t="s">
        <v>8031</v>
      </c>
      <c r="F766" t="s">
        <v>0</v>
      </c>
      <c r="G766" s="1">
        <f>DATE(2023,6,16)</f>
        <v>45093</v>
      </c>
    </row>
    <row r="767" spans="1:7" x14ac:dyDescent="0.35">
      <c r="A767" s="2" t="s">
        <v>2189</v>
      </c>
      <c r="B767" s="2" t="s">
        <v>2190</v>
      </c>
      <c r="C767" s="2" t="s">
        <v>2191</v>
      </c>
      <c r="D767" t="s">
        <v>6395</v>
      </c>
      <c r="E767" t="s">
        <v>8032</v>
      </c>
      <c r="F767" t="s">
        <v>0</v>
      </c>
      <c r="G767" s="1">
        <f>DATE(2023,1,5)</f>
        <v>44931</v>
      </c>
    </row>
    <row r="768" spans="1:7" x14ac:dyDescent="0.35">
      <c r="A768" s="2" t="s">
        <v>2192</v>
      </c>
      <c r="B768" s="2" t="s">
        <v>2193</v>
      </c>
      <c r="C768" s="2" t="s">
        <v>2194</v>
      </c>
      <c r="D768" t="s">
        <v>6396</v>
      </c>
      <c r="E768" t="s">
        <v>8033</v>
      </c>
      <c r="F768" t="s">
        <v>0</v>
      </c>
      <c r="G768" s="1">
        <f>DATE(2022,12,5)</f>
        <v>44900</v>
      </c>
    </row>
    <row r="769" spans="1:7" x14ac:dyDescent="0.35">
      <c r="A769" s="2" t="s">
        <v>2195</v>
      </c>
      <c r="B769" s="2" t="s">
        <v>2196</v>
      </c>
      <c r="D769" t="s">
        <v>5756</v>
      </c>
      <c r="E769" t="e">
        <v>#VALUE!</v>
      </c>
      <c r="F769" t="s">
        <v>0</v>
      </c>
      <c r="G769" s="1">
        <f>DATE(2023,6,13)</f>
        <v>45090</v>
      </c>
    </row>
    <row r="770" spans="1:7" x14ac:dyDescent="0.35">
      <c r="A770" s="2" t="s">
        <v>2197</v>
      </c>
      <c r="B770" s="2" t="s">
        <v>2198</v>
      </c>
      <c r="C770" s="2" t="s">
        <v>2199</v>
      </c>
      <c r="D770" t="s">
        <v>6397</v>
      </c>
      <c r="E770" t="s">
        <v>8034</v>
      </c>
      <c r="F770" t="s">
        <v>0</v>
      </c>
      <c r="G770" s="1">
        <f>DATE(2023,11,29)</f>
        <v>45259</v>
      </c>
    </row>
    <row r="771" spans="1:7" x14ac:dyDescent="0.35">
      <c r="A771" s="2" t="s">
        <v>2200</v>
      </c>
      <c r="B771" s="2" t="s">
        <v>2201</v>
      </c>
      <c r="C771" s="2" t="s">
        <v>2202</v>
      </c>
      <c r="D771" t="s">
        <v>6398</v>
      </c>
      <c r="E771" t="s">
        <v>8035</v>
      </c>
      <c r="F771" t="s">
        <v>0</v>
      </c>
      <c r="G771" s="1">
        <f>DATE(2022,12,19)</f>
        <v>44914</v>
      </c>
    </row>
    <row r="772" spans="1:7" x14ac:dyDescent="0.35">
      <c r="A772" s="2" t="s">
        <v>2203</v>
      </c>
      <c r="B772" s="2" t="s">
        <v>2204</v>
      </c>
      <c r="C772" s="2" t="s">
        <v>1361</v>
      </c>
      <c r="D772" t="s">
        <v>6147</v>
      </c>
      <c r="E772" t="s">
        <v>7784</v>
      </c>
      <c r="F772" t="s">
        <v>0</v>
      </c>
      <c r="G772" s="1">
        <f>DATE(2022,11,8)</f>
        <v>44873</v>
      </c>
    </row>
    <row r="773" spans="1:7" x14ac:dyDescent="0.35">
      <c r="A773" s="2" t="s">
        <v>2205</v>
      </c>
      <c r="B773" s="2" t="s">
        <v>2206</v>
      </c>
      <c r="C773" s="2" t="s">
        <v>2207</v>
      </c>
      <c r="D773" t="s">
        <v>6399</v>
      </c>
      <c r="E773" t="s">
        <v>8036</v>
      </c>
      <c r="F773" t="s">
        <v>0</v>
      </c>
      <c r="G773" s="1">
        <f>DATE(2022,12,19)</f>
        <v>44914</v>
      </c>
    </row>
    <row r="774" spans="1:7" x14ac:dyDescent="0.35">
      <c r="A774" s="2" t="s">
        <v>2208</v>
      </c>
      <c r="B774" s="2" t="s">
        <v>2209</v>
      </c>
      <c r="C774" s="2" t="s">
        <v>2210</v>
      </c>
      <c r="D774" t="s">
        <v>6400</v>
      </c>
      <c r="E774" t="s">
        <v>8037</v>
      </c>
      <c r="F774" t="s">
        <v>0</v>
      </c>
      <c r="G774" s="1">
        <f>DATE(2023,11,6)</f>
        <v>45236</v>
      </c>
    </row>
    <row r="775" spans="1:7" x14ac:dyDescent="0.35">
      <c r="A775" s="2" t="s">
        <v>2211</v>
      </c>
      <c r="B775" s="2" t="s">
        <v>2212</v>
      </c>
      <c r="D775" t="s">
        <v>5756</v>
      </c>
      <c r="E775" t="e">
        <v>#VALUE!</v>
      </c>
      <c r="F775" t="s">
        <v>0</v>
      </c>
      <c r="G775" s="1">
        <f>DATE(2023,6,16)</f>
        <v>45093</v>
      </c>
    </row>
    <row r="776" spans="1:7" x14ac:dyDescent="0.35">
      <c r="A776" s="2" t="s">
        <v>2213</v>
      </c>
      <c r="B776" s="2" t="s">
        <v>2214</v>
      </c>
      <c r="C776" s="2" t="s">
        <v>2215</v>
      </c>
      <c r="D776" t="s">
        <v>6401</v>
      </c>
      <c r="E776" t="s">
        <v>8038</v>
      </c>
      <c r="F776" t="s">
        <v>0</v>
      </c>
      <c r="G776" s="1">
        <f>DATE(2022,12,16)</f>
        <v>44911</v>
      </c>
    </row>
    <row r="777" spans="1:7" x14ac:dyDescent="0.35">
      <c r="A777" s="2" t="s">
        <v>2216</v>
      </c>
      <c r="B777" s="2" t="s">
        <v>2217</v>
      </c>
      <c r="C777" s="2" t="s">
        <v>2218</v>
      </c>
      <c r="D777" t="s">
        <v>6402</v>
      </c>
      <c r="E777" t="s">
        <v>8039</v>
      </c>
      <c r="F777" t="s">
        <v>0</v>
      </c>
      <c r="G777" s="1">
        <f>DATE(2022,12,22)</f>
        <v>44917</v>
      </c>
    </row>
    <row r="778" spans="1:7" x14ac:dyDescent="0.35">
      <c r="A778" s="2" t="s">
        <v>2219</v>
      </c>
      <c r="B778" s="2" t="s">
        <v>2220</v>
      </c>
      <c r="C778" s="2" t="s">
        <v>2221</v>
      </c>
      <c r="D778" t="s">
        <v>6403</v>
      </c>
      <c r="E778" t="s">
        <v>8040</v>
      </c>
      <c r="F778" t="s">
        <v>0</v>
      </c>
      <c r="G778" s="1">
        <f>DATE(2022,11,29)</f>
        <v>44894</v>
      </c>
    </row>
    <row r="779" spans="1:7" x14ac:dyDescent="0.35">
      <c r="A779" s="2" t="s">
        <v>2222</v>
      </c>
      <c r="B779" s="2" t="s">
        <v>2223</v>
      </c>
      <c r="C779" s="2" t="s">
        <v>2224</v>
      </c>
      <c r="D779" t="s">
        <v>6404</v>
      </c>
      <c r="E779" t="s">
        <v>8041</v>
      </c>
      <c r="F779" t="s">
        <v>0</v>
      </c>
      <c r="G779" s="1">
        <f>DATE(2023,4,14)</f>
        <v>45030</v>
      </c>
    </row>
    <row r="780" spans="1:7" x14ac:dyDescent="0.35">
      <c r="A780" s="2" t="s">
        <v>2225</v>
      </c>
      <c r="B780" s="2" t="s">
        <v>2226</v>
      </c>
      <c r="C780" s="2" t="s">
        <v>2227</v>
      </c>
      <c r="D780" t="s">
        <v>6405</v>
      </c>
      <c r="E780" t="s">
        <v>8042</v>
      </c>
      <c r="F780" t="s">
        <v>0</v>
      </c>
      <c r="G780" s="1">
        <f>DATE(2023,3,2)</f>
        <v>44987</v>
      </c>
    </row>
    <row r="781" spans="1:7" x14ac:dyDescent="0.35">
      <c r="A781" s="2" t="s">
        <v>2228</v>
      </c>
      <c r="B781" s="2" t="s">
        <v>2229</v>
      </c>
      <c r="C781" s="2" t="s">
        <v>2230</v>
      </c>
      <c r="D781" t="s">
        <v>6406</v>
      </c>
      <c r="E781" t="s">
        <v>8043</v>
      </c>
      <c r="F781" t="s">
        <v>0</v>
      </c>
      <c r="G781" s="1">
        <f>DATE(2023,4,20)</f>
        <v>45036</v>
      </c>
    </row>
    <row r="782" spans="1:7" x14ac:dyDescent="0.35">
      <c r="A782" s="2" t="s">
        <v>2231</v>
      </c>
      <c r="B782" s="2" t="s">
        <v>2232</v>
      </c>
      <c r="D782" t="s">
        <v>5756</v>
      </c>
      <c r="E782" t="e">
        <v>#VALUE!</v>
      </c>
      <c r="F782" t="s">
        <v>0</v>
      </c>
      <c r="G782" s="1">
        <f>DATE(2023,11,17)</f>
        <v>45247</v>
      </c>
    </row>
    <row r="783" spans="1:7" x14ac:dyDescent="0.35">
      <c r="A783" s="2" t="s">
        <v>2233</v>
      </c>
      <c r="B783" s="2" t="s">
        <v>2234</v>
      </c>
      <c r="C783" s="2" t="s">
        <v>2235</v>
      </c>
      <c r="D783" t="s">
        <v>6407</v>
      </c>
      <c r="E783" t="s">
        <v>8044</v>
      </c>
      <c r="F783" t="s">
        <v>0</v>
      </c>
      <c r="G783" s="1">
        <f>DATE(2023,1,6)</f>
        <v>44932</v>
      </c>
    </row>
    <row r="784" spans="1:7" x14ac:dyDescent="0.35">
      <c r="A784" s="2" t="s">
        <v>2236</v>
      </c>
      <c r="B784" s="2" t="s">
        <v>2237</v>
      </c>
      <c r="C784" s="2" t="s">
        <v>670</v>
      </c>
      <c r="D784" t="s">
        <v>5948</v>
      </c>
      <c r="E784" t="s">
        <v>7584</v>
      </c>
      <c r="F784" t="s">
        <v>0</v>
      </c>
      <c r="G784" s="1">
        <f>DATE(2023,8,2)</f>
        <v>45140</v>
      </c>
    </row>
    <row r="785" spans="1:7" x14ac:dyDescent="0.35">
      <c r="A785" s="2" t="s">
        <v>2238</v>
      </c>
      <c r="B785" s="2" t="s">
        <v>2239</v>
      </c>
      <c r="C785" s="2" t="s">
        <v>2240</v>
      </c>
      <c r="D785" t="s">
        <v>6408</v>
      </c>
      <c r="E785" t="s">
        <v>8045</v>
      </c>
      <c r="F785" t="s">
        <v>0</v>
      </c>
      <c r="G785" s="1">
        <f>DATE(2022,12,5)</f>
        <v>44900</v>
      </c>
    </row>
    <row r="786" spans="1:7" x14ac:dyDescent="0.35">
      <c r="A786" s="2" t="s">
        <v>2241</v>
      </c>
      <c r="B786" s="2" t="s">
        <v>2242</v>
      </c>
      <c r="C786" s="2" t="s">
        <v>2243</v>
      </c>
      <c r="D786" t="s">
        <v>6409</v>
      </c>
      <c r="E786" t="s">
        <v>8046</v>
      </c>
      <c r="F786" t="s">
        <v>0</v>
      </c>
      <c r="G786" s="1">
        <f>DATE(2023,3,8)</f>
        <v>44993</v>
      </c>
    </row>
    <row r="787" spans="1:7" x14ac:dyDescent="0.35">
      <c r="A787" s="2" t="s">
        <v>2244</v>
      </c>
      <c r="B787" s="2" t="s">
        <v>2245</v>
      </c>
      <c r="C787" s="2" t="s">
        <v>2246</v>
      </c>
      <c r="D787" t="s">
        <v>6410</v>
      </c>
      <c r="E787" t="s">
        <v>8047</v>
      </c>
      <c r="F787" t="s">
        <v>0</v>
      </c>
      <c r="G787" s="1">
        <f>DATE(2022,12,5)</f>
        <v>44900</v>
      </c>
    </row>
    <row r="788" spans="1:7" x14ac:dyDescent="0.35">
      <c r="A788" s="2" t="s">
        <v>2247</v>
      </c>
      <c r="B788" s="2" t="s">
        <v>2248</v>
      </c>
      <c r="C788" s="2" t="s">
        <v>2249</v>
      </c>
      <c r="D788" t="s">
        <v>6411</v>
      </c>
      <c r="E788" t="s">
        <v>8048</v>
      </c>
      <c r="F788" t="s">
        <v>0</v>
      </c>
      <c r="G788" s="1">
        <f>DATE(2023,4,26)</f>
        <v>45042</v>
      </c>
    </row>
    <row r="789" spans="1:7" x14ac:dyDescent="0.35">
      <c r="A789" s="2" t="s">
        <v>2250</v>
      </c>
      <c r="B789" s="2" t="s">
        <v>2251</v>
      </c>
      <c r="C789" s="2" t="s">
        <v>2252</v>
      </c>
      <c r="D789" t="s">
        <v>6412</v>
      </c>
      <c r="E789" t="s">
        <v>8049</v>
      </c>
      <c r="F789" t="s">
        <v>0</v>
      </c>
      <c r="G789" s="1">
        <f>DATE(2023,8,2)</f>
        <v>45140</v>
      </c>
    </row>
    <row r="790" spans="1:7" x14ac:dyDescent="0.35">
      <c r="A790" s="2" t="s">
        <v>2253</v>
      </c>
      <c r="B790" s="2" t="s">
        <v>2254</v>
      </c>
      <c r="C790" s="2" t="s">
        <v>148</v>
      </c>
      <c r="D790" t="s">
        <v>5786</v>
      </c>
      <c r="E790" t="s">
        <v>7422</v>
      </c>
      <c r="F790" t="s">
        <v>0</v>
      </c>
      <c r="G790" s="1">
        <f>DATE(2023,7,5)</f>
        <v>45112</v>
      </c>
    </row>
    <row r="791" spans="1:7" x14ac:dyDescent="0.35">
      <c r="A791" s="2" t="s">
        <v>2255</v>
      </c>
      <c r="B791" s="2" t="s">
        <v>2256</v>
      </c>
      <c r="C791" s="2" t="s">
        <v>2257</v>
      </c>
      <c r="D791" t="s">
        <v>6413</v>
      </c>
      <c r="E791" t="s">
        <v>8050</v>
      </c>
      <c r="F791" t="s">
        <v>0</v>
      </c>
      <c r="G791" s="1">
        <f>DATE(2022,12,16)</f>
        <v>44911</v>
      </c>
    </row>
    <row r="792" spans="1:7" x14ac:dyDescent="0.35">
      <c r="A792" s="2" t="s">
        <v>2258</v>
      </c>
      <c r="B792" s="2" t="s">
        <v>2259</v>
      </c>
      <c r="C792" s="2" t="s">
        <v>2260</v>
      </c>
      <c r="D792" t="s">
        <v>6414</v>
      </c>
      <c r="E792" t="s">
        <v>8051</v>
      </c>
      <c r="F792" t="s">
        <v>0</v>
      </c>
      <c r="G792" s="1">
        <f>DATE(2022,12,20)</f>
        <v>44915</v>
      </c>
    </row>
    <row r="793" spans="1:7" x14ac:dyDescent="0.35">
      <c r="A793" s="2" t="s">
        <v>2261</v>
      </c>
      <c r="B793" s="2" t="s">
        <v>2262</v>
      </c>
      <c r="C793" s="2" t="s">
        <v>2263</v>
      </c>
      <c r="D793" t="s">
        <v>6415</v>
      </c>
      <c r="E793" t="s">
        <v>8052</v>
      </c>
      <c r="F793" t="s">
        <v>0</v>
      </c>
      <c r="G793" s="1">
        <f>DATE(2022,12,21)</f>
        <v>44916</v>
      </c>
    </row>
    <row r="794" spans="1:7" x14ac:dyDescent="0.35">
      <c r="A794" s="2" t="s">
        <v>2264</v>
      </c>
      <c r="B794" s="2" t="s">
        <v>2265</v>
      </c>
      <c r="C794" s="2" t="s">
        <v>2266</v>
      </c>
      <c r="D794" t="s">
        <v>6416</v>
      </c>
      <c r="E794" t="s">
        <v>8053</v>
      </c>
      <c r="F794" t="s">
        <v>0</v>
      </c>
      <c r="G794" s="1">
        <f>DATE(2022,12,21)</f>
        <v>44916</v>
      </c>
    </row>
    <row r="795" spans="1:7" x14ac:dyDescent="0.35">
      <c r="A795" s="2" t="s">
        <v>2267</v>
      </c>
      <c r="B795" s="2" t="s">
        <v>2268</v>
      </c>
      <c r="C795" s="2" t="s">
        <v>2269</v>
      </c>
      <c r="D795" t="s">
        <v>6417</v>
      </c>
      <c r="E795" t="s">
        <v>8054</v>
      </c>
      <c r="F795" t="s">
        <v>0</v>
      </c>
      <c r="G795" s="1">
        <f>DATE(2022,12,22)</f>
        <v>44917</v>
      </c>
    </row>
    <row r="796" spans="1:7" x14ac:dyDescent="0.35">
      <c r="A796" s="2" t="s">
        <v>2270</v>
      </c>
      <c r="B796" s="2" t="s">
        <v>2271</v>
      </c>
      <c r="C796" s="2" t="s">
        <v>2272</v>
      </c>
      <c r="D796" t="s">
        <v>6418</v>
      </c>
      <c r="E796" t="s">
        <v>8055</v>
      </c>
      <c r="F796" t="s">
        <v>0</v>
      </c>
      <c r="G796" s="1">
        <f>DATE(2023,9,18)</f>
        <v>45187</v>
      </c>
    </row>
    <row r="797" spans="1:7" x14ac:dyDescent="0.35">
      <c r="A797" s="2" t="s">
        <v>2273</v>
      </c>
      <c r="B797" s="2" t="s">
        <v>2274</v>
      </c>
      <c r="C797" s="2" t="s">
        <v>2275</v>
      </c>
      <c r="D797" t="s">
        <v>6419</v>
      </c>
      <c r="E797" t="s">
        <v>8056</v>
      </c>
      <c r="F797" t="s">
        <v>0</v>
      </c>
      <c r="G797" s="1">
        <f>DATE(2022,12,23)</f>
        <v>44918</v>
      </c>
    </row>
    <row r="798" spans="1:7" x14ac:dyDescent="0.35">
      <c r="A798" s="2" t="s">
        <v>2276</v>
      </c>
      <c r="B798" s="2" t="s">
        <v>2277</v>
      </c>
      <c r="C798" s="2" t="s">
        <v>2278</v>
      </c>
      <c r="D798" t="s">
        <v>6420</v>
      </c>
      <c r="E798" t="s">
        <v>8057</v>
      </c>
      <c r="F798" t="s">
        <v>0</v>
      </c>
      <c r="G798" s="1">
        <f>DATE(2023,2,7)</f>
        <v>44964</v>
      </c>
    </row>
    <row r="799" spans="1:7" x14ac:dyDescent="0.35">
      <c r="A799" s="2" t="s">
        <v>2279</v>
      </c>
      <c r="B799" s="2" t="s">
        <v>2280</v>
      </c>
      <c r="C799" s="2" t="s">
        <v>2281</v>
      </c>
      <c r="D799" t="s">
        <v>6421</v>
      </c>
      <c r="E799" t="s">
        <v>8058</v>
      </c>
      <c r="F799" t="s">
        <v>0</v>
      </c>
      <c r="G799" s="1">
        <f>DATE(2023,4,18)</f>
        <v>45034</v>
      </c>
    </row>
    <row r="800" spans="1:7" x14ac:dyDescent="0.35">
      <c r="A800" s="2" t="s">
        <v>2282</v>
      </c>
      <c r="B800" s="2" t="s">
        <v>2283</v>
      </c>
      <c r="D800" t="s">
        <v>5756</v>
      </c>
      <c r="E800" t="e">
        <v>#VALUE!</v>
      </c>
      <c r="F800" t="s">
        <v>0</v>
      </c>
      <c r="G800" s="1">
        <f>DATE(2023,6,13)</f>
        <v>45090</v>
      </c>
    </row>
    <row r="801" spans="1:7" x14ac:dyDescent="0.35">
      <c r="A801" s="2" t="s">
        <v>2284</v>
      </c>
      <c r="B801" s="2" t="s">
        <v>2285</v>
      </c>
      <c r="C801" s="2" t="s">
        <v>2286</v>
      </c>
      <c r="D801" t="s">
        <v>6422</v>
      </c>
      <c r="E801" t="s">
        <v>8059</v>
      </c>
      <c r="F801" t="s">
        <v>0</v>
      </c>
      <c r="G801" s="1">
        <f>DATE(2024,1,17)</f>
        <v>45308</v>
      </c>
    </row>
    <row r="802" spans="1:7" x14ac:dyDescent="0.35">
      <c r="A802" s="2" t="s">
        <v>2287</v>
      </c>
      <c r="B802" s="2" t="s">
        <v>2288</v>
      </c>
      <c r="C802" s="2" t="s">
        <v>2289</v>
      </c>
      <c r="D802" t="s">
        <v>6423</v>
      </c>
      <c r="E802" t="s">
        <v>8060</v>
      </c>
      <c r="F802" t="s">
        <v>0</v>
      </c>
      <c r="G802" s="1">
        <f>DATE(2023,6,16)</f>
        <v>45093</v>
      </c>
    </row>
    <row r="803" spans="1:7" x14ac:dyDescent="0.35">
      <c r="A803" s="2" t="s">
        <v>2290</v>
      </c>
      <c r="B803" s="2" t="s">
        <v>2291</v>
      </c>
      <c r="C803" s="2" t="s">
        <v>2292</v>
      </c>
      <c r="D803" t="s">
        <v>6424</v>
      </c>
      <c r="E803" t="s">
        <v>8061</v>
      </c>
      <c r="F803" t="s">
        <v>0</v>
      </c>
      <c r="G803" s="1">
        <f>DATE(2023,4,11)</f>
        <v>45027</v>
      </c>
    </row>
    <row r="804" spans="1:7" x14ac:dyDescent="0.35">
      <c r="A804" s="2" t="s">
        <v>2293</v>
      </c>
      <c r="B804" s="2" t="s">
        <v>2294</v>
      </c>
      <c r="C804" s="2" t="s">
        <v>2295</v>
      </c>
      <c r="D804" t="s">
        <v>6425</v>
      </c>
      <c r="E804" t="s">
        <v>8062</v>
      </c>
      <c r="F804" t="s">
        <v>0</v>
      </c>
      <c r="G804" s="1">
        <f>DATE(2023,2,7)</f>
        <v>44964</v>
      </c>
    </row>
    <row r="805" spans="1:7" x14ac:dyDescent="0.35">
      <c r="A805" s="2" t="s">
        <v>2296</v>
      </c>
      <c r="B805" s="2" t="s">
        <v>2297</v>
      </c>
      <c r="C805" s="2" t="s">
        <v>2298</v>
      </c>
      <c r="D805" t="s">
        <v>6426</v>
      </c>
      <c r="E805" t="s">
        <v>8063</v>
      </c>
      <c r="F805" t="s">
        <v>0</v>
      </c>
      <c r="G805" s="1">
        <f>DATE(2023,2,2)</f>
        <v>44959</v>
      </c>
    </row>
    <row r="806" spans="1:7" x14ac:dyDescent="0.35">
      <c r="A806" s="2" t="s">
        <v>2299</v>
      </c>
      <c r="B806" s="2" t="s">
        <v>2300</v>
      </c>
      <c r="C806" s="2" t="s">
        <v>2301</v>
      </c>
      <c r="D806" t="s">
        <v>6427</v>
      </c>
      <c r="E806" t="s">
        <v>8064</v>
      </c>
      <c r="F806" t="s">
        <v>0</v>
      </c>
      <c r="G806" s="1">
        <f>DATE(2023,2,3)</f>
        <v>44960</v>
      </c>
    </row>
    <row r="807" spans="1:7" x14ac:dyDescent="0.35">
      <c r="A807" s="2" t="s">
        <v>2302</v>
      </c>
      <c r="B807" s="2" t="s">
        <v>2303</v>
      </c>
      <c r="C807" s="2" t="s">
        <v>2304</v>
      </c>
      <c r="D807" t="s">
        <v>6428</v>
      </c>
      <c r="E807" t="s">
        <v>8065</v>
      </c>
      <c r="F807" t="s">
        <v>0</v>
      </c>
      <c r="G807" s="1">
        <f>DATE(2023,2,6)</f>
        <v>44963</v>
      </c>
    </row>
    <row r="808" spans="1:7" x14ac:dyDescent="0.35">
      <c r="A808" s="2" t="s">
        <v>2305</v>
      </c>
      <c r="B808" s="2" t="s">
        <v>2306</v>
      </c>
      <c r="C808" s="2" t="s">
        <v>2307</v>
      </c>
      <c r="D808" t="s">
        <v>6429</v>
      </c>
      <c r="E808" t="s">
        <v>8066</v>
      </c>
      <c r="F808" t="s">
        <v>0</v>
      </c>
      <c r="G808" s="1">
        <f>DATE(2023,2,6)</f>
        <v>44963</v>
      </c>
    </row>
    <row r="809" spans="1:7" x14ac:dyDescent="0.35">
      <c r="A809" s="2" t="s">
        <v>2308</v>
      </c>
      <c r="B809" s="2" t="s">
        <v>2309</v>
      </c>
      <c r="C809" s="2" t="s">
        <v>2310</v>
      </c>
      <c r="D809" t="s">
        <v>6430</v>
      </c>
      <c r="E809" t="s">
        <v>8067</v>
      </c>
      <c r="F809" t="s">
        <v>0</v>
      </c>
      <c r="G809" s="1">
        <f>DATE(2023,2,6)</f>
        <v>44963</v>
      </c>
    </row>
    <row r="810" spans="1:7" x14ac:dyDescent="0.35">
      <c r="A810" s="2" t="s">
        <v>2311</v>
      </c>
      <c r="B810" s="2" t="s">
        <v>2312</v>
      </c>
      <c r="C810" s="2" t="s">
        <v>2313</v>
      </c>
      <c r="D810" t="s">
        <v>6431</v>
      </c>
      <c r="E810" t="s">
        <v>8068</v>
      </c>
      <c r="F810" t="s">
        <v>0</v>
      </c>
      <c r="G810" s="1">
        <f>DATE(2023,2,7)</f>
        <v>44964</v>
      </c>
    </row>
    <row r="811" spans="1:7" x14ac:dyDescent="0.35">
      <c r="A811" s="2" t="s">
        <v>2314</v>
      </c>
      <c r="B811" s="2" t="s">
        <v>2315</v>
      </c>
      <c r="C811" s="2" t="s">
        <v>2316</v>
      </c>
      <c r="D811" t="s">
        <v>6432</v>
      </c>
      <c r="E811" t="s">
        <v>8069</v>
      </c>
      <c r="F811" t="s">
        <v>0</v>
      </c>
      <c r="G811" s="1">
        <f>DATE(2023,6,16)</f>
        <v>45093</v>
      </c>
    </row>
    <row r="812" spans="1:7" x14ac:dyDescent="0.35">
      <c r="A812" s="2" t="s">
        <v>2317</v>
      </c>
      <c r="B812" s="2" t="s">
        <v>2318</v>
      </c>
      <c r="C812" s="2" t="s">
        <v>2319</v>
      </c>
      <c r="D812" t="s">
        <v>6433</v>
      </c>
      <c r="E812" t="s">
        <v>8070</v>
      </c>
      <c r="F812" t="s">
        <v>0</v>
      </c>
      <c r="G812" s="1">
        <f>DATE(2023,2,14)</f>
        <v>44971</v>
      </c>
    </row>
    <row r="813" spans="1:7" x14ac:dyDescent="0.35">
      <c r="A813" s="2" t="s">
        <v>2320</v>
      </c>
      <c r="B813" s="2" t="s">
        <v>2321</v>
      </c>
      <c r="C813" s="2" t="s">
        <v>2322</v>
      </c>
      <c r="D813" t="s">
        <v>6434</v>
      </c>
      <c r="E813" t="s">
        <v>8071</v>
      </c>
      <c r="F813" t="s">
        <v>0</v>
      </c>
      <c r="G813" s="1">
        <f>DATE(2023,2,24)</f>
        <v>44981</v>
      </c>
    </row>
    <row r="814" spans="1:7" x14ac:dyDescent="0.35">
      <c r="A814" s="2" t="s">
        <v>2323</v>
      </c>
      <c r="B814" s="2" t="s">
        <v>2324</v>
      </c>
      <c r="C814" s="2" t="s">
        <v>2325</v>
      </c>
      <c r="D814" t="s">
        <v>6435</v>
      </c>
      <c r="E814" t="s">
        <v>8072</v>
      </c>
      <c r="F814" t="s">
        <v>0</v>
      </c>
      <c r="G814" s="1">
        <f>DATE(2023,2,14)</f>
        <v>44971</v>
      </c>
    </row>
    <row r="815" spans="1:7" x14ac:dyDescent="0.35">
      <c r="A815" s="2" t="s">
        <v>2326</v>
      </c>
      <c r="B815" s="2" t="s">
        <v>2327</v>
      </c>
      <c r="C815" s="2" t="s">
        <v>2328</v>
      </c>
      <c r="D815" t="s">
        <v>6436</v>
      </c>
      <c r="E815" t="s">
        <v>8073</v>
      </c>
      <c r="F815" t="s">
        <v>0</v>
      </c>
      <c r="G815" s="1">
        <f>DATE(2023,7,13)</f>
        <v>45120</v>
      </c>
    </row>
    <row r="816" spans="1:7" x14ac:dyDescent="0.35">
      <c r="A816" s="2" t="s">
        <v>2329</v>
      </c>
      <c r="B816" s="2" t="s">
        <v>2330</v>
      </c>
      <c r="C816" s="2" t="s">
        <v>2331</v>
      </c>
      <c r="D816" t="s">
        <v>6437</v>
      </c>
      <c r="E816" t="s">
        <v>8074</v>
      </c>
      <c r="F816" t="s">
        <v>0</v>
      </c>
      <c r="G816" s="1">
        <f>DATE(2023,3,30)</f>
        <v>45015</v>
      </c>
    </row>
    <row r="817" spans="1:7" x14ac:dyDescent="0.35">
      <c r="A817" s="2" t="s">
        <v>2332</v>
      </c>
      <c r="B817" s="2" t="s">
        <v>2333</v>
      </c>
      <c r="C817" s="2" t="s">
        <v>2334</v>
      </c>
      <c r="D817" t="s">
        <v>6438</v>
      </c>
      <c r="E817" t="s">
        <v>8075</v>
      </c>
      <c r="F817" t="s">
        <v>0</v>
      </c>
      <c r="G817" s="1">
        <f>DATE(2023,11,14)</f>
        <v>45244</v>
      </c>
    </row>
    <row r="818" spans="1:7" x14ac:dyDescent="0.35">
      <c r="A818" s="2" t="s">
        <v>2335</v>
      </c>
      <c r="B818" s="2" t="s">
        <v>2336</v>
      </c>
      <c r="C818" s="2" t="s">
        <v>2337</v>
      </c>
      <c r="D818" t="s">
        <v>6439</v>
      </c>
      <c r="E818" t="s">
        <v>8076</v>
      </c>
      <c r="F818" t="s">
        <v>0</v>
      </c>
      <c r="G818" s="1">
        <f>DATE(2023,2,20)</f>
        <v>44977</v>
      </c>
    </row>
    <row r="819" spans="1:7" x14ac:dyDescent="0.35">
      <c r="A819" s="2" t="s">
        <v>2338</v>
      </c>
      <c r="B819" s="2" t="s">
        <v>2339</v>
      </c>
      <c r="D819" t="s">
        <v>5756</v>
      </c>
      <c r="E819" t="e">
        <v>#VALUE!</v>
      </c>
      <c r="F819" t="s">
        <v>0</v>
      </c>
      <c r="G819" s="1">
        <f>DATE(2023,9,13)</f>
        <v>45182</v>
      </c>
    </row>
    <row r="820" spans="1:7" x14ac:dyDescent="0.35">
      <c r="A820" s="2" t="s">
        <v>2340</v>
      </c>
      <c r="B820" s="2" t="s">
        <v>2341</v>
      </c>
      <c r="C820" s="2" t="s">
        <v>2342</v>
      </c>
      <c r="D820" t="s">
        <v>6440</v>
      </c>
      <c r="E820" t="s">
        <v>8077</v>
      </c>
      <c r="F820" t="s">
        <v>0</v>
      </c>
      <c r="G820" s="1">
        <f>DATE(2023,2,16)</f>
        <v>44973</v>
      </c>
    </row>
    <row r="821" spans="1:7" x14ac:dyDescent="0.35">
      <c r="A821" s="2" t="s">
        <v>2343</v>
      </c>
      <c r="B821" s="2" t="s">
        <v>2344</v>
      </c>
      <c r="C821" s="2" t="s">
        <v>2345</v>
      </c>
      <c r="D821" t="s">
        <v>6441</v>
      </c>
      <c r="E821" t="s">
        <v>8078</v>
      </c>
      <c r="F821" t="s">
        <v>0</v>
      </c>
      <c r="G821" s="1">
        <f>DATE(2023,2,17)</f>
        <v>44974</v>
      </c>
    </row>
    <row r="822" spans="1:7" x14ac:dyDescent="0.35">
      <c r="A822" s="2" t="s">
        <v>2346</v>
      </c>
      <c r="B822" s="2" t="s">
        <v>2347</v>
      </c>
      <c r="C822" s="2" t="s">
        <v>2348</v>
      </c>
      <c r="D822" t="s">
        <v>6442</v>
      </c>
      <c r="E822" t="s">
        <v>8079</v>
      </c>
      <c r="F822" t="s">
        <v>0</v>
      </c>
      <c r="G822" s="1">
        <f>DATE(2023,3,14)</f>
        <v>44999</v>
      </c>
    </row>
    <row r="823" spans="1:7" x14ac:dyDescent="0.35">
      <c r="A823" s="2" t="s">
        <v>2349</v>
      </c>
      <c r="B823" s="2" t="s">
        <v>2350</v>
      </c>
      <c r="C823" s="2" t="s">
        <v>2351</v>
      </c>
      <c r="D823" t="s">
        <v>6443</v>
      </c>
      <c r="E823" t="s">
        <v>8080</v>
      </c>
      <c r="F823" t="s">
        <v>0</v>
      </c>
      <c r="G823" s="1">
        <f>DATE(2023,11,22)</f>
        <v>45252</v>
      </c>
    </row>
    <row r="824" spans="1:7" x14ac:dyDescent="0.35">
      <c r="A824" s="2" t="s">
        <v>2352</v>
      </c>
      <c r="B824" s="2" t="s">
        <v>2353</v>
      </c>
      <c r="C824" s="2" t="s">
        <v>2354</v>
      </c>
      <c r="D824" t="s">
        <v>6444</v>
      </c>
      <c r="E824" t="s">
        <v>8081</v>
      </c>
      <c r="F824" t="s">
        <v>0</v>
      </c>
      <c r="G824" s="1">
        <f>DATE(2023,3,14)</f>
        <v>44999</v>
      </c>
    </row>
    <row r="825" spans="1:7" x14ac:dyDescent="0.35">
      <c r="A825" s="2" t="s">
        <v>2355</v>
      </c>
      <c r="B825" s="2" t="s">
        <v>2356</v>
      </c>
      <c r="C825" s="2" t="s">
        <v>2357</v>
      </c>
      <c r="D825" t="s">
        <v>6445</v>
      </c>
      <c r="E825" t="s">
        <v>8082</v>
      </c>
      <c r="F825" t="s">
        <v>0</v>
      </c>
      <c r="G825" s="1">
        <f>DATE(2023,8,30)</f>
        <v>45168</v>
      </c>
    </row>
    <row r="826" spans="1:7" x14ac:dyDescent="0.35">
      <c r="A826" s="2" t="s">
        <v>2358</v>
      </c>
      <c r="B826" s="2" t="s">
        <v>2359</v>
      </c>
      <c r="C826" s="2" t="s">
        <v>2360</v>
      </c>
      <c r="D826" t="s">
        <v>6446</v>
      </c>
      <c r="E826" t="s">
        <v>8083</v>
      </c>
      <c r="F826" t="s">
        <v>0</v>
      </c>
      <c r="G826" s="1">
        <f>DATE(2023,11,24)</f>
        <v>45254</v>
      </c>
    </row>
    <row r="827" spans="1:7" x14ac:dyDescent="0.35">
      <c r="A827" s="2" t="s">
        <v>2361</v>
      </c>
      <c r="B827" s="2" t="s">
        <v>2362</v>
      </c>
      <c r="C827" s="2" t="s">
        <v>2363</v>
      </c>
      <c r="D827" t="s">
        <v>6447</v>
      </c>
      <c r="E827" t="s">
        <v>8084</v>
      </c>
      <c r="F827" t="s">
        <v>0</v>
      </c>
      <c r="G827" s="1">
        <f>DATE(2023,3,14)</f>
        <v>44999</v>
      </c>
    </row>
    <row r="828" spans="1:7" x14ac:dyDescent="0.35">
      <c r="A828" s="2" t="s">
        <v>2364</v>
      </c>
      <c r="B828" s="2" t="s">
        <v>2365</v>
      </c>
      <c r="C828" s="2" t="s">
        <v>2366</v>
      </c>
      <c r="D828" t="s">
        <v>6448</v>
      </c>
      <c r="E828" t="s">
        <v>8085</v>
      </c>
      <c r="F828" t="s">
        <v>0</v>
      </c>
      <c r="G828" s="1">
        <f>DATE(2023,2,19)</f>
        <v>44976</v>
      </c>
    </row>
    <row r="829" spans="1:7" x14ac:dyDescent="0.35">
      <c r="A829" s="2" t="s">
        <v>2367</v>
      </c>
      <c r="B829" s="2" t="s">
        <v>2368</v>
      </c>
      <c r="C829" s="2" t="s">
        <v>2369</v>
      </c>
      <c r="D829" t="s">
        <v>6449</v>
      </c>
      <c r="E829" t="s">
        <v>8086</v>
      </c>
      <c r="F829" t="s">
        <v>0</v>
      </c>
      <c r="G829" s="1">
        <f>DATE(2023,11,13)</f>
        <v>45243</v>
      </c>
    </row>
    <row r="830" spans="1:7" x14ac:dyDescent="0.35">
      <c r="A830" s="2" t="s">
        <v>2370</v>
      </c>
      <c r="B830" s="2" t="s">
        <v>2371</v>
      </c>
      <c r="C830" s="2" t="s">
        <v>2372</v>
      </c>
      <c r="D830" t="s">
        <v>6450</v>
      </c>
      <c r="E830" t="s">
        <v>8087</v>
      </c>
      <c r="F830" t="s">
        <v>0</v>
      </c>
      <c r="G830" s="1">
        <f>DATE(2023,11,27)</f>
        <v>45257</v>
      </c>
    </row>
    <row r="831" spans="1:7" x14ac:dyDescent="0.35">
      <c r="A831" s="2" t="s">
        <v>2373</v>
      </c>
      <c r="B831" s="2" t="s">
        <v>2374</v>
      </c>
      <c r="C831" s="2" t="s">
        <v>2375</v>
      </c>
      <c r="D831" t="s">
        <v>6451</v>
      </c>
      <c r="E831" t="s">
        <v>8088</v>
      </c>
      <c r="F831" t="s">
        <v>0</v>
      </c>
      <c r="G831" s="1">
        <f>DATE(2023,3,14)</f>
        <v>44999</v>
      </c>
    </row>
    <row r="832" spans="1:7" x14ac:dyDescent="0.35">
      <c r="A832" s="2" t="s">
        <v>2376</v>
      </c>
      <c r="B832" s="2" t="s">
        <v>2377</v>
      </c>
      <c r="C832" s="2" t="s">
        <v>2378</v>
      </c>
      <c r="D832" t="s">
        <v>6452</v>
      </c>
      <c r="E832" t="s">
        <v>8089</v>
      </c>
      <c r="F832" t="s">
        <v>0</v>
      </c>
      <c r="G832" s="1">
        <f>DATE(2023,11,30)</f>
        <v>45260</v>
      </c>
    </row>
    <row r="833" spans="1:7" x14ac:dyDescent="0.35">
      <c r="A833" s="2" t="s">
        <v>2379</v>
      </c>
      <c r="B833" s="2" t="s">
        <v>2380</v>
      </c>
      <c r="C833" s="2" t="s">
        <v>2381</v>
      </c>
      <c r="D833" t="s">
        <v>6453</v>
      </c>
      <c r="E833" t="s">
        <v>8090</v>
      </c>
      <c r="F833" t="s">
        <v>0</v>
      </c>
      <c r="G833" s="1">
        <f>DATE(2023,6,26)</f>
        <v>45103</v>
      </c>
    </row>
    <row r="834" spans="1:7" x14ac:dyDescent="0.35">
      <c r="A834" s="2" t="s">
        <v>2382</v>
      </c>
      <c r="B834" s="2" t="s">
        <v>2383</v>
      </c>
      <c r="C834" s="2" t="s">
        <v>2384</v>
      </c>
      <c r="D834" t="s">
        <v>6454</v>
      </c>
      <c r="E834" t="s">
        <v>8091</v>
      </c>
      <c r="F834" t="s">
        <v>0</v>
      </c>
      <c r="G834" s="1">
        <f>DATE(2023,3,14)</f>
        <v>44999</v>
      </c>
    </row>
    <row r="835" spans="1:7" x14ac:dyDescent="0.35">
      <c r="A835" s="2" t="s">
        <v>2385</v>
      </c>
      <c r="B835" s="2" t="s">
        <v>2386</v>
      </c>
      <c r="C835" s="2" t="s">
        <v>2387</v>
      </c>
      <c r="D835" t="s">
        <v>6455</v>
      </c>
      <c r="E835" t="s">
        <v>8092</v>
      </c>
      <c r="F835" t="s">
        <v>0</v>
      </c>
      <c r="G835" s="1">
        <f>DATE(2023,9,22)</f>
        <v>45191</v>
      </c>
    </row>
    <row r="836" spans="1:7" x14ac:dyDescent="0.35">
      <c r="A836" s="2" t="s">
        <v>2388</v>
      </c>
      <c r="B836" s="2" t="s">
        <v>2389</v>
      </c>
      <c r="C836" s="2" t="s">
        <v>2390</v>
      </c>
      <c r="D836" t="s">
        <v>6456</v>
      </c>
      <c r="E836" t="s">
        <v>8093</v>
      </c>
      <c r="F836" t="s">
        <v>0</v>
      </c>
      <c r="G836" s="1">
        <f>DATE(2023,7,5)</f>
        <v>45112</v>
      </c>
    </row>
    <row r="837" spans="1:7" x14ac:dyDescent="0.35">
      <c r="A837" s="2" t="s">
        <v>2391</v>
      </c>
      <c r="B837" s="2" t="s">
        <v>2392</v>
      </c>
      <c r="C837" s="2" t="s">
        <v>2393</v>
      </c>
      <c r="D837" t="s">
        <v>6457</v>
      </c>
      <c r="E837" t="s">
        <v>8094</v>
      </c>
      <c r="F837" t="s">
        <v>0</v>
      </c>
      <c r="G837" s="1">
        <f>DATE(2023,7,26)</f>
        <v>45133</v>
      </c>
    </row>
    <row r="838" spans="1:7" x14ac:dyDescent="0.35">
      <c r="A838" s="2" t="s">
        <v>2394</v>
      </c>
      <c r="B838" s="2" t="s">
        <v>2395</v>
      </c>
      <c r="C838" s="2" t="s">
        <v>2396</v>
      </c>
      <c r="D838" t="s">
        <v>6458</v>
      </c>
      <c r="E838" t="s">
        <v>8095</v>
      </c>
      <c r="F838" t="s">
        <v>0</v>
      </c>
      <c r="G838" s="1">
        <f>DATE(2023,6,29)</f>
        <v>45106</v>
      </c>
    </row>
    <row r="839" spans="1:7" x14ac:dyDescent="0.35">
      <c r="A839" s="2" t="s">
        <v>2397</v>
      </c>
      <c r="B839" s="2" t="s">
        <v>2398</v>
      </c>
      <c r="C839" s="2" t="s">
        <v>2399</v>
      </c>
      <c r="D839" t="s">
        <v>6459</v>
      </c>
      <c r="E839" t="s">
        <v>8096</v>
      </c>
      <c r="F839" t="s">
        <v>0</v>
      </c>
      <c r="G839" s="1">
        <f>DATE(2023,3,14)</f>
        <v>44999</v>
      </c>
    </row>
    <row r="840" spans="1:7" x14ac:dyDescent="0.35">
      <c r="A840" s="2" t="s">
        <v>2400</v>
      </c>
      <c r="B840" s="2" t="s">
        <v>2401</v>
      </c>
      <c r="C840" s="2" t="s">
        <v>2402</v>
      </c>
      <c r="D840" t="s">
        <v>6460</v>
      </c>
      <c r="E840" t="s">
        <v>8097</v>
      </c>
      <c r="F840" t="s">
        <v>0</v>
      </c>
      <c r="G840" s="1">
        <f>DATE(2023,7,20)</f>
        <v>45127</v>
      </c>
    </row>
    <row r="841" spans="1:7" x14ac:dyDescent="0.35">
      <c r="A841" s="2" t="s">
        <v>2403</v>
      </c>
      <c r="B841" s="2" t="s">
        <v>2404</v>
      </c>
      <c r="C841" s="2" t="s">
        <v>2405</v>
      </c>
      <c r="D841" t="s">
        <v>6461</v>
      </c>
      <c r="E841" t="s">
        <v>8098</v>
      </c>
      <c r="F841" t="s">
        <v>0</v>
      </c>
      <c r="G841" s="1">
        <f>DATE(2023,8,30)</f>
        <v>45168</v>
      </c>
    </row>
    <row r="842" spans="1:7" x14ac:dyDescent="0.35">
      <c r="A842" s="2" t="s">
        <v>2406</v>
      </c>
      <c r="B842" s="2" t="s">
        <v>2407</v>
      </c>
      <c r="C842" s="2" t="s">
        <v>2408</v>
      </c>
      <c r="D842" t="s">
        <v>6462</v>
      </c>
      <c r="E842" t="s">
        <v>8099</v>
      </c>
      <c r="F842" t="s">
        <v>0</v>
      </c>
      <c r="G842" s="1">
        <f>DATE(2023,3,14)</f>
        <v>44999</v>
      </c>
    </row>
    <row r="843" spans="1:7" x14ac:dyDescent="0.35">
      <c r="A843" s="2" t="s">
        <v>2409</v>
      </c>
      <c r="B843" s="2" t="s">
        <v>2410</v>
      </c>
      <c r="C843" s="2" t="s">
        <v>2411</v>
      </c>
      <c r="D843" t="s">
        <v>6463</v>
      </c>
      <c r="E843" t="s">
        <v>8100</v>
      </c>
      <c r="F843" t="s">
        <v>0</v>
      </c>
      <c r="G843" s="1">
        <f>DATE(2023,11,29)</f>
        <v>45259</v>
      </c>
    </row>
    <row r="844" spans="1:7" x14ac:dyDescent="0.35">
      <c r="A844" s="2" t="s">
        <v>2412</v>
      </c>
      <c r="B844" s="2" t="s">
        <v>2413</v>
      </c>
      <c r="C844" s="2" t="s">
        <v>2414</v>
      </c>
      <c r="D844" t="s">
        <v>6464</v>
      </c>
      <c r="E844" t="s">
        <v>8101</v>
      </c>
      <c r="F844" t="s">
        <v>0</v>
      </c>
      <c r="G844" s="1">
        <f>DATE(2023,3,14)</f>
        <v>44999</v>
      </c>
    </row>
    <row r="845" spans="1:7" x14ac:dyDescent="0.35">
      <c r="A845" s="2" t="s">
        <v>2415</v>
      </c>
      <c r="B845" s="2" t="s">
        <v>2416</v>
      </c>
      <c r="C845" s="2" t="s">
        <v>2417</v>
      </c>
      <c r="D845" t="s">
        <v>6465</v>
      </c>
      <c r="E845" t="s">
        <v>8102</v>
      </c>
      <c r="F845" t="s">
        <v>0</v>
      </c>
      <c r="G845" s="1">
        <f>DATE(2023,3,2)</f>
        <v>44987</v>
      </c>
    </row>
    <row r="846" spans="1:7" x14ac:dyDescent="0.35">
      <c r="A846" s="2" t="s">
        <v>2418</v>
      </c>
      <c r="B846" s="2" t="s">
        <v>2419</v>
      </c>
      <c r="C846" s="2" t="s">
        <v>2420</v>
      </c>
      <c r="D846" t="s">
        <v>6466</v>
      </c>
      <c r="E846" t="s">
        <v>8103</v>
      </c>
      <c r="F846" t="s">
        <v>0</v>
      </c>
      <c r="G846" s="1">
        <f>DATE(2023,7,5)</f>
        <v>45112</v>
      </c>
    </row>
    <row r="847" spans="1:7" x14ac:dyDescent="0.35">
      <c r="A847" s="2" t="s">
        <v>2421</v>
      </c>
      <c r="B847" s="2" t="s">
        <v>2422</v>
      </c>
      <c r="C847" s="2" t="s">
        <v>2423</v>
      </c>
      <c r="D847" t="s">
        <v>6467</v>
      </c>
      <c r="E847" t="s">
        <v>8104</v>
      </c>
      <c r="F847" t="s">
        <v>0</v>
      </c>
      <c r="G847" s="1">
        <f>DATE(2023,3,14)</f>
        <v>44999</v>
      </c>
    </row>
    <row r="848" spans="1:7" x14ac:dyDescent="0.35">
      <c r="A848" s="2" t="s">
        <v>2424</v>
      </c>
      <c r="B848" s="2" t="s">
        <v>2425</v>
      </c>
      <c r="C848" s="2" t="s">
        <v>2426</v>
      </c>
      <c r="D848" t="s">
        <v>6468</v>
      </c>
      <c r="E848" t="s">
        <v>8105</v>
      </c>
      <c r="F848" t="s">
        <v>0</v>
      </c>
      <c r="G848" s="1">
        <f>DATE(2023,2,19)</f>
        <v>44976</v>
      </c>
    </row>
    <row r="849" spans="1:7" x14ac:dyDescent="0.35">
      <c r="A849" s="2" t="s">
        <v>2427</v>
      </c>
      <c r="B849" s="2" t="s">
        <v>2428</v>
      </c>
      <c r="C849" s="2" t="s">
        <v>2429</v>
      </c>
      <c r="D849" t="s">
        <v>6469</v>
      </c>
      <c r="E849" t="s">
        <v>8106</v>
      </c>
      <c r="F849" t="s">
        <v>0</v>
      </c>
      <c r="G849" s="1">
        <f>DATE(2023,3,14)</f>
        <v>44999</v>
      </c>
    </row>
    <row r="850" spans="1:7" x14ac:dyDescent="0.35">
      <c r="A850" s="2" t="s">
        <v>2430</v>
      </c>
      <c r="B850" s="2" t="s">
        <v>2431</v>
      </c>
      <c r="C850" s="2" t="s">
        <v>2432</v>
      </c>
      <c r="D850" t="s">
        <v>6470</v>
      </c>
      <c r="E850" t="s">
        <v>8107</v>
      </c>
      <c r="F850" t="s">
        <v>0</v>
      </c>
      <c r="G850" s="1">
        <f>DATE(2023,3,14)</f>
        <v>44999</v>
      </c>
    </row>
    <row r="851" spans="1:7" x14ac:dyDescent="0.35">
      <c r="A851" s="2" t="s">
        <v>2433</v>
      </c>
      <c r="B851" s="2" t="s">
        <v>2434</v>
      </c>
      <c r="C851" s="2" t="s">
        <v>2435</v>
      </c>
      <c r="D851" t="s">
        <v>6471</v>
      </c>
      <c r="E851" t="s">
        <v>8108</v>
      </c>
      <c r="F851" t="s">
        <v>0</v>
      </c>
      <c r="G851" s="1">
        <f>DATE(2023,6,13)</f>
        <v>45090</v>
      </c>
    </row>
    <row r="852" spans="1:7" x14ac:dyDescent="0.35">
      <c r="A852" s="2" t="s">
        <v>2436</v>
      </c>
      <c r="B852" s="2" t="s">
        <v>2437</v>
      </c>
      <c r="C852" s="2" t="s">
        <v>2438</v>
      </c>
      <c r="D852" t="s">
        <v>6472</v>
      </c>
      <c r="E852" t="s">
        <v>8109</v>
      </c>
      <c r="F852" t="s">
        <v>0</v>
      </c>
      <c r="G852" s="1">
        <f>DATE(2023,8,30)</f>
        <v>45168</v>
      </c>
    </row>
    <row r="853" spans="1:7" x14ac:dyDescent="0.35">
      <c r="A853" s="2" t="s">
        <v>2439</v>
      </c>
      <c r="B853" s="2" t="s">
        <v>2440</v>
      </c>
      <c r="C853" s="2" t="s">
        <v>2441</v>
      </c>
      <c r="D853" t="s">
        <v>6473</v>
      </c>
      <c r="E853" t="s">
        <v>8110</v>
      </c>
      <c r="F853" t="s">
        <v>0</v>
      </c>
      <c r="G853" s="1">
        <f>DATE(2023,2,19)</f>
        <v>44976</v>
      </c>
    </row>
    <row r="854" spans="1:7" x14ac:dyDescent="0.35">
      <c r="A854" s="2" t="s">
        <v>2442</v>
      </c>
      <c r="B854" s="2" t="s">
        <v>2443</v>
      </c>
      <c r="C854" s="2" t="s">
        <v>2444</v>
      </c>
      <c r="D854" t="s">
        <v>6474</v>
      </c>
      <c r="E854" t="s">
        <v>8111</v>
      </c>
      <c r="F854" t="s">
        <v>0</v>
      </c>
      <c r="G854" s="1">
        <f>DATE(2023,11,6)</f>
        <v>45236</v>
      </c>
    </row>
    <row r="855" spans="1:7" x14ac:dyDescent="0.35">
      <c r="A855" s="2" t="s">
        <v>2445</v>
      </c>
      <c r="B855" s="2" t="s">
        <v>2446</v>
      </c>
      <c r="C855" s="2" t="s">
        <v>2447</v>
      </c>
      <c r="D855" t="s">
        <v>6475</v>
      </c>
      <c r="E855" t="s">
        <v>8112</v>
      </c>
      <c r="F855" t="s">
        <v>0</v>
      </c>
      <c r="G855" s="1">
        <f>DATE(2023,3,14)</f>
        <v>44999</v>
      </c>
    </row>
    <row r="856" spans="1:7" x14ac:dyDescent="0.35">
      <c r="A856" s="2" t="s">
        <v>2448</v>
      </c>
      <c r="B856" s="2" t="s">
        <v>2449</v>
      </c>
      <c r="C856" s="2" t="s">
        <v>2450</v>
      </c>
      <c r="D856" t="s">
        <v>6476</v>
      </c>
      <c r="E856" t="s">
        <v>8113</v>
      </c>
      <c r="F856" t="s">
        <v>0</v>
      </c>
      <c r="G856" s="1">
        <f>DATE(2023,3,14)</f>
        <v>44999</v>
      </c>
    </row>
    <row r="857" spans="1:7" x14ac:dyDescent="0.35">
      <c r="A857" s="2" t="s">
        <v>2451</v>
      </c>
      <c r="B857" s="2" t="s">
        <v>2452</v>
      </c>
      <c r="C857" s="2" t="s">
        <v>2453</v>
      </c>
      <c r="D857" t="s">
        <v>6477</v>
      </c>
      <c r="E857" t="s">
        <v>8114</v>
      </c>
      <c r="F857" t="s">
        <v>0</v>
      </c>
      <c r="G857" s="1">
        <f>DATE(2023,9,22)</f>
        <v>45191</v>
      </c>
    </row>
    <row r="858" spans="1:7" x14ac:dyDescent="0.35">
      <c r="A858" s="2" t="s">
        <v>2454</v>
      </c>
      <c r="B858" s="2" t="s">
        <v>2455</v>
      </c>
      <c r="C858" s="2" t="s">
        <v>2456</v>
      </c>
      <c r="D858" t="s">
        <v>6478</v>
      </c>
      <c r="E858" t="s">
        <v>8115</v>
      </c>
      <c r="F858" t="s">
        <v>0</v>
      </c>
      <c r="G858" s="1">
        <f>DATE(2023,3,14)</f>
        <v>44999</v>
      </c>
    </row>
    <row r="859" spans="1:7" x14ac:dyDescent="0.35">
      <c r="A859" s="2" t="s">
        <v>2457</v>
      </c>
      <c r="B859" s="2" t="s">
        <v>2458</v>
      </c>
      <c r="C859" s="2" t="s">
        <v>2459</v>
      </c>
      <c r="D859" t="s">
        <v>6479</v>
      </c>
      <c r="E859" t="s">
        <v>8116</v>
      </c>
      <c r="F859" t="s">
        <v>0</v>
      </c>
      <c r="G859" s="1">
        <f>DATE(2023,3,14)</f>
        <v>44999</v>
      </c>
    </row>
    <row r="860" spans="1:7" x14ac:dyDescent="0.35">
      <c r="A860" s="2" t="s">
        <v>2460</v>
      </c>
      <c r="B860" s="2" t="s">
        <v>2461</v>
      </c>
      <c r="C860" s="2" t="s">
        <v>2462</v>
      </c>
      <c r="D860" t="s">
        <v>6480</v>
      </c>
      <c r="E860" t="s">
        <v>8117</v>
      </c>
      <c r="F860" t="s">
        <v>0</v>
      </c>
      <c r="G860" s="1">
        <f>DATE(2023,3,14)</f>
        <v>44999</v>
      </c>
    </row>
    <row r="861" spans="1:7" x14ac:dyDescent="0.35">
      <c r="A861" s="2" t="s">
        <v>2463</v>
      </c>
      <c r="B861" s="2" t="s">
        <v>2464</v>
      </c>
      <c r="C861" s="2" t="s">
        <v>2465</v>
      </c>
      <c r="D861" t="s">
        <v>6481</v>
      </c>
      <c r="E861" t="s">
        <v>8118</v>
      </c>
      <c r="F861" t="s">
        <v>0</v>
      </c>
      <c r="G861" s="1">
        <f>DATE(2023,6,13)</f>
        <v>45090</v>
      </c>
    </row>
    <row r="862" spans="1:7" x14ac:dyDescent="0.35">
      <c r="A862" s="2" t="s">
        <v>2466</v>
      </c>
      <c r="B862" s="2" t="s">
        <v>2467</v>
      </c>
      <c r="C862" s="2" t="s">
        <v>2468</v>
      </c>
      <c r="D862" t="s">
        <v>6482</v>
      </c>
      <c r="E862" t="s">
        <v>8119</v>
      </c>
      <c r="F862" t="s">
        <v>0</v>
      </c>
      <c r="G862" s="1">
        <f>DATE(2023,11,24)</f>
        <v>45254</v>
      </c>
    </row>
    <row r="863" spans="1:7" x14ac:dyDescent="0.35">
      <c r="A863" s="2" t="s">
        <v>2469</v>
      </c>
      <c r="B863" s="2" t="s">
        <v>2470</v>
      </c>
      <c r="C863" s="2" t="s">
        <v>2471</v>
      </c>
      <c r="D863" t="s">
        <v>6483</v>
      </c>
      <c r="E863" t="s">
        <v>8120</v>
      </c>
      <c r="F863" t="s">
        <v>0</v>
      </c>
      <c r="G863" s="1">
        <f>DATE(2023,5,15)</f>
        <v>45061</v>
      </c>
    </row>
    <row r="864" spans="1:7" x14ac:dyDescent="0.35">
      <c r="A864" s="2" t="s">
        <v>2472</v>
      </c>
      <c r="B864" s="2" t="s">
        <v>2473</v>
      </c>
      <c r="C864" s="2" t="s">
        <v>2474</v>
      </c>
      <c r="D864" t="s">
        <v>6484</v>
      </c>
      <c r="E864" t="s">
        <v>8121</v>
      </c>
      <c r="F864" t="s">
        <v>0</v>
      </c>
      <c r="G864" s="1">
        <f>DATE(2023,3,14)</f>
        <v>44999</v>
      </c>
    </row>
    <row r="865" spans="1:7" x14ac:dyDescent="0.35">
      <c r="A865" s="2" t="s">
        <v>2475</v>
      </c>
      <c r="B865" s="2" t="s">
        <v>2476</v>
      </c>
      <c r="C865" s="2" t="s">
        <v>2477</v>
      </c>
      <c r="D865" t="s">
        <v>6485</v>
      </c>
      <c r="E865" t="s">
        <v>8122</v>
      </c>
      <c r="F865" t="s">
        <v>0</v>
      </c>
      <c r="G865" s="1">
        <f>DATE(2023,2,19)</f>
        <v>44976</v>
      </c>
    </row>
    <row r="866" spans="1:7" x14ac:dyDescent="0.35">
      <c r="A866" s="2" t="s">
        <v>2478</v>
      </c>
      <c r="B866" s="2" t="s">
        <v>2479</v>
      </c>
      <c r="C866" s="2" t="s">
        <v>2480</v>
      </c>
      <c r="D866" t="s">
        <v>6486</v>
      </c>
      <c r="E866" t="s">
        <v>8123</v>
      </c>
      <c r="F866" t="s">
        <v>0</v>
      </c>
      <c r="G866" s="1">
        <f>DATE(2023,7,26)</f>
        <v>45133</v>
      </c>
    </row>
    <row r="867" spans="1:7" x14ac:dyDescent="0.35">
      <c r="A867" s="2" t="s">
        <v>2481</v>
      </c>
      <c r="B867" s="2" t="s">
        <v>2482</v>
      </c>
      <c r="C867" s="2" t="s">
        <v>2483</v>
      </c>
      <c r="D867" t="s">
        <v>6487</v>
      </c>
      <c r="E867" t="s">
        <v>8124</v>
      </c>
      <c r="F867" t="s">
        <v>0</v>
      </c>
      <c r="G867" s="1">
        <f>DATE(2023,5,31)</f>
        <v>45077</v>
      </c>
    </row>
    <row r="868" spans="1:7" x14ac:dyDescent="0.35">
      <c r="A868" s="2" t="s">
        <v>2484</v>
      </c>
      <c r="B868" s="2" t="s">
        <v>2485</v>
      </c>
      <c r="C868" s="2" t="s">
        <v>2486</v>
      </c>
      <c r="D868" t="s">
        <v>6488</v>
      </c>
      <c r="E868" t="s">
        <v>8125</v>
      </c>
      <c r="F868" t="s">
        <v>0</v>
      </c>
      <c r="G868" s="1">
        <f>DATE(2023,3,14)</f>
        <v>44999</v>
      </c>
    </row>
    <row r="869" spans="1:7" x14ac:dyDescent="0.35">
      <c r="A869" s="2" t="s">
        <v>2487</v>
      </c>
      <c r="B869" s="2" t="s">
        <v>2488</v>
      </c>
      <c r="C869" s="2" t="s">
        <v>2489</v>
      </c>
      <c r="D869" t="s">
        <v>6489</v>
      </c>
      <c r="E869" t="s">
        <v>8126</v>
      </c>
      <c r="F869" t="s">
        <v>0</v>
      </c>
      <c r="G869" s="1">
        <f>DATE(2023,3,14)</f>
        <v>44999</v>
      </c>
    </row>
    <row r="870" spans="1:7" x14ac:dyDescent="0.35">
      <c r="A870" s="2" t="s">
        <v>2490</v>
      </c>
      <c r="B870" s="2" t="s">
        <v>2491</v>
      </c>
      <c r="C870" s="2" t="s">
        <v>2492</v>
      </c>
      <c r="D870" t="s">
        <v>6490</v>
      </c>
      <c r="E870" t="s">
        <v>8127</v>
      </c>
      <c r="F870" t="s">
        <v>0</v>
      </c>
      <c r="G870" s="1">
        <f>DATE(2023,9,8)</f>
        <v>45177</v>
      </c>
    </row>
    <row r="871" spans="1:7" x14ac:dyDescent="0.35">
      <c r="A871" s="2" t="s">
        <v>2493</v>
      </c>
      <c r="B871" s="2" t="s">
        <v>2494</v>
      </c>
      <c r="C871" s="2" t="s">
        <v>2495</v>
      </c>
      <c r="D871" t="s">
        <v>6491</v>
      </c>
      <c r="E871" t="s">
        <v>8128</v>
      </c>
      <c r="F871" t="s">
        <v>0</v>
      </c>
      <c r="G871" s="1">
        <f>DATE(2023,11,24)</f>
        <v>45254</v>
      </c>
    </row>
    <row r="872" spans="1:7" x14ac:dyDescent="0.35">
      <c r="A872" s="2" t="s">
        <v>2496</v>
      </c>
      <c r="B872" s="2" t="s">
        <v>2497</v>
      </c>
      <c r="C872" s="2" t="s">
        <v>2498</v>
      </c>
      <c r="D872" t="s">
        <v>6492</v>
      </c>
      <c r="E872" t="s">
        <v>8129</v>
      </c>
      <c r="F872" t="s">
        <v>0</v>
      </c>
      <c r="G872" s="1">
        <f>DATE(2023,3,14)</f>
        <v>44999</v>
      </c>
    </row>
    <row r="873" spans="1:7" x14ac:dyDescent="0.35">
      <c r="A873" s="2" t="s">
        <v>2499</v>
      </c>
      <c r="B873" s="2" t="s">
        <v>2500</v>
      </c>
      <c r="C873" s="2" t="s">
        <v>2501</v>
      </c>
      <c r="D873" t="s">
        <v>6493</v>
      </c>
      <c r="E873" t="s">
        <v>8130</v>
      </c>
      <c r="F873" t="s">
        <v>0</v>
      </c>
      <c r="G873" s="1">
        <f>DATE(2023,10,11)</f>
        <v>45210</v>
      </c>
    </row>
    <row r="874" spans="1:7" x14ac:dyDescent="0.35">
      <c r="A874" s="2" t="s">
        <v>2502</v>
      </c>
      <c r="B874" s="2" t="s">
        <v>2503</v>
      </c>
      <c r="C874" s="2" t="s">
        <v>2504</v>
      </c>
      <c r="D874" t="s">
        <v>6494</v>
      </c>
      <c r="E874" t="s">
        <v>8131</v>
      </c>
      <c r="F874" t="s">
        <v>0</v>
      </c>
      <c r="G874" s="1">
        <f>DATE(2023,6,29)</f>
        <v>45106</v>
      </c>
    </row>
    <row r="875" spans="1:7" x14ac:dyDescent="0.35">
      <c r="A875" s="2" t="s">
        <v>2505</v>
      </c>
      <c r="B875" s="2" t="s">
        <v>2506</v>
      </c>
      <c r="C875" s="2" t="s">
        <v>2507</v>
      </c>
      <c r="D875" t="s">
        <v>6495</v>
      </c>
      <c r="E875" t="s">
        <v>8132</v>
      </c>
      <c r="F875" t="s">
        <v>0</v>
      </c>
      <c r="G875" s="1">
        <f>DATE(2023,2,19)</f>
        <v>44976</v>
      </c>
    </row>
    <row r="876" spans="1:7" x14ac:dyDescent="0.35">
      <c r="A876" s="2" t="s">
        <v>2508</v>
      </c>
      <c r="B876" s="2" t="s">
        <v>2509</v>
      </c>
      <c r="C876" s="2" t="s">
        <v>2510</v>
      </c>
      <c r="D876" t="s">
        <v>6496</v>
      </c>
      <c r="E876" t="s">
        <v>8133</v>
      </c>
      <c r="F876" t="s">
        <v>0</v>
      </c>
      <c r="G876" s="1">
        <f>DATE(2023,2,19)</f>
        <v>44976</v>
      </c>
    </row>
    <row r="877" spans="1:7" x14ac:dyDescent="0.35">
      <c r="A877" s="2" t="s">
        <v>2511</v>
      </c>
      <c r="B877" s="2" t="s">
        <v>2512</v>
      </c>
      <c r="C877" s="2" t="s">
        <v>2513</v>
      </c>
      <c r="D877" t="s">
        <v>6497</v>
      </c>
      <c r="E877" t="s">
        <v>8134</v>
      </c>
      <c r="F877" t="s">
        <v>0</v>
      </c>
      <c r="G877" s="1">
        <f>DATE(2023,3,14)</f>
        <v>44999</v>
      </c>
    </row>
    <row r="878" spans="1:7" x14ac:dyDescent="0.35">
      <c r="A878" s="2" t="s">
        <v>2514</v>
      </c>
      <c r="B878" s="2" t="s">
        <v>2515</v>
      </c>
      <c r="C878" s="2" t="s">
        <v>2516</v>
      </c>
      <c r="D878" t="s">
        <v>6498</v>
      </c>
      <c r="E878" t="s">
        <v>8135</v>
      </c>
      <c r="F878" t="s">
        <v>0</v>
      </c>
      <c r="G878" s="1">
        <f>DATE(2023,3,14)</f>
        <v>44999</v>
      </c>
    </row>
    <row r="879" spans="1:7" x14ac:dyDescent="0.35">
      <c r="A879" s="2" t="s">
        <v>2517</v>
      </c>
      <c r="B879" s="2" t="s">
        <v>2518</v>
      </c>
      <c r="C879" s="2" t="s">
        <v>2519</v>
      </c>
      <c r="D879" t="s">
        <v>6499</v>
      </c>
      <c r="E879" t="s">
        <v>8136</v>
      </c>
      <c r="F879" t="s">
        <v>0</v>
      </c>
      <c r="G879" s="1">
        <f>DATE(2023,12,18)</f>
        <v>45278</v>
      </c>
    </row>
    <row r="880" spans="1:7" x14ac:dyDescent="0.35">
      <c r="A880" s="2" t="s">
        <v>2520</v>
      </c>
      <c r="B880" s="2" t="s">
        <v>2521</v>
      </c>
      <c r="C880" s="2" t="s">
        <v>2522</v>
      </c>
      <c r="D880" t="s">
        <v>6500</v>
      </c>
      <c r="E880" t="s">
        <v>8137</v>
      </c>
      <c r="F880" t="s">
        <v>0</v>
      </c>
      <c r="G880" s="1">
        <f>DATE(2023,6,29)</f>
        <v>45106</v>
      </c>
    </row>
    <row r="881" spans="1:7" x14ac:dyDescent="0.35">
      <c r="A881" s="2" t="s">
        <v>2523</v>
      </c>
      <c r="B881" s="2" t="s">
        <v>2524</v>
      </c>
      <c r="C881" s="2" t="s">
        <v>2525</v>
      </c>
      <c r="D881" t="s">
        <v>6501</v>
      </c>
      <c r="E881" t="s">
        <v>8138</v>
      </c>
      <c r="F881" t="s">
        <v>0</v>
      </c>
      <c r="G881" s="1">
        <f>DATE(2023,2,19)</f>
        <v>44976</v>
      </c>
    </row>
    <row r="882" spans="1:7" x14ac:dyDescent="0.35">
      <c r="A882" s="2" t="s">
        <v>2526</v>
      </c>
      <c r="B882" s="2" t="s">
        <v>2527</v>
      </c>
      <c r="C882" s="2" t="s">
        <v>2528</v>
      </c>
      <c r="D882" t="s">
        <v>6502</v>
      </c>
      <c r="E882" t="s">
        <v>8139</v>
      </c>
      <c r="F882" t="s">
        <v>0</v>
      </c>
      <c r="G882" s="1">
        <f>DATE(2023,12,18)</f>
        <v>45278</v>
      </c>
    </row>
    <row r="883" spans="1:7" x14ac:dyDescent="0.35">
      <c r="A883" s="2" t="s">
        <v>2529</v>
      </c>
      <c r="B883" s="2" t="s">
        <v>2530</v>
      </c>
      <c r="C883" s="2" t="s">
        <v>2531</v>
      </c>
      <c r="D883" t="s">
        <v>6503</v>
      </c>
      <c r="E883" t="s">
        <v>8140</v>
      </c>
      <c r="F883" t="s">
        <v>0</v>
      </c>
      <c r="G883" s="1">
        <f>DATE(2023,3,14)</f>
        <v>44999</v>
      </c>
    </row>
    <row r="884" spans="1:7" x14ac:dyDescent="0.35">
      <c r="A884" s="2" t="s">
        <v>2532</v>
      </c>
      <c r="B884" s="2" t="s">
        <v>2533</v>
      </c>
      <c r="C884" s="2" t="s">
        <v>2534</v>
      </c>
      <c r="D884" t="s">
        <v>6504</v>
      </c>
      <c r="E884" t="s">
        <v>8141</v>
      </c>
      <c r="F884" t="s">
        <v>0</v>
      </c>
      <c r="G884" s="1">
        <f>DATE(2023,2,19)</f>
        <v>44976</v>
      </c>
    </row>
    <row r="885" spans="1:7" x14ac:dyDescent="0.35">
      <c r="A885" s="2" t="s">
        <v>2535</v>
      </c>
      <c r="B885" s="2" t="s">
        <v>2536</v>
      </c>
      <c r="C885" s="2" t="s">
        <v>2537</v>
      </c>
      <c r="D885" t="s">
        <v>6505</v>
      </c>
      <c r="E885" t="s">
        <v>8142</v>
      </c>
      <c r="F885" t="s">
        <v>0</v>
      </c>
      <c r="G885" s="1">
        <f>DATE(2023,2,19)</f>
        <v>44976</v>
      </c>
    </row>
    <row r="886" spans="1:7" x14ac:dyDescent="0.35">
      <c r="A886" s="2" t="s">
        <v>2538</v>
      </c>
      <c r="B886" s="2" t="s">
        <v>2539</v>
      </c>
      <c r="C886" s="2" t="s">
        <v>2540</v>
      </c>
      <c r="D886" t="s">
        <v>6506</v>
      </c>
      <c r="E886" t="s">
        <v>8143</v>
      </c>
      <c r="F886" t="s">
        <v>0</v>
      </c>
      <c r="G886" s="1">
        <f>DATE(2023,3,14)</f>
        <v>44999</v>
      </c>
    </row>
    <row r="887" spans="1:7" x14ac:dyDescent="0.35">
      <c r="A887" s="2" t="s">
        <v>2541</v>
      </c>
      <c r="B887" s="2" t="s">
        <v>2542</v>
      </c>
      <c r="C887" s="2" t="s">
        <v>2543</v>
      </c>
      <c r="D887" t="s">
        <v>6507</v>
      </c>
      <c r="E887" t="s">
        <v>8144</v>
      </c>
      <c r="F887" t="s">
        <v>0</v>
      </c>
      <c r="G887" s="1">
        <f>DATE(2023,2,19)</f>
        <v>44976</v>
      </c>
    </row>
    <row r="888" spans="1:7" x14ac:dyDescent="0.35">
      <c r="A888" s="2" t="s">
        <v>2544</v>
      </c>
      <c r="B888" s="2" t="s">
        <v>2545</v>
      </c>
      <c r="C888" s="2" t="s">
        <v>2546</v>
      </c>
      <c r="D888" t="s">
        <v>6508</v>
      </c>
      <c r="E888" t="s">
        <v>8145</v>
      </c>
      <c r="F888" t="s">
        <v>0</v>
      </c>
      <c r="G888" s="1">
        <f>DATE(2023,8,30)</f>
        <v>45168</v>
      </c>
    </row>
    <row r="889" spans="1:7" x14ac:dyDescent="0.35">
      <c r="A889" s="2" t="s">
        <v>2547</v>
      </c>
      <c r="B889" s="2" t="s">
        <v>2548</v>
      </c>
      <c r="C889" s="2" t="s">
        <v>2549</v>
      </c>
      <c r="D889" t="s">
        <v>6509</v>
      </c>
      <c r="E889" t="s">
        <v>8146</v>
      </c>
      <c r="F889" t="s">
        <v>0</v>
      </c>
      <c r="G889" s="1">
        <f>DATE(2023,11,24)</f>
        <v>45254</v>
      </c>
    </row>
    <row r="890" spans="1:7" x14ac:dyDescent="0.35">
      <c r="A890" s="2" t="s">
        <v>2550</v>
      </c>
      <c r="B890" s="2" t="s">
        <v>2551</v>
      </c>
      <c r="C890" s="2" t="s">
        <v>2552</v>
      </c>
      <c r="D890" t="s">
        <v>6510</v>
      </c>
      <c r="E890" t="s">
        <v>8147</v>
      </c>
      <c r="F890" t="s">
        <v>0</v>
      </c>
      <c r="G890" s="1">
        <f>DATE(2023,3,14)</f>
        <v>44999</v>
      </c>
    </row>
    <row r="891" spans="1:7" x14ac:dyDescent="0.35">
      <c r="A891" s="2" t="s">
        <v>2553</v>
      </c>
      <c r="B891" s="2" t="s">
        <v>2554</v>
      </c>
      <c r="C891" s="2" t="s">
        <v>2555</v>
      </c>
      <c r="D891" t="s">
        <v>6511</v>
      </c>
      <c r="E891" t="s">
        <v>8148</v>
      </c>
      <c r="F891" t="s">
        <v>0</v>
      </c>
      <c r="G891" s="1">
        <f>DATE(2023,3,14)</f>
        <v>44999</v>
      </c>
    </row>
    <row r="892" spans="1:7" x14ac:dyDescent="0.35">
      <c r="A892" s="2" t="s">
        <v>2556</v>
      </c>
      <c r="B892" s="2" t="s">
        <v>2557</v>
      </c>
      <c r="C892" s="2" t="s">
        <v>2558</v>
      </c>
      <c r="D892" t="s">
        <v>6512</v>
      </c>
      <c r="E892" t="s">
        <v>8149</v>
      </c>
      <c r="F892" t="s">
        <v>0</v>
      </c>
      <c r="G892" s="1">
        <f>DATE(2023,8,24)</f>
        <v>45162</v>
      </c>
    </row>
    <row r="893" spans="1:7" x14ac:dyDescent="0.35">
      <c r="A893" s="2" t="s">
        <v>2559</v>
      </c>
      <c r="B893" s="2" t="s">
        <v>2560</v>
      </c>
      <c r="C893" s="2" t="s">
        <v>2561</v>
      </c>
      <c r="D893" t="s">
        <v>6513</v>
      </c>
      <c r="E893" t="s">
        <v>8150</v>
      </c>
      <c r="F893" t="s">
        <v>0</v>
      </c>
      <c r="G893" s="1">
        <f>DATE(2023,2,19)</f>
        <v>44976</v>
      </c>
    </row>
    <row r="894" spans="1:7" x14ac:dyDescent="0.35">
      <c r="A894" s="2" t="s">
        <v>2562</v>
      </c>
      <c r="B894" s="2" t="s">
        <v>2563</v>
      </c>
      <c r="C894" s="2" t="s">
        <v>2564</v>
      </c>
      <c r="D894" t="s">
        <v>6514</v>
      </c>
      <c r="E894" t="s">
        <v>8151</v>
      </c>
      <c r="F894" t="s">
        <v>0</v>
      </c>
      <c r="G894" s="1">
        <f>DATE(2023,11,22)</f>
        <v>45252</v>
      </c>
    </row>
    <row r="895" spans="1:7" x14ac:dyDescent="0.35">
      <c r="A895" s="2" t="s">
        <v>2565</v>
      </c>
      <c r="B895" s="2" t="s">
        <v>2566</v>
      </c>
      <c r="C895" s="2" t="s">
        <v>2567</v>
      </c>
      <c r="D895" t="s">
        <v>6515</v>
      </c>
      <c r="E895" t="s">
        <v>8152</v>
      </c>
      <c r="F895" t="s">
        <v>0</v>
      </c>
      <c r="G895" s="1">
        <f>DATE(2023,11,24)</f>
        <v>45254</v>
      </c>
    </row>
    <row r="896" spans="1:7" x14ac:dyDescent="0.35">
      <c r="A896" s="2" t="s">
        <v>2568</v>
      </c>
      <c r="B896" s="2" t="s">
        <v>2569</v>
      </c>
      <c r="C896" s="2" t="s">
        <v>2570</v>
      </c>
      <c r="D896" t="s">
        <v>6516</v>
      </c>
      <c r="E896" t="s">
        <v>8153</v>
      </c>
      <c r="F896" t="s">
        <v>0</v>
      </c>
      <c r="G896" s="1">
        <f>DATE(2024,1,3)</f>
        <v>45294</v>
      </c>
    </row>
    <row r="897" spans="1:7" x14ac:dyDescent="0.35">
      <c r="A897" s="2" t="s">
        <v>2571</v>
      </c>
      <c r="B897" s="2" t="s">
        <v>2572</v>
      </c>
      <c r="D897" t="s">
        <v>5756</v>
      </c>
      <c r="E897" t="e">
        <v>#VALUE!</v>
      </c>
      <c r="F897" t="s">
        <v>0</v>
      </c>
      <c r="G897" s="1">
        <f>DATE(2024,1,4)</f>
        <v>45295</v>
      </c>
    </row>
    <row r="898" spans="1:7" x14ac:dyDescent="0.35">
      <c r="A898" s="2" t="s">
        <v>2573</v>
      </c>
      <c r="B898" s="2" t="s">
        <v>2574</v>
      </c>
      <c r="C898" s="2" t="s">
        <v>2575</v>
      </c>
      <c r="D898" t="s">
        <v>6517</v>
      </c>
      <c r="E898" t="s">
        <v>8154</v>
      </c>
      <c r="F898" t="s">
        <v>0</v>
      </c>
      <c r="G898" s="1">
        <f>DATE(2024,1,4)</f>
        <v>45295</v>
      </c>
    </row>
    <row r="899" spans="1:7" x14ac:dyDescent="0.35">
      <c r="A899" s="2" t="s">
        <v>2576</v>
      </c>
      <c r="B899" s="2" t="s">
        <v>2577</v>
      </c>
      <c r="C899" s="2" t="s">
        <v>2578</v>
      </c>
      <c r="D899" t="s">
        <v>6518</v>
      </c>
      <c r="E899" t="s">
        <v>8155</v>
      </c>
      <c r="F899" t="s">
        <v>0</v>
      </c>
      <c r="G899" s="1">
        <f>DATE(2024,1,4)</f>
        <v>45295</v>
      </c>
    </row>
    <row r="900" spans="1:7" x14ac:dyDescent="0.35">
      <c r="A900" s="2" t="s">
        <v>2579</v>
      </c>
      <c r="B900" s="2" t="s">
        <v>2580</v>
      </c>
      <c r="C900" s="2" t="s">
        <v>2581</v>
      </c>
      <c r="D900" t="s">
        <v>6519</v>
      </c>
      <c r="E900" t="s">
        <v>8156</v>
      </c>
      <c r="F900" t="s">
        <v>0</v>
      </c>
      <c r="G900" s="1">
        <f>DATE(2024,1,10)</f>
        <v>45301</v>
      </c>
    </row>
    <row r="901" spans="1:7" x14ac:dyDescent="0.35">
      <c r="A901" s="2" t="s">
        <v>2582</v>
      </c>
      <c r="B901" s="2" t="s">
        <v>2583</v>
      </c>
      <c r="C901" s="2" t="s">
        <v>2584</v>
      </c>
      <c r="D901" t="s">
        <v>6520</v>
      </c>
      <c r="E901" t="s">
        <v>8157</v>
      </c>
      <c r="F901" t="s">
        <v>0</v>
      </c>
      <c r="G901" s="1">
        <f>DATE(2023,7,3)</f>
        <v>45110</v>
      </c>
    </row>
    <row r="902" spans="1:7" x14ac:dyDescent="0.35">
      <c r="A902" s="2" t="s">
        <v>2585</v>
      </c>
      <c r="B902" s="2" t="s">
        <v>2586</v>
      </c>
      <c r="C902" s="2" t="s">
        <v>2587</v>
      </c>
      <c r="D902" t="s">
        <v>6521</v>
      </c>
      <c r="E902" t="s">
        <v>8158</v>
      </c>
      <c r="F902" t="s">
        <v>0</v>
      </c>
      <c r="G902" s="1">
        <f t="shared" ref="G902:G933" si="2">DATE(2024,1,11)</f>
        <v>45302</v>
      </c>
    </row>
    <row r="903" spans="1:7" x14ac:dyDescent="0.35">
      <c r="A903" s="2" t="s">
        <v>2588</v>
      </c>
      <c r="B903" s="2" t="s">
        <v>2589</v>
      </c>
      <c r="C903" s="2" t="s">
        <v>2590</v>
      </c>
      <c r="D903" t="s">
        <v>6522</v>
      </c>
      <c r="E903" t="s">
        <v>8159</v>
      </c>
      <c r="F903" t="s">
        <v>0</v>
      </c>
      <c r="G903" s="1">
        <f t="shared" si="2"/>
        <v>45302</v>
      </c>
    </row>
    <row r="904" spans="1:7" x14ac:dyDescent="0.35">
      <c r="A904" s="2" t="s">
        <v>2591</v>
      </c>
      <c r="B904" s="2" t="s">
        <v>2592</v>
      </c>
      <c r="C904" s="2" t="s">
        <v>2593</v>
      </c>
      <c r="D904" t="s">
        <v>6523</v>
      </c>
      <c r="E904" t="s">
        <v>8160</v>
      </c>
      <c r="F904" t="s">
        <v>0</v>
      </c>
      <c r="G904" s="1">
        <f t="shared" si="2"/>
        <v>45302</v>
      </c>
    </row>
    <row r="905" spans="1:7" x14ac:dyDescent="0.35">
      <c r="A905" s="2" t="s">
        <v>2594</v>
      </c>
      <c r="B905" s="2" t="s">
        <v>2595</v>
      </c>
      <c r="C905" s="2" t="s">
        <v>2596</v>
      </c>
      <c r="D905" t="s">
        <v>6524</v>
      </c>
      <c r="E905" t="s">
        <v>8161</v>
      </c>
      <c r="F905" t="s">
        <v>0</v>
      </c>
      <c r="G905" s="1">
        <f t="shared" si="2"/>
        <v>45302</v>
      </c>
    </row>
    <row r="906" spans="1:7" x14ac:dyDescent="0.35">
      <c r="A906" s="2" t="s">
        <v>2597</v>
      </c>
      <c r="B906" s="2" t="s">
        <v>2598</v>
      </c>
      <c r="C906" s="2" t="s">
        <v>2599</v>
      </c>
      <c r="D906" t="s">
        <v>6525</v>
      </c>
      <c r="E906" t="s">
        <v>8162</v>
      </c>
      <c r="F906" t="s">
        <v>0</v>
      </c>
      <c r="G906" s="1">
        <f t="shared" si="2"/>
        <v>45302</v>
      </c>
    </row>
    <row r="907" spans="1:7" x14ac:dyDescent="0.35">
      <c r="A907" s="2" t="s">
        <v>2600</v>
      </c>
      <c r="B907" s="2" t="s">
        <v>2601</v>
      </c>
      <c r="C907" s="2" t="s">
        <v>2602</v>
      </c>
      <c r="D907" t="s">
        <v>6526</v>
      </c>
      <c r="E907" t="s">
        <v>8163</v>
      </c>
      <c r="F907" t="s">
        <v>0</v>
      </c>
      <c r="G907" s="1">
        <f t="shared" si="2"/>
        <v>45302</v>
      </c>
    </row>
    <row r="908" spans="1:7" x14ac:dyDescent="0.35">
      <c r="A908" s="2" t="s">
        <v>2603</v>
      </c>
      <c r="B908" s="2" t="s">
        <v>2604</v>
      </c>
      <c r="C908" s="2" t="s">
        <v>2605</v>
      </c>
      <c r="D908" t="s">
        <v>6527</v>
      </c>
      <c r="E908" t="s">
        <v>8164</v>
      </c>
      <c r="F908" t="s">
        <v>0</v>
      </c>
      <c r="G908" s="1">
        <f t="shared" si="2"/>
        <v>45302</v>
      </c>
    </row>
    <row r="909" spans="1:7" x14ac:dyDescent="0.35">
      <c r="A909" s="2" t="s">
        <v>2606</v>
      </c>
      <c r="B909" s="2" t="s">
        <v>2607</v>
      </c>
      <c r="C909" s="2" t="s">
        <v>2608</v>
      </c>
      <c r="D909" t="s">
        <v>6528</v>
      </c>
      <c r="E909" t="s">
        <v>8165</v>
      </c>
      <c r="F909" t="s">
        <v>0</v>
      </c>
      <c r="G909" s="1">
        <f t="shared" si="2"/>
        <v>45302</v>
      </c>
    </row>
    <row r="910" spans="1:7" x14ac:dyDescent="0.35">
      <c r="A910" s="2" t="s">
        <v>2609</v>
      </c>
      <c r="B910" s="2" t="s">
        <v>2610</v>
      </c>
      <c r="C910" s="2" t="s">
        <v>2611</v>
      </c>
      <c r="D910" t="s">
        <v>6529</v>
      </c>
      <c r="E910" t="s">
        <v>8166</v>
      </c>
      <c r="F910" t="s">
        <v>0</v>
      </c>
      <c r="G910" s="1">
        <f t="shared" si="2"/>
        <v>45302</v>
      </c>
    </row>
    <row r="911" spans="1:7" x14ac:dyDescent="0.35">
      <c r="A911" s="2" t="s">
        <v>2612</v>
      </c>
      <c r="B911" s="2" t="s">
        <v>2613</v>
      </c>
      <c r="C911" s="2" t="s">
        <v>2614</v>
      </c>
      <c r="D911" t="s">
        <v>6530</v>
      </c>
      <c r="E911" t="s">
        <v>8167</v>
      </c>
      <c r="F911" t="s">
        <v>0</v>
      </c>
      <c r="G911" s="1">
        <f t="shared" si="2"/>
        <v>45302</v>
      </c>
    </row>
    <row r="912" spans="1:7" x14ac:dyDescent="0.35">
      <c r="A912" s="2" t="s">
        <v>2615</v>
      </c>
      <c r="B912" s="2" t="s">
        <v>2616</v>
      </c>
      <c r="C912" s="2" t="s">
        <v>2617</v>
      </c>
      <c r="D912" t="s">
        <v>6531</v>
      </c>
      <c r="E912" t="s">
        <v>8168</v>
      </c>
      <c r="F912" t="s">
        <v>0</v>
      </c>
      <c r="G912" s="1">
        <f t="shared" si="2"/>
        <v>45302</v>
      </c>
    </row>
    <row r="913" spans="1:7" x14ac:dyDescent="0.35">
      <c r="A913" s="2" t="s">
        <v>2618</v>
      </c>
      <c r="B913" s="2" t="s">
        <v>2619</v>
      </c>
      <c r="D913" t="s">
        <v>5756</v>
      </c>
      <c r="E913" t="e">
        <v>#VALUE!</v>
      </c>
      <c r="F913" t="s">
        <v>0</v>
      </c>
      <c r="G913" s="1">
        <f t="shared" si="2"/>
        <v>45302</v>
      </c>
    </row>
    <row r="914" spans="1:7" x14ac:dyDescent="0.35">
      <c r="A914" s="2" t="s">
        <v>2620</v>
      </c>
      <c r="B914" s="2" t="s">
        <v>2621</v>
      </c>
      <c r="C914" s="2" t="s">
        <v>2622</v>
      </c>
      <c r="D914" t="s">
        <v>6532</v>
      </c>
      <c r="E914" t="s">
        <v>8169</v>
      </c>
      <c r="F914" t="s">
        <v>0</v>
      </c>
      <c r="G914" s="1">
        <f t="shared" si="2"/>
        <v>45302</v>
      </c>
    </row>
    <row r="915" spans="1:7" x14ac:dyDescent="0.35">
      <c r="A915" s="2" t="s">
        <v>2623</v>
      </c>
      <c r="B915" s="2" t="s">
        <v>2624</v>
      </c>
      <c r="C915" s="2" t="s">
        <v>2625</v>
      </c>
      <c r="D915" t="s">
        <v>6533</v>
      </c>
      <c r="E915" t="s">
        <v>8170</v>
      </c>
      <c r="F915" t="s">
        <v>0</v>
      </c>
      <c r="G915" s="1">
        <f t="shared" si="2"/>
        <v>45302</v>
      </c>
    </row>
    <row r="916" spans="1:7" x14ac:dyDescent="0.35">
      <c r="A916" s="2" t="s">
        <v>2626</v>
      </c>
      <c r="B916" s="2" t="s">
        <v>2627</v>
      </c>
      <c r="C916" s="2" t="s">
        <v>2628</v>
      </c>
      <c r="D916" t="s">
        <v>6534</v>
      </c>
      <c r="E916" t="s">
        <v>8171</v>
      </c>
      <c r="F916" t="s">
        <v>0</v>
      </c>
      <c r="G916" s="1">
        <f t="shared" si="2"/>
        <v>45302</v>
      </c>
    </row>
    <row r="917" spans="1:7" x14ac:dyDescent="0.35">
      <c r="A917" s="2" t="s">
        <v>2629</v>
      </c>
      <c r="B917" s="2" t="s">
        <v>2630</v>
      </c>
      <c r="D917" t="s">
        <v>5756</v>
      </c>
      <c r="E917" t="e">
        <v>#VALUE!</v>
      </c>
      <c r="F917" t="s">
        <v>0</v>
      </c>
      <c r="G917" s="1">
        <f t="shared" si="2"/>
        <v>45302</v>
      </c>
    </row>
    <row r="918" spans="1:7" x14ac:dyDescent="0.35">
      <c r="A918" s="2" t="s">
        <v>2631</v>
      </c>
      <c r="B918" s="2" t="s">
        <v>2632</v>
      </c>
      <c r="C918" s="2" t="s">
        <v>2633</v>
      </c>
      <c r="D918" t="s">
        <v>6535</v>
      </c>
      <c r="E918" t="s">
        <v>8172</v>
      </c>
      <c r="F918" t="s">
        <v>0</v>
      </c>
      <c r="G918" s="1">
        <f t="shared" si="2"/>
        <v>45302</v>
      </c>
    </row>
    <row r="919" spans="1:7" x14ac:dyDescent="0.35">
      <c r="A919" s="2" t="s">
        <v>2634</v>
      </c>
      <c r="B919" s="2" t="s">
        <v>2635</v>
      </c>
      <c r="C919" s="2" t="s">
        <v>2636</v>
      </c>
      <c r="D919" t="s">
        <v>6536</v>
      </c>
      <c r="E919" t="s">
        <v>8173</v>
      </c>
      <c r="F919" t="s">
        <v>0</v>
      </c>
      <c r="G919" s="1">
        <f t="shared" si="2"/>
        <v>45302</v>
      </c>
    </row>
    <row r="920" spans="1:7" x14ac:dyDescent="0.35">
      <c r="A920" s="2" t="s">
        <v>2637</v>
      </c>
      <c r="B920" s="2" t="s">
        <v>2638</v>
      </c>
      <c r="C920" s="2" t="s">
        <v>2639</v>
      </c>
      <c r="D920" t="s">
        <v>6537</v>
      </c>
      <c r="E920" t="s">
        <v>8174</v>
      </c>
      <c r="F920" t="s">
        <v>0</v>
      </c>
      <c r="G920" s="1">
        <f t="shared" si="2"/>
        <v>45302</v>
      </c>
    </row>
    <row r="921" spans="1:7" x14ac:dyDescent="0.35">
      <c r="A921" s="2" t="s">
        <v>2640</v>
      </c>
      <c r="B921" s="2" t="s">
        <v>2641</v>
      </c>
      <c r="C921" s="2" t="s">
        <v>2642</v>
      </c>
      <c r="D921" t="s">
        <v>6538</v>
      </c>
      <c r="E921" t="s">
        <v>8175</v>
      </c>
      <c r="F921" t="s">
        <v>0</v>
      </c>
      <c r="G921" s="1">
        <f t="shared" si="2"/>
        <v>45302</v>
      </c>
    </row>
    <row r="922" spans="1:7" x14ac:dyDescent="0.35">
      <c r="A922" s="2" t="s">
        <v>2643</v>
      </c>
      <c r="B922" s="2" t="s">
        <v>2644</v>
      </c>
      <c r="C922" s="2" t="s">
        <v>2645</v>
      </c>
      <c r="D922" t="s">
        <v>6539</v>
      </c>
      <c r="E922" t="s">
        <v>8176</v>
      </c>
      <c r="F922" t="s">
        <v>0</v>
      </c>
      <c r="G922" s="1">
        <f t="shared" si="2"/>
        <v>45302</v>
      </c>
    </row>
    <row r="923" spans="1:7" x14ac:dyDescent="0.35">
      <c r="A923" s="2" t="s">
        <v>2646</v>
      </c>
      <c r="B923" s="2" t="s">
        <v>2647</v>
      </c>
      <c r="C923" s="2" t="s">
        <v>294</v>
      </c>
      <c r="D923" t="s">
        <v>5830</v>
      </c>
      <c r="E923" t="s">
        <v>7466</v>
      </c>
      <c r="F923" t="s">
        <v>0</v>
      </c>
      <c r="G923" s="1">
        <f t="shared" si="2"/>
        <v>45302</v>
      </c>
    </row>
    <row r="924" spans="1:7" x14ac:dyDescent="0.35">
      <c r="A924" s="2" t="s">
        <v>2648</v>
      </c>
      <c r="B924" s="2" t="s">
        <v>2649</v>
      </c>
      <c r="C924" s="2" t="s">
        <v>2650</v>
      </c>
      <c r="D924" t="s">
        <v>6540</v>
      </c>
      <c r="E924" t="s">
        <v>8177</v>
      </c>
      <c r="F924" t="s">
        <v>0</v>
      </c>
      <c r="G924" s="1">
        <f t="shared" si="2"/>
        <v>45302</v>
      </c>
    </row>
    <row r="925" spans="1:7" x14ac:dyDescent="0.35">
      <c r="A925" s="2" t="s">
        <v>2651</v>
      </c>
      <c r="B925" s="2" t="s">
        <v>2652</v>
      </c>
      <c r="C925" s="2" t="s">
        <v>2653</v>
      </c>
      <c r="D925" t="s">
        <v>6541</v>
      </c>
      <c r="E925" t="s">
        <v>8178</v>
      </c>
      <c r="F925" t="s">
        <v>0</v>
      </c>
      <c r="G925" s="1">
        <f t="shared" si="2"/>
        <v>45302</v>
      </c>
    </row>
    <row r="926" spans="1:7" x14ac:dyDescent="0.35">
      <c r="A926" s="2" t="s">
        <v>2654</v>
      </c>
      <c r="B926" s="2" t="s">
        <v>2655</v>
      </c>
      <c r="C926" s="2" t="s">
        <v>2656</v>
      </c>
      <c r="D926" t="s">
        <v>6542</v>
      </c>
      <c r="E926" t="s">
        <v>8179</v>
      </c>
      <c r="F926" t="s">
        <v>0</v>
      </c>
      <c r="G926" s="1">
        <f t="shared" si="2"/>
        <v>45302</v>
      </c>
    </row>
    <row r="927" spans="1:7" x14ac:dyDescent="0.35">
      <c r="A927" s="2" t="s">
        <v>2657</v>
      </c>
      <c r="B927" s="2" t="s">
        <v>2658</v>
      </c>
      <c r="C927" s="2" t="s">
        <v>2659</v>
      </c>
      <c r="D927" t="s">
        <v>6543</v>
      </c>
      <c r="E927" t="s">
        <v>8180</v>
      </c>
      <c r="F927" t="s">
        <v>0</v>
      </c>
      <c r="G927" s="1">
        <f t="shared" si="2"/>
        <v>45302</v>
      </c>
    </row>
    <row r="928" spans="1:7" x14ac:dyDescent="0.35">
      <c r="A928" s="2" t="s">
        <v>2660</v>
      </c>
      <c r="B928" s="2" t="s">
        <v>2661</v>
      </c>
      <c r="C928" s="2" t="s">
        <v>2662</v>
      </c>
      <c r="D928" t="s">
        <v>6544</v>
      </c>
      <c r="E928" t="s">
        <v>8181</v>
      </c>
      <c r="F928" t="s">
        <v>0</v>
      </c>
      <c r="G928" s="1">
        <f t="shared" si="2"/>
        <v>45302</v>
      </c>
    </row>
    <row r="929" spans="1:7" x14ac:dyDescent="0.35">
      <c r="A929" s="2" t="s">
        <v>2663</v>
      </c>
      <c r="B929" s="2" t="s">
        <v>2664</v>
      </c>
      <c r="C929" s="2" t="s">
        <v>2665</v>
      </c>
      <c r="D929" t="s">
        <v>6545</v>
      </c>
      <c r="E929" t="s">
        <v>8182</v>
      </c>
      <c r="F929" t="s">
        <v>0</v>
      </c>
      <c r="G929" s="1">
        <f t="shared" si="2"/>
        <v>45302</v>
      </c>
    </row>
    <row r="930" spans="1:7" x14ac:dyDescent="0.35">
      <c r="A930" s="2" t="s">
        <v>2666</v>
      </c>
      <c r="B930" s="2" t="s">
        <v>2667</v>
      </c>
      <c r="C930" s="2" t="s">
        <v>2668</v>
      </c>
      <c r="D930" t="s">
        <v>6546</v>
      </c>
      <c r="E930" t="s">
        <v>8183</v>
      </c>
      <c r="F930" t="s">
        <v>0</v>
      </c>
      <c r="G930" s="1">
        <f t="shared" si="2"/>
        <v>45302</v>
      </c>
    </row>
    <row r="931" spans="1:7" x14ac:dyDescent="0.35">
      <c r="A931" s="2" t="s">
        <v>2669</v>
      </c>
      <c r="B931" s="2" t="s">
        <v>2670</v>
      </c>
      <c r="C931" s="2" t="s">
        <v>2671</v>
      </c>
      <c r="D931" t="s">
        <v>6547</v>
      </c>
      <c r="E931" t="s">
        <v>8184</v>
      </c>
      <c r="F931" t="s">
        <v>0</v>
      </c>
      <c r="G931" s="1">
        <f t="shared" si="2"/>
        <v>45302</v>
      </c>
    </row>
    <row r="932" spans="1:7" x14ac:dyDescent="0.35">
      <c r="A932" s="2" t="s">
        <v>2672</v>
      </c>
      <c r="B932" s="2" t="s">
        <v>2673</v>
      </c>
      <c r="C932" s="2" t="s">
        <v>2674</v>
      </c>
      <c r="D932" t="s">
        <v>6548</v>
      </c>
      <c r="E932" t="s">
        <v>8185</v>
      </c>
      <c r="F932" t="s">
        <v>0</v>
      </c>
      <c r="G932" s="1">
        <f t="shared" si="2"/>
        <v>45302</v>
      </c>
    </row>
    <row r="933" spans="1:7" x14ac:dyDescent="0.35">
      <c r="A933" s="2" t="s">
        <v>2675</v>
      </c>
      <c r="B933" s="2" t="s">
        <v>2676</v>
      </c>
      <c r="C933" s="2" t="s">
        <v>2677</v>
      </c>
      <c r="D933" t="s">
        <v>6549</v>
      </c>
      <c r="E933" t="s">
        <v>8186</v>
      </c>
      <c r="F933" t="s">
        <v>0</v>
      </c>
      <c r="G933" s="1">
        <f t="shared" si="2"/>
        <v>45302</v>
      </c>
    </row>
    <row r="934" spans="1:7" x14ac:dyDescent="0.35">
      <c r="A934" s="2" t="s">
        <v>2678</v>
      </c>
      <c r="B934" s="2" t="s">
        <v>2679</v>
      </c>
      <c r="C934" s="2" t="s">
        <v>2680</v>
      </c>
      <c r="D934" t="s">
        <v>6550</v>
      </c>
      <c r="E934" t="s">
        <v>8187</v>
      </c>
      <c r="F934" t="s">
        <v>0</v>
      </c>
      <c r="G934" s="1">
        <f>DATE(2023,3,20)</f>
        <v>45005</v>
      </c>
    </row>
    <row r="935" spans="1:7" x14ac:dyDescent="0.35">
      <c r="A935" s="2" t="s">
        <v>2681</v>
      </c>
      <c r="B935" s="2" t="s">
        <v>2682</v>
      </c>
      <c r="D935" t="s">
        <v>5756</v>
      </c>
      <c r="E935" t="e">
        <v>#VALUE!</v>
      </c>
      <c r="F935" t="s">
        <v>0</v>
      </c>
      <c r="G935" s="1">
        <f>DATE(2023,6,16)</f>
        <v>45093</v>
      </c>
    </row>
    <row r="936" spans="1:7" x14ac:dyDescent="0.35">
      <c r="A936" s="2" t="s">
        <v>2683</v>
      </c>
      <c r="B936" s="2" t="s">
        <v>2684</v>
      </c>
      <c r="D936" t="s">
        <v>5756</v>
      </c>
      <c r="E936" t="e">
        <v>#VALUE!</v>
      </c>
      <c r="F936" t="s">
        <v>0</v>
      </c>
      <c r="G936" s="1">
        <f>DATE(2023,3,20)</f>
        <v>45005</v>
      </c>
    </row>
    <row r="937" spans="1:7" x14ac:dyDescent="0.35">
      <c r="A937" s="2" t="s">
        <v>2685</v>
      </c>
      <c r="B937" s="2" t="s">
        <v>2686</v>
      </c>
      <c r="D937" t="s">
        <v>5756</v>
      </c>
      <c r="E937" t="e">
        <v>#VALUE!</v>
      </c>
      <c r="F937" t="s">
        <v>0</v>
      </c>
      <c r="G937" s="1">
        <f>DATE(2023,5,3)</f>
        <v>45049</v>
      </c>
    </row>
    <row r="938" spans="1:7" x14ac:dyDescent="0.35">
      <c r="A938" s="2" t="s">
        <v>2687</v>
      </c>
      <c r="B938" s="2" t="s">
        <v>2688</v>
      </c>
      <c r="D938" t="s">
        <v>5756</v>
      </c>
      <c r="E938" t="e">
        <v>#VALUE!</v>
      </c>
      <c r="F938" t="s">
        <v>0</v>
      </c>
      <c r="G938" s="1">
        <f>DATE(2023,6,16)</f>
        <v>45093</v>
      </c>
    </row>
    <row r="939" spans="1:7" x14ac:dyDescent="0.35">
      <c r="A939" s="2" t="s">
        <v>2689</v>
      </c>
      <c r="B939" s="2" t="s">
        <v>2690</v>
      </c>
      <c r="D939" t="s">
        <v>5756</v>
      </c>
      <c r="E939" t="e">
        <v>#VALUE!</v>
      </c>
      <c r="F939" t="s">
        <v>0</v>
      </c>
      <c r="G939" s="1">
        <f>DATE(2023,3,20)</f>
        <v>45005</v>
      </c>
    </row>
    <row r="940" spans="1:7" x14ac:dyDescent="0.35">
      <c r="A940" s="2" t="s">
        <v>2691</v>
      </c>
      <c r="B940" s="2" t="s">
        <v>2692</v>
      </c>
      <c r="C940" s="2" t="s">
        <v>2693</v>
      </c>
      <c r="D940" t="s">
        <v>6551</v>
      </c>
      <c r="E940" t="s">
        <v>8188</v>
      </c>
      <c r="F940" t="s">
        <v>0</v>
      </c>
      <c r="G940" s="1">
        <f>DATE(2023,6,16)</f>
        <v>45093</v>
      </c>
    </row>
    <row r="941" spans="1:7" x14ac:dyDescent="0.35">
      <c r="A941" s="2" t="s">
        <v>2694</v>
      </c>
      <c r="B941" s="2" t="s">
        <v>2695</v>
      </c>
      <c r="C941" s="2" t="s">
        <v>2696</v>
      </c>
      <c r="D941" t="s">
        <v>6552</v>
      </c>
      <c r="E941" t="s">
        <v>8189</v>
      </c>
      <c r="F941" t="s">
        <v>0</v>
      </c>
      <c r="G941" s="1">
        <f>DATE(2023,6,16)</f>
        <v>45093</v>
      </c>
    </row>
    <row r="942" spans="1:7" x14ac:dyDescent="0.35">
      <c r="A942" s="2" t="s">
        <v>2697</v>
      </c>
      <c r="B942" s="2" t="s">
        <v>2698</v>
      </c>
      <c r="C942" s="2" t="s">
        <v>2699</v>
      </c>
      <c r="D942" t="s">
        <v>6553</v>
      </c>
      <c r="E942" t="s">
        <v>8190</v>
      </c>
      <c r="F942" t="s">
        <v>0</v>
      </c>
      <c r="G942" s="1">
        <f>DATE(2023,3,27)</f>
        <v>45012</v>
      </c>
    </row>
    <row r="943" spans="1:7" x14ac:dyDescent="0.35">
      <c r="A943" s="2" t="s">
        <v>2700</v>
      </c>
      <c r="B943" s="2" t="s">
        <v>2701</v>
      </c>
      <c r="C943" s="2" t="s">
        <v>2702</v>
      </c>
      <c r="D943" t="s">
        <v>6554</v>
      </c>
      <c r="E943" t="s">
        <v>8191</v>
      </c>
      <c r="F943" t="s">
        <v>0</v>
      </c>
      <c r="G943" s="1">
        <f>DATE(2022,7,15)</f>
        <v>44757</v>
      </c>
    </row>
    <row r="944" spans="1:7" x14ac:dyDescent="0.35">
      <c r="A944" s="2" t="s">
        <v>2703</v>
      </c>
      <c r="B944" s="2" t="s">
        <v>2704</v>
      </c>
      <c r="C944" s="2" t="s">
        <v>2705</v>
      </c>
      <c r="D944" t="s">
        <v>6555</v>
      </c>
      <c r="E944" t="s">
        <v>8192</v>
      </c>
      <c r="F944" t="s">
        <v>0</v>
      </c>
      <c r="G944" s="1">
        <f>DATE(2021,9,16)</f>
        <v>44455</v>
      </c>
    </row>
    <row r="945" spans="1:7" x14ac:dyDescent="0.35">
      <c r="A945" s="2" t="s">
        <v>2706</v>
      </c>
      <c r="B945" s="2" t="s">
        <v>2707</v>
      </c>
      <c r="C945" s="2" t="s">
        <v>2708</v>
      </c>
      <c r="D945" t="s">
        <v>6132</v>
      </c>
      <c r="E945" t="s">
        <v>7769</v>
      </c>
      <c r="F945" t="s">
        <v>0</v>
      </c>
      <c r="G945" s="1">
        <f>DATE(2024,1,5)</f>
        <v>45296</v>
      </c>
    </row>
    <row r="946" spans="1:7" x14ac:dyDescent="0.35">
      <c r="A946" s="2" t="s">
        <v>2709</v>
      </c>
      <c r="B946" s="2" t="s">
        <v>2710</v>
      </c>
      <c r="C946" s="2" t="s">
        <v>2711</v>
      </c>
      <c r="D946" t="s">
        <v>6556</v>
      </c>
      <c r="E946" t="s">
        <v>8193</v>
      </c>
      <c r="F946" t="s">
        <v>0</v>
      </c>
      <c r="G946" s="1">
        <f>DATE(2021,9,17)</f>
        <v>44456</v>
      </c>
    </row>
    <row r="947" spans="1:7" x14ac:dyDescent="0.35">
      <c r="A947" s="2" t="s">
        <v>2712</v>
      </c>
      <c r="B947" s="2" t="s">
        <v>2713</v>
      </c>
      <c r="C947" s="2" t="s">
        <v>2714</v>
      </c>
      <c r="D947" t="s">
        <v>6557</v>
      </c>
      <c r="E947" t="s">
        <v>8194</v>
      </c>
      <c r="F947" t="s">
        <v>0</v>
      </c>
      <c r="G947" s="1">
        <f>DATE(2023,8,31)</f>
        <v>45169</v>
      </c>
    </row>
    <row r="948" spans="1:7" x14ac:dyDescent="0.35">
      <c r="A948" s="2" t="s">
        <v>2715</v>
      </c>
      <c r="B948" s="2" t="s">
        <v>2716</v>
      </c>
      <c r="C948" s="2" t="s">
        <v>2717</v>
      </c>
      <c r="D948" t="s">
        <v>6558</v>
      </c>
      <c r="E948" t="s">
        <v>8195</v>
      </c>
      <c r="F948" t="s">
        <v>0</v>
      </c>
      <c r="G948" s="1">
        <f>DATE(2023,6,26)</f>
        <v>45103</v>
      </c>
    </row>
    <row r="949" spans="1:7" x14ac:dyDescent="0.35">
      <c r="A949" s="2" t="s">
        <v>2718</v>
      </c>
      <c r="B949" s="2" t="s">
        <v>2719</v>
      </c>
      <c r="C949" s="2" t="s">
        <v>2720</v>
      </c>
      <c r="D949" t="s">
        <v>6559</v>
      </c>
      <c r="E949" t="s">
        <v>8196</v>
      </c>
      <c r="F949" t="s">
        <v>0</v>
      </c>
      <c r="G949" s="1">
        <f>DATE(2023,8,24)</f>
        <v>45162</v>
      </c>
    </row>
    <row r="950" spans="1:7" x14ac:dyDescent="0.35">
      <c r="A950" s="2" t="s">
        <v>2721</v>
      </c>
      <c r="B950" s="2" t="s">
        <v>2722</v>
      </c>
      <c r="C950" s="2" t="s">
        <v>2723</v>
      </c>
      <c r="D950" t="s">
        <v>6560</v>
      </c>
      <c r="E950" t="s">
        <v>8197</v>
      </c>
      <c r="F950" t="s">
        <v>0</v>
      </c>
      <c r="G950" s="1">
        <f>DATE(2023,3,14)</f>
        <v>44999</v>
      </c>
    </row>
    <row r="951" spans="1:7" x14ac:dyDescent="0.35">
      <c r="A951" s="2" t="s">
        <v>2724</v>
      </c>
      <c r="B951" s="2" t="s">
        <v>2725</v>
      </c>
      <c r="C951" s="2" t="s">
        <v>2726</v>
      </c>
      <c r="D951" t="s">
        <v>6561</v>
      </c>
      <c r="E951" t="s">
        <v>8198</v>
      </c>
      <c r="F951" t="s">
        <v>0</v>
      </c>
      <c r="G951" s="1">
        <f>DATE(2023,3,14)</f>
        <v>44999</v>
      </c>
    </row>
    <row r="952" spans="1:7" x14ac:dyDescent="0.35">
      <c r="A952" s="2" t="s">
        <v>2727</v>
      </c>
      <c r="B952" s="2" t="s">
        <v>2728</v>
      </c>
      <c r="C952" s="2" t="s">
        <v>2729</v>
      </c>
      <c r="D952" t="s">
        <v>6562</v>
      </c>
      <c r="E952" t="s">
        <v>8199</v>
      </c>
      <c r="F952" t="s">
        <v>0</v>
      </c>
      <c r="G952" s="1">
        <f>DATE(2023,2,19)</f>
        <v>44976</v>
      </c>
    </row>
    <row r="953" spans="1:7" x14ac:dyDescent="0.35">
      <c r="A953" s="2" t="s">
        <v>2730</v>
      </c>
      <c r="B953" s="2" t="s">
        <v>2731</v>
      </c>
      <c r="C953" s="2" t="s">
        <v>2732</v>
      </c>
      <c r="D953" t="s">
        <v>6563</v>
      </c>
      <c r="E953" t="s">
        <v>8200</v>
      </c>
      <c r="F953" t="s">
        <v>0</v>
      </c>
      <c r="G953" s="1">
        <f>DATE(2023,11,24)</f>
        <v>45254</v>
      </c>
    </row>
    <row r="954" spans="1:7" x14ac:dyDescent="0.35">
      <c r="A954" s="2" t="s">
        <v>2733</v>
      </c>
      <c r="B954" s="2" t="s">
        <v>2734</v>
      </c>
      <c r="C954" s="2" t="s">
        <v>2735</v>
      </c>
      <c r="D954" t="s">
        <v>6564</v>
      </c>
      <c r="E954" t="s">
        <v>8201</v>
      </c>
      <c r="F954" t="s">
        <v>0</v>
      </c>
      <c r="G954" s="1">
        <f>DATE(2023,8,30)</f>
        <v>45168</v>
      </c>
    </row>
    <row r="955" spans="1:7" x14ac:dyDescent="0.35">
      <c r="A955" s="2" t="s">
        <v>2736</v>
      </c>
      <c r="B955" s="2" t="s">
        <v>2737</v>
      </c>
      <c r="C955" s="2" t="s">
        <v>2738</v>
      </c>
      <c r="D955" t="s">
        <v>6565</v>
      </c>
      <c r="E955" t="s">
        <v>8202</v>
      </c>
      <c r="F955" t="s">
        <v>0</v>
      </c>
      <c r="G955" s="1">
        <f>DATE(2023,3,14)</f>
        <v>44999</v>
      </c>
    </row>
    <row r="956" spans="1:7" x14ac:dyDescent="0.35">
      <c r="A956" s="2" t="s">
        <v>2739</v>
      </c>
      <c r="B956" s="2" t="s">
        <v>2740</v>
      </c>
      <c r="C956" s="2" t="s">
        <v>2741</v>
      </c>
      <c r="D956" t="s">
        <v>6566</v>
      </c>
      <c r="E956" t="s">
        <v>8203</v>
      </c>
      <c r="F956" t="s">
        <v>0</v>
      </c>
      <c r="G956" s="1">
        <f>DATE(2023,3,14)</f>
        <v>44999</v>
      </c>
    </row>
    <row r="957" spans="1:7" x14ac:dyDescent="0.35">
      <c r="A957" s="2" t="s">
        <v>2742</v>
      </c>
      <c r="B957" s="2" t="s">
        <v>2743</v>
      </c>
      <c r="C957" s="2" t="s">
        <v>2744</v>
      </c>
      <c r="D957" t="s">
        <v>6567</v>
      </c>
      <c r="E957" t="s">
        <v>8204</v>
      </c>
      <c r="F957" t="s">
        <v>0</v>
      </c>
      <c r="G957" s="1">
        <f>DATE(2023,11,29)</f>
        <v>45259</v>
      </c>
    </row>
    <row r="958" spans="1:7" x14ac:dyDescent="0.35">
      <c r="A958" s="2" t="s">
        <v>2745</v>
      </c>
      <c r="B958" s="2" t="s">
        <v>2746</v>
      </c>
      <c r="C958" s="2" t="s">
        <v>2747</v>
      </c>
      <c r="D958" t="s">
        <v>6568</v>
      </c>
      <c r="E958" t="s">
        <v>8205</v>
      </c>
      <c r="F958" t="s">
        <v>0</v>
      </c>
      <c r="G958" s="1">
        <f>DATE(2023,11,29)</f>
        <v>45259</v>
      </c>
    </row>
    <row r="959" spans="1:7" x14ac:dyDescent="0.35">
      <c r="A959" s="2" t="s">
        <v>2748</v>
      </c>
      <c r="B959" s="2" t="s">
        <v>2749</v>
      </c>
      <c r="C959" s="2" t="s">
        <v>2750</v>
      </c>
      <c r="D959" t="s">
        <v>6569</v>
      </c>
      <c r="E959" t="s">
        <v>8206</v>
      </c>
      <c r="F959" t="s">
        <v>0</v>
      </c>
      <c r="G959" s="1">
        <f>DATE(2023,3,14)</f>
        <v>44999</v>
      </c>
    </row>
    <row r="960" spans="1:7" x14ac:dyDescent="0.35">
      <c r="A960" s="2" t="s">
        <v>2751</v>
      </c>
      <c r="B960" s="2" t="s">
        <v>2752</v>
      </c>
      <c r="C960" s="2" t="s">
        <v>2753</v>
      </c>
      <c r="D960" t="s">
        <v>6570</v>
      </c>
      <c r="E960" t="s">
        <v>8207</v>
      </c>
      <c r="F960" t="s">
        <v>0</v>
      </c>
      <c r="G960" s="1">
        <f>DATE(2023,3,14)</f>
        <v>44999</v>
      </c>
    </row>
    <row r="961" spans="1:7" x14ac:dyDescent="0.35">
      <c r="A961" s="2" t="s">
        <v>2754</v>
      </c>
      <c r="B961" s="2" t="s">
        <v>2755</v>
      </c>
      <c r="C961" s="2" t="s">
        <v>2756</v>
      </c>
      <c r="D961" t="s">
        <v>6571</v>
      </c>
      <c r="E961" t="s">
        <v>8208</v>
      </c>
      <c r="F961" t="s">
        <v>0</v>
      </c>
      <c r="G961" s="1">
        <f>DATE(2023,3,14)</f>
        <v>44999</v>
      </c>
    </row>
    <row r="962" spans="1:7" x14ac:dyDescent="0.35">
      <c r="A962" s="2" t="s">
        <v>2757</v>
      </c>
      <c r="B962" s="2" t="s">
        <v>2758</v>
      </c>
      <c r="C962" s="2" t="s">
        <v>2759</v>
      </c>
      <c r="D962" t="s">
        <v>6572</v>
      </c>
      <c r="E962" t="s">
        <v>8209</v>
      </c>
      <c r="F962" t="s">
        <v>0</v>
      </c>
      <c r="G962" s="1">
        <f>DATE(2023,3,14)</f>
        <v>44999</v>
      </c>
    </row>
    <row r="963" spans="1:7" x14ac:dyDescent="0.35">
      <c r="A963" s="2" t="s">
        <v>2760</v>
      </c>
      <c r="B963" s="2" t="s">
        <v>2761</v>
      </c>
      <c r="C963" s="2" t="s">
        <v>2762</v>
      </c>
      <c r="D963" t="s">
        <v>6573</v>
      </c>
      <c r="E963" t="s">
        <v>8210</v>
      </c>
      <c r="F963" t="s">
        <v>0</v>
      </c>
      <c r="G963" s="1">
        <f>DATE(2023,6,13)</f>
        <v>45090</v>
      </c>
    </row>
    <row r="964" spans="1:7" x14ac:dyDescent="0.35">
      <c r="A964" s="2" t="s">
        <v>2763</v>
      </c>
      <c r="B964" s="2" t="s">
        <v>2764</v>
      </c>
      <c r="C964" s="2" t="s">
        <v>2765</v>
      </c>
      <c r="D964" t="s">
        <v>6574</v>
      </c>
      <c r="E964" t="s">
        <v>8211</v>
      </c>
      <c r="F964" t="s">
        <v>0</v>
      </c>
      <c r="G964" s="1">
        <f>DATE(2023,3,14)</f>
        <v>44999</v>
      </c>
    </row>
    <row r="965" spans="1:7" x14ac:dyDescent="0.35">
      <c r="A965" s="2" t="s">
        <v>2766</v>
      </c>
      <c r="B965" s="2" t="s">
        <v>2767</v>
      </c>
      <c r="C965" s="2" t="s">
        <v>2768</v>
      </c>
      <c r="D965" t="s">
        <v>6575</v>
      </c>
      <c r="E965" t="s">
        <v>8212</v>
      </c>
      <c r="F965" t="s">
        <v>0</v>
      </c>
      <c r="G965" s="1">
        <f>DATE(2023,2,19)</f>
        <v>44976</v>
      </c>
    </row>
    <row r="966" spans="1:7" x14ac:dyDescent="0.35">
      <c r="A966" s="2" t="s">
        <v>2769</v>
      </c>
      <c r="B966" s="2" t="s">
        <v>2770</v>
      </c>
      <c r="C966" s="2" t="s">
        <v>2771</v>
      </c>
      <c r="D966" t="s">
        <v>6576</v>
      </c>
      <c r="E966" t="s">
        <v>8213</v>
      </c>
      <c r="F966" t="s">
        <v>0</v>
      </c>
      <c r="G966" s="1">
        <f>DATE(2023,2,19)</f>
        <v>44976</v>
      </c>
    </row>
    <row r="967" spans="1:7" x14ac:dyDescent="0.35">
      <c r="A967" s="2" t="s">
        <v>2772</v>
      </c>
      <c r="B967" s="2" t="s">
        <v>2773</v>
      </c>
      <c r="C967" s="2" t="s">
        <v>2774</v>
      </c>
      <c r="D967" t="s">
        <v>6577</v>
      </c>
      <c r="E967" t="s">
        <v>8214</v>
      </c>
      <c r="F967" t="s">
        <v>0</v>
      </c>
      <c r="G967" s="1">
        <f>DATE(2023,8,30)</f>
        <v>45168</v>
      </c>
    </row>
    <row r="968" spans="1:7" x14ac:dyDescent="0.35">
      <c r="A968" s="2" t="s">
        <v>2775</v>
      </c>
      <c r="B968" s="2" t="s">
        <v>2776</v>
      </c>
      <c r="C968" s="2" t="s">
        <v>2777</v>
      </c>
      <c r="D968" t="s">
        <v>6578</v>
      </c>
      <c r="E968" t="s">
        <v>8215</v>
      </c>
      <c r="F968" t="s">
        <v>0</v>
      </c>
      <c r="G968" s="1">
        <f>DATE(2023,3,14)</f>
        <v>44999</v>
      </c>
    </row>
    <row r="969" spans="1:7" x14ac:dyDescent="0.35">
      <c r="A969" s="2" t="s">
        <v>2778</v>
      </c>
      <c r="B969" s="2" t="s">
        <v>2779</v>
      </c>
      <c r="C969" s="2" t="s">
        <v>2780</v>
      </c>
      <c r="D969" t="s">
        <v>6579</v>
      </c>
      <c r="E969" t="s">
        <v>8216</v>
      </c>
      <c r="F969" t="s">
        <v>0</v>
      </c>
      <c r="G969" s="1">
        <f>DATE(2023,8,30)</f>
        <v>45168</v>
      </c>
    </row>
    <row r="970" spans="1:7" x14ac:dyDescent="0.35">
      <c r="A970" s="2" t="s">
        <v>2781</v>
      </c>
      <c r="B970" s="2" t="s">
        <v>2782</v>
      </c>
      <c r="C970" s="2" t="s">
        <v>2783</v>
      </c>
      <c r="D970" t="s">
        <v>6580</v>
      </c>
      <c r="E970" t="s">
        <v>8217</v>
      </c>
      <c r="F970" t="s">
        <v>0</v>
      </c>
      <c r="G970" s="1">
        <f>DATE(2023,5,9)</f>
        <v>45055</v>
      </c>
    </row>
    <row r="971" spans="1:7" x14ac:dyDescent="0.35">
      <c r="A971" s="2" t="s">
        <v>2784</v>
      </c>
      <c r="B971" s="2" t="s">
        <v>2785</v>
      </c>
      <c r="C971" s="2" t="s">
        <v>2786</v>
      </c>
      <c r="D971" t="s">
        <v>6581</v>
      </c>
      <c r="E971" t="s">
        <v>8218</v>
      </c>
      <c r="F971" t="s">
        <v>0</v>
      </c>
      <c r="G971" s="1">
        <f>DATE(2023,8,30)</f>
        <v>45168</v>
      </c>
    </row>
    <row r="972" spans="1:7" x14ac:dyDescent="0.35">
      <c r="A972" s="2" t="s">
        <v>2787</v>
      </c>
      <c r="B972" s="2" t="s">
        <v>2788</v>
      </c>
      <c r="C972" s="2" t="s">
        <v>2789</v>
      </c>
      <c r="D972" t="s">
        <v>6582</v>
      </c>
      <c r="E972" t="s">
        <v>8219</v>
      </c>
      <c r="F972" t="s">
        <v>0</v>
      </c>
      <c r="G972" s="1">
        <f>DATE(2023,3,14)</f>
        <v>44999</v>
      </c>
    </row>
    <row r="973" spans="1:7" x14ac:dyDescent="0.35">
      <c r="A973" s="2" t="s">
        <v>2790</v>
      </c>
      <c r="B973" s="2" t="s">
        <v>2791</v>
      </c>
      <c r="C973" s="2" t="s">
        <v>2792</v>
      </c>
      <c r="D973" t="s">
        <v>6583</v>
      </c>
      <c r="E973" t="s">
        <v>8220</v>
      </c>
      <c r="F973" t="s">
        <v>0</v>
      </c>
      <c r="G973" s="1">
        <f>DATE(2023,3,14)</f>
        <v>44999</v>
      </c>
    </row>
    <row r="974" spans="1:7" x14ac:dyDescent="0.35">
      <c r="A974" s="2" t="s">
        <v>2793</v>
      </c>
      <c r="B974" s="2" t="s">
        <v>2794</v>
      </c>
      <c r="C974" s="2" t="s">
        <v>2795</v>
      </c>
      <c r="D974" t="s">
        <v>6584</v>
      </c>
      <c r="E974" t="s">
        <v>8221</v>
      </c>
      <c r="F974" t="s">
        <v>0</v>
      </c>
      <c r="G974" s="1">
        <f>DATE(2023,7,5)</f>
        <v>45112</v>
      </c>
    </row>
    <row r="975" spans="1:7" x14ac:dyDescent="0.35">
      <c r="A975" s="2" t="s">
        <v>2796</v>
      </c>
      <c r="B975" s="2" t="s">
        <v>2797</v>
      </c>
      <c r="C975" s="2" t="s">
        <v>2798</v>
      </c>
      <c r="D975" t="s">
        <v>6585</v>
      </c>
      <c r="E975" t="s">
        <v>8222</v>
      </c>
      <c r="F975" t="s">
        <v>0</v>
      </c>
      <c r="G975" s="1">
        <f>DATE(2023,2,19)</f>
        <v>44976</v>
      </c>
    </row>
    <row r="976" spans="1:7" x14ac:dyDescent="0.35">
      <c r="A976" s="2" t="s">
        <v>2799</v>
      </c>
      <c r="B976" s="2" t="s">
        <v>2800</v>
      </c>
      <c r="C976" s="2" t="s">
        <v>2801</v>
      </c>
      <c r="D976" t="s">
        <v>6586</v>
      </c>
      <c r="E976" t="s">
        <v>8223</v>
      </c>
      <c r="F976" t="s">
        <v>0</v>
      </c>
      <c r="G976" s="1">
        <f>DATE(2023,2,19)</f>
        <v>44976</v>
      </c>
    </row>
    <row r="977" spans="1:7" x14ac:dyDescent="0.35">
      <c r="A977" s="2" t="s">
        <v>2802</v>
      </c>
      <c r="B977" s="2" t="s">
        <v>2803</v>
      </c>
      <c r="C977" s="2" t="s">
        <v>2804</v>
      </c>
      <c r="D977" t="s">
        <v>6587</v>
      </c>
      <c r="E977" t="s">
        <v>8224</v>
      </c>
      <c r="F977" t="s">
        <v>0</v>
      </c>
      <c r="G977" s="1">
        <f>DATE(2023,3,14)</f>
        <v>44999</v>
      </c>
    </row>
    <row r="978" spans="1:7" x14ac:dyDescent="0.35">
      <c r="A978" s="2" t="s">
        <v>2805</v>
      </c>
      <c r="B978" s="2" t="s">
        <v>2806</v>
      </c>
      <c r="C978" s="2" t="s">
        <v>2807</v>
      </c>
      <c r="D978" t="s">
        <v>6588</v>
      </c>
      <c r="E978" t="s">
        <v>8225</v>
      </c>
      <c r="F978" t="s">
        <v>0</v>
      </c>
      <c r="G978" s="1">
        <f>DATE(2023,8,30)</f>
        <v>45168</v>
      </c>
    </row>
    <row r="979" spans="1:7" x14ac:dyDescent="0.35">
      <c r="A979" s="2" t="s">
        <v>2808</v>
      </c>
      <c r="B979" s="2" t="s">
        <v>2809</v>
      </c>
      <c r="C979" s="2" t="s">
        <v>2810</v>
      </c>
      <c r="D979" t="s">
        <v>6589</v>
      </c>
      <c r="E979" t="s">
        <v>8226</v>
      </c>
      <c r="F979" t="s">
        <v>0</v>
      </c>
      <c r="G979" s="1">
        <f>DATE(2023,9,13)</f>
        <v>45182</v>
      </c>
    </row>
    <row r="980" spans="1:7" x14ac:dyDescent="0.35">
      <c r="A980" s="2" t="s">
        <v>2811</v>
      </c>
      <c r="B980" s="2" t="s">
        <v>2812</v>
      </c>
      <c r="C980" s="2" t="s">
        <v>2813</v>
      </c>
      <c r="D980" t="s">
        <v>6590</v>
      </c>
      <c r="E980" t="s">
        <v>8227</v>
      </c>
      <c r="F980" t="s">
        <v>0</v>
      </c>
      <c r="G980" s="1">
        <f>DATE(2023,10,30)</f>
        <v>45229</v>
      </c>
    </row>
    <row r="981" spans="1:7" x14ac:dyDescent="0.35">
      <c r="A981" s="2" t="s">
        <v>2814</v>
      </c>
      <c r="B981" s="2" t="s">
        <v>2815</v>
      </c>
      <c r="C981" s="2" t="s">
        <v>2816</v>
      </c>
      <c r="D981" t="s">
        <v>6591</v>
      </c>
      <c r="E981" t="s">
        <v>8228</v>
      </c>
      <c r="F981" t="s">
        <v>0</v>
      </c>
      <c r="G981" s="1">
        <f>DATE(2023,3,27)</f>
        <v>45012</v>
      </c>
    </row>
    <row r="982" spans="1:7" x14ac:dyDescent="0.35">
      <c r="A982" s="2" t="s">
        <v>2817</v>
      </c>
      <c r="B982" s="2" t="s">
        <v>2818</v>
      </c>
      <c r="C982" s="2" t="s">
        <v>2819</v>
      </c>
      <c r="D982" t="s">
        <v>6592</v>
      </c>
      <c r="E982" t="s">
        <v>8229</v>
      </c>
      <c r="F982" t="s">
        <v>0</v>
      </c>
      <c r="G982" s="1">
        <f>DATE(2023,9,8)</f>
        <v>45177</v>
      </c>
    </row>
    <row r="983" spans="1:7" x14ac:dyDescent="0.35">
      <c r="A983" s="2" t="s">
        <v>2820</v>
      </c>
      <c r="B983" s="2" t="s">
        <v>2821</v>
      </c>
      <c r="C983" s="2" t="s">
        <v>2822</v>
      </c>
      <c r="D983" t="s">
        <v>6593</v>
      </c>
      <c r="E983" t="s">
        <v>8230</v>
      </c>
      <c r="F983" t="s">
        <v>0</v>
      </c>
      <c r="G983" s="1">
        <f>DATE(2023,3,14)</f>
        <v>44999</v>
      </c>
    </row>
    <row r="984" spans="1:7" x14ac:dyDescent="0.35">
      <c r="A984" s="2" t="s">
        <v>2823</v>
      </c>
      <c r="B984" s="2" t="s">
        <v>2824</v>
      </c>
      <c r="C984" s="2" t="s">
        <v>2825</v>
      </c>
      <c r="D984" t="s">
        <v>6594</v>
      </c>
      <c r="E984" t="s">
        <v>8231</v>
      </c>
      <c r="F984" t="s">
        <v>0</v>
      </c>
      <c r="G984" s="1">
        <f>DATE(2023,2,19)</f>
        <v>44976</v>
      </c>
    </row>
    <row r="985" spans="1:7" x14ac:dyDescent="0.35">
      <c r="A985" s="2" t="s">
        <v>2826</v>
      </c>
      <c r="B985" s="2" t="s">
        <v>2827</v>
      </c>
      <c r="C985" s="2" t="s">
        <v>2828</v>
      </c>
      <c r="D985" t="s">
        <v>6595</v>
      </c>
      <c r="E985" t="s">
        <v>8232</v>
      </c>
      <c r="F985" t="s">
        <v>0</v>
      </c>
      <c r="G985" s="1">
        <f>DATE(2023,2,19)</f>
        <v>44976</v>
      </c>
    </row>
    <row r="986" spans="1:7" x14ac:dyDescent="0.35">
      <c r="A986" s="2" t="s">
        <v>2829</v>
      </c>
      <c r="B986" s="2" t="s">
        <v>2830</v>
      </c>
      <c r="C986" s="2" t="s">
        <v>2831</v>
      </c>
      <c r="D986" t="s">
        <v>6596</v>
      </c>
      <c r="E986" t="s">
        <v>8233</v>
      </c>
      <c r="F986" t="s">
        <v>0</v>
      </c>
      <c r="G986" s="1">
        <f>DATE(2023,3,14)</f>
        <v>44999</v>
      </c>
    </row>
    <row r="987" spans="1:7" x14ac:dyDescent="0.35">
      <c r="A987" s="2" t="s">
        <v>2832</v>
      </c>
      <c r="B987" s="2" t="s">
        <v>2833</v>
      </c>
      <c r="C987" s="2" t="s">
        <v>2834</v>
      </c>
      <c r="D987" t="s">
        <v>6597</v>
      </c>
      <c r="E987" t="s">
        <v>8234</v>
      </c>
      <c r="F987" t="s">
        <v>0</v>
      </c>
      <c r="G987" s="1">
        <f>DATE(2023,2,19)</f>
        <v>44976</v>
      </c>
    </row>
    <row r="988" spans="1:7" x14ac:dyDescent="0.35">
      <c r="A988" s="2" t="s">
        <v>2835</v>
      </c>
      <c r="B988" s="2" t="s">
        <v>2836</v>
      </c>
      <c r="C988" s="2" t="s">
        <v>2837</v>
      </c>
      <c r="D988" t="s">
        <v>6598</v>
      </c>
      <c r="E988" t="s">
        <v>8235</v>
      </c>
      <c r="F988" t="s">
        <v>0</v>
      </c>
      <c r="G988" s="1">
        <f>DATE(2023,3,14)</f>
        <v>44999</v>
      </c>
    </row>
    <row r="989" spans="1:7" x14ac:dyDescent="0.35">
      <c r="A989" s="2" t="s">
        <v>2838</v>
      </c>
      <c r="B989" s="2" t="s">
        <v>2839</v>
      </c>
      <c r="C989" s="2" t="s">
        <v>2840</v>
      </c>
      <c r="D989" t="s">
        <v>6599</v>
      </c>
      <c r="E989" t="s">
        <v>8236</v>
      </c>
      <c r="F989" t="s">
        <v>0</v>
      </c>
      <c r="G989" s="1">
        <f>DATE(2023,5,12)</f>
        <v>45058</v>
      </c>
    </row>
    <row r="990" spans="1:7" x14ac:dyDescent="0.35">
      <c r="A990" s="2" t="s">
        <v>2841</v>
      </c>
      <c r="B990" s="2" t="s">
        <v>2842</v>
      </c>
      <c r="C990" s="2" t="s">
        <v>2843</v>
      </c>
      <c r="D990" t="s">
        <v>6600</v>
      </c>
      <c r="E990" t="s">
        <v>8237</v>
      </c>
      <c r="F990" t="s">
        <v>0</v>
      </c>
      <c r="G990" s="1">
        <f>DATE(2023,11,24)</f>
        <v>45254</v>
      </c>
    </row>
    <row r="991" spans="1:7" x14ac:dyDescent="0.35">
      <c r="A991" s="2" t="s">
        <v>2844</v>
      </c>
      <c r="B991" s="2" t="s">
        <v>2845</v>
      </c>
      <c r="C991" s="2" t="s">
        <v>2846</v>
      </c>
      <c r="D991" t="s">
        <v>6601</v>
      </c>
      <c r="E991" t="s">
        <v>8238</v>
      </c>
      <c r="F991" t="s">
        <v>0</v>
      </c>
      <c r="G991" s="1">
        <f>DATE(2023,12,18)</f>
        <v>45278</v>
      </c>
    </row>
    <row r="992" spans="1:7" x14ac:dyDescent="0.35">
      <c r="A992" s="2" t="s">
        <v>2847</v>
      </c>
      <c r="B992" s="2" t="s">
        <v>2848</v>
      </c>
      <c r="C992" s="2" t="s">
        <v>2849</v>
      </c>
      <c r="D992" t="s">
        <v>6602</v>
      </c>
      <c r="E992" t="s">
        <v>8239</v>
      </c>
      <c r="F992" t="s">
        <v>0</v>
      </c>
      <c r="G992" s="1">
        <f>DATE(2023,12,28)</f>
        <v>45288</v>
      </c>
    </row>
    <row r="993" spans="1:7" x14ac:dyDescent="0.35">
      <c r="A993" s="2" t="s">
        <v>2850</v>
      </c>
      <c r="B993" s="2" t="s">
        <v>2851</v>
      </c>
      <c r="C993" s="2" t="s">
        <v>2852</v>
      </c>
      <c r="D993" t="s">
        <v>6603</v>
      </c>
      <c r="E993" t="s">
        <v>8240</v>
      </c>
      <c r="F993" t="s">
        <v>0</v>
      </c>
      <c r="G993" s="1">
        <f>DATE(2023,3,14)</f>
        <v>44999</v>
      </c>
    </row>
    <row r="994" spans="1:7" x14ac:dyDescent="0.35">
      <c r="A994" s="2" t="s">
        <v>2853</v>
      </c>
      <c r="B994" s="2" t="s">
        <v>2854</v>
      </c>
      <c r="D994" t="s">
        <v>5756</v>
      </c>
      <c r="E994" t="e">
        <v>#VALUE!</v>
      </c>
      <c r="F994" t="s">
        <v>0</v>
      </c>
      <c r="G994" s="1">
        <f>DATE(2023,6,16)</f>
        <v>45093</v>
      </c>
    </row>
    <row r="995" spans="1:7" x14ac:dyDescent="0.35">
      <c r="A995" s="2" t="s">
        <v>2855</v>
      </c>
      <c r="B995" s="2" t="s">
        <v>2856</v>
      </c>
      <c r="C995" s="2" t="s">
        <v>2857</v>
      </c>
      <c r="D995" t="s">
        <v>6604</v>
      </c>
      <c r="E995" t="s">
        <v>8241</v>
      </c>
      <c r="F995" t="s">
        <v>0</v>
      </c>
      <c r="G995" s="1">
        <f>DATE(2023,2,24)</f>
        <v>44981</v>
      </c>
    </row>
    <row r="996" spans="1:7" x14ac:dyDescent="0.35">
      <c r="A996" s="2" t="s">
        <v>2858</v>
      </c>
      <c r="B996" s="2" t="s">
        <v>2859</v>
      </c>
      <c r="C996" s="2" t="s">
        <v>51</v>
      </c>
      <c r="D996" t="s">
        <v>5757</v>
      </c>
      <c r="E996" t="s">
        <v>7393</v>
      </c>
      <c r="F996" t="s">
        <v>0</v>
      </c>
      <c r="G996" s="1">
        <f>DATE(2023,2,23)</f>
        <v>44980</v>
      </c>
    </row>
    <row r="997" spans="1:7" x14ac:dyDescent="0.35">
      <c r="A997" s="2" t="s">
        <v>2860</v>
      </c>
      <c r="B997" s="2" t="s">
        <v>2861</v>
      </c>
      <c r="C997" s="2" t="s">
        <v>2862</v>
      </c>
      <c r="D997" t="s">
        <v>5891</v>
      </c>
      <c r="E997" t="s">
        <v>7527</v>
      </c>
      <c r="F997" t="s">
        <v>0</v>
      </c>
      <c r="G997" s="1">
        <f>DATE(2023,2,23)</f>
        <v>44980</v>
      </c>
    </row>
    <row r="998" spans="1:7" x14ac:dyDescent="0.35">
      <c r="A998" s="2" t="s">
        <v>2863</v>
      </c>
      <c r="B998" s="2" t="s">
        <v>2864</v>
      </c>
      <c r="C998" s="2" t="s">
        <v>2865</v>
      </c>
      <c r="D998" t="s">
        <v>6605</v>
      </c>
      <c r="E998" t="s">
        <v>8242</v>
      </c>
      <c r="F998" t="s">
        <v>0</v>
      </c>
      <c r="G998" s="1">
        <f>DATE(2023,2,23)</f>
        <v>44980</v>
      </c>
    </row>
    <row r="999" spans="1:7" x14ac:dyDescent="0.35">
      <c r="A999" s="2" t="s">
        <v>2866</v>
      </c>
      <c r="B999" s="2" t="s">
        <v>2867</v>
      </c>
      <c r="D999" t="s">
        <v>5756</v>
      </c>
      <c r="E999" t="e">
        <v>#VALUE!</v>
      </c>
      <c r="F999" t="s">
        <v>0</v>
      </c>
      <c r="G999" s="1">
        <f>DATE(2023,2,23)</f>
        <v>44980</v>
      </c>
    </row>
    <row r="1000" spans="1:7" x14ac:dyDescent="0.35">
      <c r="A1000" s="2" t="s">
        <v>2868</v>
      </c>
      <c r="B1000" s="2" t="s">
        <v>2869</v>
      </c>
      <c r="C1000" s="2" t="s">
        <v>2870</v>
      </c>
      <c r="D1000" t="s">
        <v>6606</v>
      </c>
      <c r="E1000" t="s">
        <v>8243</v>
      </c>
      <c r="F1000" t="s">
        <v>0</v>
      </c>
      <c r="G1000" s="1">
        <f>DATE(2023,11,29)</f>
        <v>45259</v>
      </c>
    </row>
    <row r="1001" spans="1:7" x14ac:dyDescent="0.35">
      <c r="A1001" s="2" t="s">
        <v>2871</v>
      </c>
      <c r="B1001" s="2" t="s">
        <v>2872</v>
      </c>
      <c r="C1001" s="2" t="s">
        <v>2873</v>
      </c>
      <c r="D1001" t="s">
        <v>6607</v>
      </c>
      <c r="E1001" t="s">
        <v>8244</v>
      </c>
      <c r="F1001" t="s">
        <v>0</v>
      </c>
      <c r="G1001" s="1">
        <f>DATE(2023,8,30)</f>
        <v>45168</v>
      </c>
    </row>
    <row r="1002" spans="1:7" x14ac:dyDescent="0.35">
      <c r="A1002" s="2" t="s">
        <v>2874</v>
      </c>
      <c r="B1002" s="2" t="s">
        <v>2875</v>
      </c>
      <c r="C1002" s="2" t="s">
        <v>2876</v>
      </c>
      <c r="D1002" t="s">
        <v>6608</v>
      </c>
      <c r="E1002" t="s">
        <v>8245</v>
      </c>
      <c r="F1002" t="s">
        <v>0</v>
      </c>
      <c r="G1002" s="1">
        <f>DATE(2023,2,24)</f>
        <v>44981</v>
      </c>
    </row>
    <row r="1003" spans="1:7" x14ac:dyDescent="0.35">
      <c r="A1003" s="2" t="s">
        <v>2877</v>
      </c>
      <c r="B1003" s="2" t="s">
        <v>2878</v>
      </c>
      <c r="C1003" s="2" t="s">
        <v>2879</v>
      </c>
      <c r="D1003" t="s">
        <v>6609</v>
      </c>
      <c r="E1003" t="s">
        <v>8246</v>
      </c>
      <c r="F1003" t="s">
        <v>0</v>
      </c>
      <c r="G1003" s="1">
        <f>DATE(2023,6,13)</f>
        <v>45090</v>
      </c>
    </row>
    <row r="1004" spans="1:7" x14ac:dyDescent="0.35">
      <c r="A1004" s="2" t="s">
        <v>2880</v>
      </c>
      <c r="B1004" s="2" t="s">
        <v>2881</v>
      </c>
      <c r="C1004" s="2" t="s">
        <v>2882</v>
      </c>
      <c r="D1004" t="s">
        <v>6610</v>
      </c>
      <c r="E1004" t="s">
        <v>8247</v>
      </c>
      <c r="F1004" t="s">
        <v>0</v>
      </c>
      <c r="G1004" s="1">
        <f>DATE(2023,3,2)</f>
        <v>44987</v>
      </c>
    </row>
    <row r="1005" spans="1:7" x14ac:dyDescent="0.35">
      <c r="A1005" s="2" t="s">
        <v>2883</v>
      </c>
      <c r="B1005" s="2" t="s">
        <v>2884</v>
      </c>
      <c r="C1005" s="2" t="s">
        <v>2885</v>
      </c>
      <c r="D1005" t="s">
        <v>6611</v>
      </c>
      <c r="E1005" t="s">
        <v>8248</v>
      </c>
      <c r="F1005" t="s">
        <v>0</v>
      </c>
      <c r="G1005" s="1">
        <f>DATE(2023,3,3)</f>
        <v>44988</v>
      </c>
    </row>
    <row r="1006" spans="1:7" x14ac:dyDescent="0.35">
      <c r="A1006" s="2" t="s">
        <v>2886</v>
      </c>
      <c r="B1006" s="2" t="s">
        <v>2887</v>
      </c>
      <c r="C1006" s="2" t="s">
        <v>2888</v>
      </c>
      <c r="D1006" t="s">
        <v>6612</v>
      </c>
      <c r="E1006" t="s">
        <v>8249</v>
      </c>
      <c r="F1006" t="s">
        <v>0</v>
      </c>
      <c r="G1006" s="1">
        <f>DATE(2024,1,5)</f>
        <v>45296</v>
      </c>
    </row>
    <row r="1007" spans="1:7" x14ac:dyDescent="0.35">
      <c r="A1007" s="2" t="s">
        <v>2889</v>
      </c>
      <c r="B1007" s="2" t="s">
        <v>2890</v>
      </c>
      <c r="C1007" s="2" t="s">
        <v>2891</v>
      </c>
      <c r="D1007" t="s">
        <v>6613</v>
      </c>
      <c r="E1007" t="s">
        <v>8250</v>
      </c>
      <c r="F1007" t="s">
        <v>0</v>
      </c>
      <c r="G1007" s="1">
        <f>DATE(2023,7,6)</f>
        <v>45113</v>
      </c>
    </row>
    <row r="1008" spans="1:7" x14ac:dyDescent="0.35">
      <c r="A1008" s="2" t="s">
        <v>2892</v>
      </c>
      <c r="B1008" s="2" t="s">
        <v>2893</v>
      </c>
      <c r="C1008" s="2" t="s">
        <v>2894</v>
      </c>
      <c r="D1008" t="s">
        <v>6614</v>
      </c>
      <c r="E1008" t="s">
        <v>8251</v>
      </c>
      <c r="F1008" t="s">
        <v>0</v>
      </c>
      <c r="G1008" s="1">
        <f>DATE(2023,3,15)</f>
        <v>45000</v>
      </c>
    </row>
    <row r="1009" spans="1:7" x14ac:dyDescent="0.35">
      <c r="A1009" s="2" t="s">
        <v>2895</v>
      </c>
      <c r="B1009" s="2" t="s">
        <v>2896</v>
      </c>
      <c r="C1009" s="2" t="s">
        <v>2897</v>
      </c>
      <c r="D1009" t="s">
        <v>6615</v>
      </c>
      <c r="E1009" t="s">
        <v>8252</v>
      </c>
      <c r="F1009" t="s">
        <v>0</v>
      </c>
      <c r="G1009" s="1">
        <f>DATE(2023,3,15)</f>
        <v>45000</v>
      </c>
    </row>
    <row r="1010" spans="1:7" x14ac:dyDescent="0.35">
      <c r="A1010" s="2" t="s">
        <v>2898</v>
      </c>
      <c r="B1010" s="2" t="s">
        <v>2899</v>
      </c>
      <c r="C1010" s="2" t="s">
        <v>2900</v>
      </c>
      <c r="D1010" t="s">
        <v>6616</v>
      </c>
      <c r="E1010" t="s">
        <v>8253</v>
      </c>
      <c r="F1010" t="s">
        <v>0</v>
      </c>
      <c r="G1010" s="1">
        <f>DATE(2023,11,16)</f>
        <v>45246</v>
      </c>
    </row>
    <row r="1011" spans="1:7" x14ac:dyDescent="0.35">
      <c r="A1011" s="2" t="s">
        <v>2901</v>
      </c>
      <c r="B1011" s="2" t="s">
        <v>2902</v>
      </c>
      <c r="D1011" t="s">
        <v>5756</v>
      </c>
      <c r="E1011" t="e">
        <v>#VALUE!</v>
      </c>
      <c r="F1011" t="s">
        <v>0</v>
      </c>
      <c r="G1011" s="1">
        <f>DATE(2023,3,15)</f>
        <v>45000</v>
      </c>
    </row>
    <row r="1012" spans="1:7" x14ac:dyDescent="0.35">
      <c r="A1012" s="2" t="s">
        <v>2903</v>
      </c>
      <c r="B1012" s="2" t="s">
        <v>2904</v>
      </c>
      <c r="C1012" s="2" t="s">
        <v>2905</v>
      </c>
      <c r="D1012" t="s">
        <v>6617</v>
      </c>
      <c r="E1012" t="s">
        <v>8254</v>
      </c>
      <c r="F1012" t="s">
        <v>0</v>
      </c>
      <c r="G1012" s="1">
        <f>DATE(2023,3,15)</f>
        <v>45000</v>
      </c>
    </row>
    <row r="1013" spans="1:7" x14ac:dyDescent="0.35">
      <c r="A1013" s="2" t="s">
        <v>2906</v>
      </c>
      <c r="B1013" s="2" t="s">
        <v>2907</v>
      </c>
      <c r="C1013" s="2" t="s">
        <v>2908</v>
      </c>
      <c r="D1013" t="s">
        <v>6618</v>
      </c>
      <c r="E1013" t="s">
        <v>8255</v>
      </c>
      <c r="F1013" t="s">
        <v>0</v>
      </c>
      <c r="G1013" s="1">
        <f>DATE(2023,9,19)</f>
        <v>45188</v>
      </c>
    </row>
    <row r="1014" spans="1:7" x14ac:dyDescent="0.35">
      <c r="A1014" s="2" t="s">
        <v>2909</v>
      </c>
      <c r="B1014" s="2" t="s">
        <v>2910</v>
      </c>
      <c r="D1014" t="s">
        <v>5756</v>
      </c>
      <c r="E1014" t="e">
        <v>#VALUE!</v>
      </c>
      <c r="F1014" t="s">
        <v>0</v>
      </c>
      <c r="G1014" s="1">
        <f>DATE(2023,6,21)</f>
        <v>45098</v>
      </c>
    </row>
    <row r="1015" spans="1:7" x14ac:dyDescent="0.35">
      <c r="A1015" s="2" t="s">
        <v>2911</v>
      </c>
      <c r="B1015" s="2" t="s">
        <v>2912</v>
      </c>
      <c r="D1015" t="s">
        <v>5756</v>
      </c>
      <c r="E1015" t="e">
        <v>#VALUE!</v>
      </c>
      <c r="F1015" t="s">
        <v>0</v>
      </c>
      <c r="G1015" s="1">
        <f>DATE(2023,3,20)</f>
        <v>45005</v>
      </c>
    </row>
    <row r="1016" spans="1:7" x14ac:dyDescent="0.35">
      <c r="A1016" s="2" t="s">
        <v>2913</v>
      </c>
      <c r="B1016" s="2" t="s">
        <v>2914</v>
      </c>
      <c r="C1016" s="2" t="s">
        <v>2915</v>
      </c>
      <c r="D1016" t="s">
        <v>6619</v>
      </c>
      <c r="E1016" t="s">
        <v>8256</v>
      </c>
      <c r="F1016" t="s">
        <v>0</v>
      </c>
      <c r="G1016" s="1">
        <f>DATE(2023,8,5)</f>
        <v>45143</v>
      </c>
    </row>
    <row r="1017" spans="1:7" x14ac:dyDescent="0.35">
      <c r="A1017" s="2" t="s">
        <v>2916</v>
      </c>
      <c r="B1017" s="2" t="s">
        <v>2917</v>
      </c>
      <c r="C1017" s="2" t="s">
        <v>2918</v>
      </c>
      <c r="D1017" t="s">
        <v>6620</v>
      </c>
      <c r="E1017" t="s">
        <v>8257</v>
      </c>
      <c r="F1017" t="s">
        <v>0</v>
      </c>
      <c r="G1017" s="1">
        <f>DATE(2023,12,27)</f>
        <v>45287</v>
      </c>
    </row>
    <row r="1018" spans="1:7" x14ac:dyDescent="0.35">
      <c r="A1018" s="2" t="s">
        <v>2919</v>
      </c>
      <c r="B1018" s="2" t="s">
        <v>2920</v>
      </c>
      <c r="C1018" s="2" t="s">
        <v>2921</v>
      </c>
      <c r="D1018" t="s">
        <v>6621</v>
      </c>
      <c r="E1018" t="s">
        <v>8258</v>
      </c>
      <c r="F1018" t="s">
        <v>0</v>
      </c>
      <c r="G1018" s="1">
        <f>DATE(2023,8,4)</f>
        <v>45142</v>
      </c>
    </row>
    <row r="1019" spans="1:7" x14ac:dyDescent="0.35">
      <c r="A1019" s="2" t="s">
        <v>2922</v>
      </c>
      <c r="B1019" s="2" t="s">
        <v>2923</v>
      </c>
      <c r="C1019" s="2" t="s">
        <v>2924</v>
      </c>
      <c r="D1019" t="s">
        <v>6622</v>
      </c>
      <c r="E1019" t="s">
        <v>8259</v>
      </c>
      <c r="F1019" t="s">
        <v>0</v>
      </c>
      <c r="G1019" s="1">
        <f>DATE(2023,8,4)</f>
        <v>45142</v>
      </c>
    </row>
    <row r="1020" spans="1:7" x14ac:dyDescent="0.35">
      <c r="A1020" s="2" t="s">
        <v>2925</v>
      </c>
      <c r="B1020" s="2" t="s">
        <v>2926</v>
      </c>
      <c r="C1020" s="2" t="s">
        <v>2927</v>
      </c>
      <c r="D1020" t="s">
        <v>6623</v>
      </c>
      <c r="E1020" t="s">
        <v>8260</v>
      </c>
      <c r="F1020" t="s">
        <v>0</v>
      </c>
      <c r="G1020" s="1">
        <f>DATE(2024,1,19)</f>
        <v>45310</v>
      </c>
    </row>
    <row r="1021" spans="1:7" x14ac:dyDescent="0.35">
      <c r="A1021" s="2" t="s">
        <v>2928</v>
      </c>
      <c r="B1021" s="2" t="s">
        <v>2929</v>
      </c>
      <c r="C1021" s="2" t="s">
        <v>34</v>
      </c>
      <c r="D1021" t="s">
        <v>5751</v>
      </c>
      <c r="E1021" t="s">
        <v>7388</v>
      </c>
      <c r="F1021" t="s">
        <v>0</v>
      </c>
      <c r="G1021" s="1">
        <f>DATE(2023,8,4)</f>
        <v>45142</v>
      </c>
    </row>
    <row r="1022" spans="1:7" x14ac:dyDescent="0.35">
      <c r="A1022" s="2" t="s">
        <v>2930</v>
      </c>
      <c r="B1022" s="2" t="s">
        <v>2931</v>
      </c>
      <c r="C1022" s="2" t="s">
        <v>2932</v>
      </c>
      <c r="D1022" t="s">
        <v>6624</v>
      </c>
      <c r="E1022" t="s">
        <v>8261</v>
      </c>
      <c r="F1022" t="s">
        <v>0</v>
      </c>
      <c r="G1022" s="1">
        <f>DATE(2023,8,4)</f>
        <v>45142</v>
      </c>
    </row>
    <row r="1023" spans="1:7" x14ac:dyDescent="0.35">
      <c r="A1023" s="2" t="s">
        <v>2933</v>
      </c>
      <c r="B1023" s="2" t="s">
        <v>2934</v>
      </c>
      <c r="C1023" s="2" t="s">
        <v>2935</v>
      </c>
      <c r="D1023" t="s">
        <v>6625</v>
      </c>
      <c r="E1023" t="s">
        <v>8262</v>
      </c>
      <c r="F1023" t="s">
        <v>0</v>
      </c>
      <c r="G1023" s="1">
        <f>DATE(2023,8,4)</f>
        <v>45142</v>
      </c>
    </row>
    <row r="1024" spans="1:7" x14ac:dyDescent="0.35">
      <c r="A1024" s="2" t="s">
        <v>2936</v>
      </c>
      <c r="B1024" s="2" t="s">
        <v>2937</v>
      </c>
      <c r="C1024" s="2" t="s">
        <v>2938</v>
      </c>
      <c r="D1024" t="s">
        <v>6626</v>
      </c>
      <c r="E1024" t="s">
        <v>8263</v>
      </c>
      <c r="F1024" t="s">
        <v>0</v>
      </c>
      <c r="G1024" s="1">
        <f>DATE(2023,9,13)</f>
        <v>45182</v>
      </c>
    </row>
    <row r="1025" spans="1:7" x14ac:dyDescent="0.35">
      <c r="A1025" s="2" t="s">
        <v>2939</v>
      </c>
      <c r="B1025" s="2" t="s">
        <v>2940</v>
      </c>
      <c r="C1025" s="2" t="s">
        <v>2941</v>
      </c>
      <c r="D1025" t="s">
        <v>6627</v>
      </c>
      <c r="E1025" t="s">
        <v>8264</v>
      </c>
      <c r="F1025" t="s">
        <v>0</v>
      </c>
      <c r="G1025" s="1">
        <f>DATE(2023,11,24)</f>
        <v>45254</v>
      </c>
    </row>
    <row r="1026" spans="1:7" x14ac:dyDescent="0.35">
      <c r="A1026" s="2" t="s">
        <v>2942</v>
      </c>
      <c r="B1026" s="2" t="s">
        <v>2943</v>
      </c>
      <c r="C1026" s="2" t="s">
        <v>2944</v>
      </c>
      <c r="D1026" t="s">
        <v>6628</v>
      </c>
      <c r="E1026" t="s">
        <v>8265</v>
      </c>
      <c r="F1026" t="s">
        <v>0</v>
      </c>
      <c r="G1026" s="1">
        <f>DATE(2023,9,13)</f>
        <v>45182</v>
      </c>
    </row>
    <row r="1027" spans="1:7" x14ac:dyDescent="0.35">
      <c r="A1027" s="2" t="s">
        <v>2945</v>
      </c>
      <c r="B1027" s="2" t="s">
        <v>2946</v>
      </c>
      <c r="C1027" s="2" t="s">
        <v>2947</v>
      </c>
      <c r="D1027" t="s">
        <v>6629</v>
      </c>
      <c r="E1027" t="s">
        <v>8266</v>
      </c>
      <c r="F1027" t="s">
        <v>0</v>
      </c>
      <c r="G1027" s="1">
        <f>DATE(2023,8,4)</f>
        <v>45142</v>
      </c>
    </row>
    <row r="1028" spans="1:7" x14ac:dyDescent="0.35">
      <c r="A1028" s="2" t="s">
        <v>2948</v>
      </c>
      <c r="B1028" s="2" t="s">
        <v>2949</v>
      </c>
      <c r="C1028" s="2" t="s">
        <v>2950</v>
      </c>
      <c r="D1028" t="s">
        <v>6630</v>
      </c>
      <c r="E1028" t="s">
        <v>8267</v>
      </c>
      <c r="F1028" t="s">
        <v>0</v>
      </c>
      <c r="G1028" s="1">
        <f>DATE(2023,8,30)</f>
        <v>45168</v>
      </c>
    </row>
    <row r="1029" spans="1:7" x14ac:dyDescent="0.35">
      <c r="A1029" s="2" t="s">
        <v>2951</v>
      </c>
      <c r="B1029" s="2" t="s">
        <v>2952</v>
      </c>
      <c r="C1029" s="2" t="s">
        <v>2953</v>
      </c>
      <c r="D1029" t="s">
        <v>6631</v>
      </c>
      <c r="E1029" t="s">
        <v>8268</v>
      </c>
      <c r="F1029" t="s">
        <v>0</v>
      </c>
      <c r="G1029" s="1">
        <f>DATE(2023,8,4)</f>
        <v>45142</v>
      </c>
    </row>
    <row r="1030" spans="1:7" x14ac:dyDescent="0.35">
      <c r="A1030" s="2" t="s">
        <v>2954</v>
      </c>
      <c r="B1030" s="2" t="s">
        <v>2955</v>
      </c>
      <c r="C1030" s="2" t="s">
        <v>2956</v>
      </c>
      <c r="D1030" t="s">
        <v>6632</v>
      </c>
      <c r="E1030" t="s">
        <v>8269</v>
      </c>
      <c r="F1030" t="s">
        <v>0</v>
      </c>
      <c r="G1030" s="1">
        <f>DATE(2023,8,4)</f>
        <v>45142</v>
      </c>
    </row>
    <row r="1031" spans="1:7" x14ac:dyDescent="0.35">
      <c r="A1031" s="2" t="s">
        <v>2957</v>
      </c>
      <c r="B1031" s="2" t="s">
        <v>2958</v>
      </c>
      <c r="C1031" s="2" t="s">
        <v>2959</v>
      </c>
      <c r="D1031" t="s">
        <v>6633</v>
      </c>
      <c r="E1031" t="s">
        <v>8270</v>
      </c>
      <c r="F1031" t="s">
        <v>0</v>
      </c>
      <c r="G1031" s="1">
        <f>DATE(2023,8,4)</f>
        <v>45142</v>
      </c>
    </row>
    <row r="1032" spans="1:7" x14ac:dyDescent="0.35">
      <c r="A1032" s="2" t="s">
        <v>2960</v>
      </c>
      <c r="B1032" s="2" t="s">
        <v>2961</v>
      </c>
      <c r="C1032" s="2" t="s">
        <v>2962</v>
      </c>
      <c r="D1032" t="s">
        <v>6634</v>
      </c>
      <c r="E1032" t="s">
        <v>8271</v>
      </c>
      <c r="F1032" t="s">
        <v>0</v>
      </c>
      <c r="G1032" s="1">
        <f>DATE(2023,9,13)</f>
        <v>45182</v>
      </c>
    </row>
    <row r="1033" spans="1:7" x14ac:dyDescent="0.35">
      <c r="A1033" s="2" t="s">
        <v>2963</v>
      </c>
      <c r="B1033" s="2" t="s">
        <v>2964</v>
      </c>
      <c r="C1033" s="2" t="s">
        <v>2965</v>
      </c>
      <c r="D1033" t="s">
        <v>6635</v>
      </c>
      <c r="E1033" t="s">
        <v>8272</v>
      </c>
      <c r="F1033" t="s">
        <v>0</v>
      </c>
      <c r="G1033" s="1">
        <f t="shared" ref="G1033:G1038" si="3">DATE(2023,8,4)</f>
        <v>45142</v>
      </c>
    </row>
    <row r="1034" spans="1:7" x14ac:dyDescent="0.35">
      <c r="A1034" s="2" t="s">
        <v>2966</v>
      </c>
      <c r="B1034" s="2" t="s">
        <v>2967</v>
      </c>
      <c r="C1034" s="2" t="s">
        <v>2968</v>
      </c>
      <c r="D1034" t="s">
        <v>6636</v>
      </c>
      <c r="E1034" t="s">
        <v>8273</v>
      </c>
      <c r="F1034" t="s">
        <v>0</v>
      </c>
      <c r="G1034" s="1">
        <f t="shared" si="3"/>
        <v>45142</v>
      </c>
    </row>
    <row r="1035" spans="1:7" x14ac:dyDescent="0.35">
      <c r="A1035" s="2" t="s">
        <v>2969</v>
      </c>
      <c r="B1035" s="2" t="s">
        <v>2970</v>
      </c>
      <c r="C1035" s="2" t="s">
        <v>2971</v>
      </c>
      <c r="D1035" t="s">
        <v>6637</v>
      </c>
      <c r="E1035" t="s">
        <v>8274</v>
      </c>
      <c r="F1035" t="s">
        <v>0</v>
      </c>
      <c r="G1035" s="1">
        <f t="shared" si="3"/>
        <v>45142</v>
      </c>
    </row>
    <row r="1036" spans="1:7" x14ac:dyDescent="0.35">
      <c r="A1036" s="2" t="s">
        <v>2972</v>
      </c>
      <c r="B1036" s="2" t="s">
        <v>2973</v>
      </c>
      <c r="C1036" s="2" t="s">
        <v>2974</v>
      </c>
      <c r="D1036" t="s">
        <v>6638</v>
      </c>
      <c r="E1036" t="s">
        <v>8275</v>
      </c>
      <c r="F1036" t="s">
        <v>0</v>
      </c>
      <c r="G1036" s="1">
        <f t="shared" si="3"/>
        <v>45142</v>
      </c>
    </row>
    <row r="1037" spans="1:7" x14ac:dyDescent="0.35">
      <c r="A1037" s="2" t="s">
        <v>2975</v>
      </c>
      <c r="B1037" s="2" t="s">
        <v>2976</v>
      </c>
      <c r="C1037" s="2" t="s">
        <v>2977</v>
      </c>
      <c r="D1037" t="s">
        <v>6639</v>
      </c>
      <c r="E1037" t="s">
        <v>8276</v>
      </c>
      <c r="F1037" t="s">
        <v>0</v>
      </c>
      <c r="G1037" s="1">
        <f t="shared" si="3"/>
        <v>45142</v>
      </c>
    </row>
    <row r="1038" spans="1:7" x14ac:dyDescent="0.35">
      <c r="A1038" s="2" t="s">
        <v>2978</v>
      </c>
      <c r="B1038" s="2" t="s">
        <v>2979</v>
      </c>
      <c r="C1038" s="2" t="s">
        <v>2980</v>
      </c>
      <c r="D1038" t="s">
        <v>6640</v>
      </c>
      <c r="E1038" t="s">
        <v>8277</v>
      </c>
      <c r="F1038" t="s">
        <v>0</v>
      </c>
      <c r="G1038" s="1">
        <f t="shared" si="3"/>
        <v>45142</v>
      </c>
    </row>
    <row r="1039" spans="1:7" x14ac:dyDescent="0.35">
      <c r="A1039" s="2" t="s">
        <v>2981</v>
      </c>
      <c r="B1039" s="2" t="s">
        <v>2982</v>
      </c>
      <c r="C1039" s="2" t="s">
        <v>2983</v>
      </c>
      <c r="D1039" t="s">
        <v>6641</v>
      </c>
      <c r="E1039" t="s">
        <v>8278</v>
      </c>
      <c r="F1039" t="s">
        <v>0</v>
      </c>
      <c r="G1039" s="1">
        <f>DATE(2023,11,9)</f>
        <v>45239</v>
      </c>
    </row>
    <row r="1040" spans="1:7" x14ac:dyDescent="0.35">
      <c r="A1040" s="2" t="s">
        <v>2984</v>
      </c>
      <c r="B1040" s="2" t="s">
        <v>2985</v>
      </c>
      <c r="C1040" s="2" t="s">
        <v>2986</v>
      </c>
      <c r="D1040" t="s">
        <v>6642</v>
      </c>
      <c r="E1040" t="s">
        <v>8279</v>
      </c>
      <c r="F1040" t="s">
        <v>0</v>
      </c>
      <c r="G1040" s="1">
        <f>DATE(2023,11,24)</f>
        <v>45254</v>
      </c>
    </row>
    <row r="1041" spans="1:7" x14ac:dyDescent="0.35">
      <c r="A1041" s="2" t="s">
        <v>2987</v>
      </c>
      <c r="B1041" s="2" t="s">
        <v>2988</v>
      </c>
      <c r="C1041" s="2" t="s">
        <v>2989</v>
      </c>
      <c r="D1041" t="s">
        <v>6643</v>
      </c>
      <c r="E1041" t="s">
        <v>8280</v>
      </c>
      <c r="F1041" t="s">
        <v>0</v>
      </c>
      <c r="G1041" s="1">
        <f>DATE(2023,11,24)</f>
        <v>45254</v>
      </c>
    </row>
    <row r="1042" spans="1:7" x14ac:dyDescent="0.35">
      <c r="A1042" s="2" t="s">
        <v>2990</v>
      </c>
      <c r="B1042" s="2" t="s">
        <v>2991</v>
      </c>
      <c r="C1042" s="2" t="s">
        <v>2992</v>
      </c>
      <c r="D1042" t="s">
        <v>6644</v>
      </c>
      <c r="E1042" t="s">
        <v>8281</v>
      </c>
      <c r="F1042" t="s">
        <v>0</v>
      </c>
      <c r="G1042" s="1">
        <f>DATE(2023,9,29)</f>
        <v>45198</v>
      </c>
    </row>
    <row r="1043" spans="1:7" x14ac:dyDescent="0.35">
      <c r="A1043" s="2" t="s">
        <v>2993</v>
      </c>
      <c r="B1043" s="2" t="s">
        <v>2994</v>
      </c>
      <c r="C1043" s="2" t="s">
        <v>2995</v>
      </c>
      <c r="D1043" t="s">
        <v>6645</v>
      </c>
      <c r="E1043" t="s">
        <v>8282</v>
      </c>
      <c r="F1043" t="s">
        <v>0</v>
      </c>
      <c r="G1043" s="1">
        <f>DATE(2023,8,4)</f>
        <v>45142</v>
      </c>
    </row>
    <row r="1044" spans="1:7" x14ac:dyDescent="0.35">
      <c r="A1044" s="2" t="s">
        <v>2996</v>
      </c>
      <c r="B1044" s="2" t="s">
        <v>2997</v>
      </c>
      <c r="C1044" s="2" t="s">
        <v>2998</v>
      </c>
      <c r="D1044" t="s">
        <v>6646</v>
      </c>
      <c r="E1044" t="s">
        <v>8283</v>
      </c>
      <c r="F1044" t="s">
        <v>0</v>
      </c>
      <c r="G1044" s="1">
        <f>DATE(2023,8,5)</f>
        <v>45143</v>
      </c>
    </row>
    <row r="1045" spans="1:7" x14ac:dyDescent="0.35">
      <c r="A1045" s="2" t="s">
        <v>2999</v>
      </c>
      <c r="B1045" s="2" t="s">
        <v>3000</v>
      </c>
      <c r="C1045" s="2" t="s">
        <v>3001</v>
      </c>
      <c r="D1045" t="s">
        <v>6647</v>
      </c>
      <c r="E1045" t="s">
        <v>8284</v>
      </c>
      <c r="F1045" t="s">
        <v>0</v>
      </c>
      <c r="G1045" s="1">
        <f>DATE(2023,8,4)</f>
        <v>45142</v>
      </c>
    </row>
    <row r="1046" spans="1:7" x14ac:dyDescent="0.35">
      <c r="A1046" s="2" t="s">
        <v>3002</v>
      </c>
      <c r="B1046" s="2" t="s">
        <v>3003</v>
      </c>
      <c r="C1046" s="2" t="s">
        <v>3004</v>
      </c>
      <c r="D1046" t="s">
        <v>6648</v>
      </c>
      <c r="E1046" t="s">
        <v>8285</v>
      </c>
      <c r="F1046" t="s">
        <v>0</v>
      </c>
      <c r="G1046" s="1">
        <f>DATE(2023,8,4)</f>
        <v>45142</v>
      </c>
    </row>
    <row r="1047" spans="1:7" x14ac:dyDescent="0.35">
      <c r="A1047" s="2" t="s">
        <v>3005</v>
      </c>
      <c r="B1047" s="2" t="s">
        <v>3006</v>
      </c>
      <c r="C1047" s="2" t="s">
        <v>3007</v>
      </c>
      <c r="D1047" t="s">
        <v>6649</v>
      </c>
      <c r="E1047" t="s">
        <v>8286</v>
      </c>
      <c r="F1047" t="s">
        <v>0</v>
      </c>
      <c r="G1047" s="1">
        <f>DATE(2023,10,12)</f>
        <v>45211</v>
      </c>
    </row>
    <row r="1048" spans="1:7" x14ac:dyDescent="0.35">
      <c r="A1048" s="2" t="s">
        <v>3008</v>
      </c>
      <c r="B1048" s="2" t="s">
        <v>3009</v>
      </c>
      <c r="C1048" s="2" t="s">
        <v>3010</v>
      </c>
      <c r="D1048" t="s">
        <v>6650</v>
      </c>
      <c r="E1048" t="s">
        <v>8287</v>
      </c>
      <c r="F1048" t="s">
        <v>0</v>
      </c>
      <c r="G1048" s="1">
        <f>DATE(2023,8,4)</f>
        <v>45142</v>
      </c>
    </row>
    <row r="1049" spans="1:7" x14ac:dyDescent="0.35">
      <c r="A1049" s="2" t="s">
        <v>3011</v>
      </c>
      <c r="B1049" s="2" t="s">
        <v>3012</v>
      </c>
      <c r="C1049" s="2" t="s">
        <v>3013</v>
      </c>
      <c r="D1049" t="s">
        <v>6651</v>
      </c>
      <c r="E1049" t="s">
        <v>8288</v>
      </c>
      <c r="F1049" t="s">
        <v>0</v>
      </c>
      <c r="G1049" s="1">
        <f>DATE(2023,9,13)</f>
        <v>45182</v>
      </c>
    </row>
    <row r="1050" spans="1:7" x14ac:dyDescent="0.35">
      <c r="A1050" s="2" t="s">
        <v>3014</v>
      </c>
      <c r="B1050" s="2" t="s">
        <v>3015</v>
      </c>
      <c r="C1050" s="2" t="s">
        <v>3016</v>
      </c>
      <c r="D1050" t="s">
        <v>6652</v>
      </c>
      <c r="E1050" t="s">
        <v>8289</v>
      </c>
      <c r="F1050" t="s">
        <v>0</v>
      </c>
      <c r="G1050" s="1">
        <f>DATE(2023,11,24)</f>
        <v>45254</v>
      </c>
    </row>
    <row r="1051" spans="1:7" x14ac:dyDescent="0.35">
      <c r="A1051" s="2" t="s">
        <v>3017</v>
      </c>
      <c r="B1051" s="2" t="s">
        <v>3018</v>
      </c>
      <c r="C1051" s="2" t="s">
        <v>3019</v>
      </c>
      <c r="D1051" t="s">
        <v>6653</v>
      </c>
      <c r="E1051" t="s">
        <v>8290</v>
      </c>
      <c r="F1051" t="s">
        <v>0</v>
      </c>
      <c r="G1051" s="1">
        <f>DATE(2023,11,24)</f>
        <v>45254</v>
      </c>
    </row>
    <row r="1052" spans="1:7" x14ac:dyDescent="0.35">
      <c r="A1052" s="2" t="s">
        <v>3020</v>
      </c>
      <c r="B1052" s="2" t="s">
        <v>3021</v>
      </c>
      <c r="C1052" s="2" t="s">
        <v>3022</v>
      </c>
      <c r="D1052" t="s">
        <v>6654</v>
      </c>
      <c r="E1052" t="s">
        <v>8291</v>
      </c>
      <c r="F1052" t="s">
        <v>0</v>
      </c>
      <c r="G1052" s="1">
        <f>DATE(2023,11,6)</f>
        <v>45236</v>
      </c>
    </row>
    <row r="1053" spans="1:7" x14ac:dyDescent="0.35">
      <c r="A1053" s="2" t="s">
        <v>3023</v>
      </c>
      <c r="B1053" s="2" t="s">
        <v>3024</v>
      </c>
      <c r="C1053" s="2" t="s">
        <v>3025</v>
      </c>
      <c r="D1053" t="s">
        <v>6655</v>
      </c>
      <c r="E1053" t="s">
        <v>8292</v>
      </c>
      <c r="F1053" t="s">
        <v>0</v>
      </c>
      <c r="G1053" s="1">
        <f>DATE(2024,1,19)</f>
        <v>45310</v>
      </c>
    </row>
    <row r="1054" spans="1:7" x14ac:dyDescent="0.35">
      <c r="A1054" s="2" t="s">
        <v>3026</v>
      </c>
      <c r="B1054" s="2" t="s">
        <v>3027</v>
      </c>
      <c r="C1054" s="2" t="s">
        <v>3028</v>
      </c>
      <c r="D1054" t="s">
        <v>6656</v>
      </c>
      <c r="E1054" t="s">
        <v>8293</v>
      </c>
      <c r="F1054" t="s">
        <v>0</v>
      </c>
      <c r="G1054" s="1">
        <f>DATE(2023,8,4)</f>
        <v>45142</v>
      </c>
    </row>
    <row r="1055" spans="1:7" x14ac:dyDescent="0.35">
      <c r="A1055" s="2" t="s">
        <v>3029</v>
      </c>
      <c r="B1055" s="2" t="s">
        <v>3030</v>
      </c>
      <c r="C1055" s="2" t="s">
        <v>3031</v>
      </c>
      <c r="D1055" t="s">
        <v>6657</v>
      </c>
      <c r="E1055" t="s">
        <v>8294</v>
      </c>
      <c r="F1055" t="s">
        <v>0</v>
      </c>
      <c r="G1055" s="1">
        <f>DATE(2023,8,4)</f>
        <v>45142</v>
      </c>
    </row>
    <row r="1056" spans="1:7" x14ac:dyDescent="0.35">
      <c r="A1056" s="2" t="s">
        <v>3032</v>
      </c>
      <c r="B1056" s="2" t="s">
        <v>3033</v>
      </c>
      <c r="C1056" s="2" t="s">
        <v>3034</v>
      </c>
      <c r="D1056" t="s">
        <v>6658</v>
      </c>
      <c r="E1056" t="s">
        <v>8295</v>
      </c>
      <c r="F1056" t="s">
        <v>0</v>
      </c>
      <c r="G1056" s="1">
        <f>DATE(2023,11,29)</f>
        <v>45259</v>
      </c>
    </row>
    <row r="1057" spans="1:7" x14ac:dyDescent="0.35">
      <c r="A1057" s="2" t="s">
        <v>3035</v>
      </c>
      <c r="B1057" s="2" t="s">
        <v>3036</v>
      </c>
      <c r="C1057" s="2" t="s">
        <v>3037</v>
      </c>
      <c r="D1057" t="s">
        <v>6659</v>
      </c>
      <c r="E1057" t="s">
        <v>8296</v>
      </c>
      <c r="F1057" t="s">
        <v>0</v>
      </c>
      <c r="G1057" s="1">
        <f>DATE(2023,8,4)</f>
        <v>45142</v>
      </c>
    </row>
    <row r="1058" spans="1:7" x14ac:dyDescent="0.35">
      <c r="A1058" s="2" t="s">
        <v>3038</v>
      </c>
      <c r="B1058" s="2" t="s">
        <v>3039</v>
      </c>
      <c r="C1058" s="2" t="s">
        <v>3040</v>
      </c>
      <c r="D1058" t="s">
        <v>6660</v>
      </c>
      <c r="E1058" t="s">
        <v>8297</v>
      </c>
      <c r="F1058" t="s">
        <v>0</v>
      </c>
      <c r="G1058" s="1">
        <f>DATE(2023,9,13)</f>
        <v>45182</v>
      </c>
    </row>
    <row r="1059" spans="1:7" x14ac:dyDescent="0.35">
      <c r="A1059" s="2" t="s">
        <v>3041</v>
      </c>
      <c r="B1059" s="2" t="s">
        <v>3042</v>
      </c>
      <c r="C1059" s="2" t="s">
        <v>3043</v>
      </c>
      <c r="D1059" t="s">
        <v>6661</v>
      </c>
      <c r="E1059" t="s">
        <v>8298</v>
      </c>
      <c r="F1059" t="s">
        <v>0</v>
      </c>
      <c r="G1059" s="1">
        <f>DATE(2023,8,4)</f>
        <v>45142</v>
      </c>
    </row>
    <row r="1060" spans="1:7" x14ac:dyDescent="0.35">
      <c r="A1060" s="2" t="s">
        <v>3044</v>
      </c>
      <c r="B1060" s="2" t="s">
        <v>3045</v>
      </c>
      <c r="C1060" s="2" t="s">
        <v>3046</v>
      </c>
      <c r="D1060" t="s">
        <v>6662</v>
      </c>
      <c r="E1060" t="s">
        <v>8299</v>
      </c>
      <c r="F1060" t="s">
        <v>0</v>
      </c>
      <c r="G1060" s="1">
        <f>DATE(2023,9,22)</f>
        <v>45191</v>
      </c>
    </row>
    <row r="1061" spans="1:7" x14ac:dyDescent="0.35">
      <c r="A1061" s="2" t="s">
        <v>3047</v>
      </c>
      <c r="B1061" s="2" t="s">
        <v>3048</v>
      </c>
      <c r="C1061" s="2" t="s">
        <v>3049</v>
      </c>
      <c r="D1061" t="s">
        <v>6663</v>
      </c>
      <c r="E1061" t="s">
        <v>8300</v>
      </c>
      <c r="F1061" t="s">
        <v>0</v>
      </c>
      <c r="G1061" s="1">
        <f>DATE(2023,8,4)</f>
        <v>45142</v>
      </c>
    </row>
    <row r="1062" spans="1:7" x14ac:dyDescent="0.35">
      <c r="A1062" s="2" t="s">
        <v>3050</v>
      </c>
      <c r="B1062" s="2" t="s">
        <v>3051</v>
      </c>
      <c r="C1062" s="2" t="s">
        <v>3052</v>
      </c>
      <c r="D1062" t="s">
        <v>6664</v>
      </c>
      <c r="E1062" t="s">
        <v>8301</v>
      </c>
      <c r="F1062" t="s">
        <v>0</v>
      </c>
      <c r="G1062" s="1">
        <f>DATE(2023,8,4)</f>
        <v>45142</v>
      </c>
    </row>
    <row r="1063" spans="1:7" x14ac:dyDescent="0.35">
      <c r="A1063" s="2" t="s">
        <v>3053</v>
      </c>
      <c r="B1063" s="2" t="s">
        <v>3054</v>
      </c>
      <c r="C1063" s="2" t="s">
        <v>3055</v>
      </c>
      <c r="D1063" t="s">
        <v>6665</v>
      </c>
      <c r="E1063" t="s">
        <v>8302</v>
      </c>
      <c r="F1063" t="s">
        <v>0</v>
      </c>
      <c r="G1063" s="1">
        <f>DATE(2023,11,29)</f>
        <v>45259</v>
      </c>
    </row>
    <row r="1064" spans="1:7" x14ac:dyDescent="0.35">
      <c r="A1064" s="2" t="s">
        <v>3056</v>
      </c>
      <c r="B1064" s="2" t="s">
        <v>3057</v>
      </c>
      <c r="C1064" s="2" t="s">
        <v>3058</v>
      </c>
      <c r="D1064" t="s">
        <v>6666</v>
      </c>
      <c r="E1064" t="s">
        <v>8303</v>
      </c>
      <c r="F1064" t="s">
        <v>0</v>
      </c>
      <c r="G1064" s="1">
        <f>DATE(2023,12,18)</f>
        <v>45278</v>
      </c>
    </row>
    <row r="1065" spans="1:7" x14ac:dyDescent="0.35">
      <c r="A1065" s="2" t="s">
        <v>3059</v>
      </c>
      <c r="B1065" s="2" t="s">
        <v>3060</v>
      </c>
      <c r="C1065" s="2" t="s">
        <v>3061</v>
      </c>
      <c r="D1065" t="s">
        <v>6667</v>
      </c>
      <c r="E1065" t="s">
        <v>8304</v>
      </c>
      <c r="F1065" t="s">
        <v>0</v>
      </c>
      <c r="G1065" s="1">
        <f>DATE(2023,8,4)</f>
        <v>45142</v>
      </c>
    </row>
    <row r="1066" spans="1:7" x14ac:dyDescent="0.35">
      <c r="A1066" s="2" t="s">
        <v>3062</v>
      </c>
      <c r="B1066" s="2" t="s">
        <v>3063</v>
      </c>
      <c r="C1066" s="2" t="s">
        <v>3064</v>
      </c>
      <c r="D1066" t="s">
        <v>6668</v>
      </c>
      <c r="E1066" t="s">
        <v>8305</v>
      </c>
      <c r="F1066" t="s">
        <v>0</v>
      </c>
      <c r="G1066" s="1">
        <f>DATE(2024,1,5)</f>
        <v>45296</v>
      </c>
    </row>
    <row r="1067" spans="1:7" x14ac:dyDescent="0.35">
      <c r="A1067" s="2" t="s">
        <v>3065</v>
      </c>
      <c r="B1067" s="2" t="s">
        <v>3066</v>
      </c>
      <c r="C1067" s="2" t="s">
        <v>3067</v>
      </c>
      <c r="D1067" t="s">
        <v>6669</v>
      </c>
      <c r="E1067" t="s">
        <v>8306</v>
      </c>
      <c r="F1067" t="s">
        <v>0</v>
      </c>
      <c r="G1067" s="1">
        <f>DATE(2023,8,4)</f>
        <v>45142</v>
      </c>
    </row>
    <row r="1068" spans="1:7" x14ac:dyDescent="0.35">
      <c r="A1068" s="2" t="s">
        <v>3068</v>
      </c>
      <c r="B1068" s="2" t="s">
        <v>3069</v>
      </c>
      <c r="C1068" s="2" t="s">
        <v>3070</v>
      </c>
      <c r="D1068" t="s">
        <v>6670</v>
      </c>
      <c r="E1068" t="s">
        <v>8307</v>
      </c>
      <c r="F1068" t="s">
        <v>0</v>
      </c>
      <c r="G1068" s="1">
        <f>DATE(2023,12,18)</f>
        <v>45278</v>
      </c>
    </row>
    <row r="1069" spans="1:7" x14ac:dyDescent="0.35">
      <c r="A1069" s="2" t="s">
        <v>3071</v>
      </c>
      <c r="B1069" s="2" t="s">
        <v>3072</v>
      </c>
      <c r="C1069" s="2" t="s">
        <v>3073</v>
      </c>
      <c r="D1069" t="s">
        <v>6671</v>
      </c>
      <c r="E1069" t="s">
        <v>8308</v>
      </c>
      <c r="F1069" t="s">
        <v>0</v>
      </c>
      <c r="G1069" s="1">
        <f>DATE(2023,9,28)</f>
        <v>45197</v>
      </c>
    </row>
    <row r="1070" spans="1:7" x14ac:dyDescent="0.35">
      <c r="A1070" s="2" t="s">
        <v>3074</v>
      </c>
      <c r="B1070" s="2" t="s">
        <v>3075</v>
      </c>
      <c r="C1070" s="2" t="s">
        <v>3076</v>
      </c>
      <c r="D1070" t="s">
        <v>6672</v>
      </c>
      <c r="E1070" t="s">
        <v>8309</v>
      </c>
      <c r="F1070" t="s">
        <v>0</v>
      </c>
      <c r="G1070" s="1">
        <f>DATE(2023,8,4)</f>
        <v>45142</v>
      </c>
    </row>
    <row r="1071" spans="1:7" x14ac:dyDescent="0.35">
      <c r="A1071" s="2" t="s">
        <v>3077</v>
      </c>
      <c r="B1071" s="2" t="s">
        <v>3078</v>
      </c>
      <c r="C1071" s="2" t="s">
        <v>3079</v>
      </c>
      <c r="D1071" t="s">
        <v>6673</v>
      </c>
      <c r="E1071" t="s">
        <v>8310</v>
      </c>
      <c r="F1071" t="s">
        <v>0</v>
      </c>
      <c r="G1071" s="1">
        <f>DATE(2023,8,4)</f>
        <v>45142</v>
      </c>
    </row>
    <row r="1072" spans="1:7" x14ac:dyDescent="0.35">
      <c r="A1072" s="2" t="s">
        <v>3080</v>
      </c>
      <c r="B1072" s="2" t="s">
        <v>3081</v>
      </c>
      <c r="C1072" s="2" t="s">
        <v>3082</v>
      </c>
      <c r="D1072" t="s">
        <v>6674</v>
      </c>
      <c r="E1072" t="s">
        <v>8311</v>
      </c>
      <c r="F1072" t="s">
        <v>0</v>
      </c>
      <c r="G1072" s="1">
        <f>DATE(2023,11,29)</f>
        <v>45259</v>
      </c>
    </row>
    <row r="1073" spans="1:7" x14ac:dyDescent="0.35">
      <c r="A1073" s="2" t="s">
        <v>3083</v>
      </c>
      <c r="B1073" s="2" t="s">
        <v>3084</v>
      </c>
      <c r="C1073" s="2" t="s">
        <v>3085</v>
      </c>
      <c r="D1073" t="s">
        <v>6675</v>
      </c>
      <c r="E1073" t="s">
        <v>8312</v>
      </c>
      <c r="F1073" t="s">
        <v>0</v>
      </c>
      <c r="G1073" s="1">
        <f>DATE(2023,11,29)</f>
        <v>45259</v>
      </c>
    </row>
    <row r="1074" spans="1:7" x14ac:dyDescent="0.35">
      <c r="A1074" s="2" t="s">
        <v>3086</v>
      </c>
      <c r="B1074" s="2" t="s">
        <v>3087</v>
      </c>
      <c r="C1074" s="2" t="s">
        <v>3088</v>
      </c>
      <c r="D1074" t="s">
        <v>6676</v>
      </c>
      <c r="E1074" t="s">
        <v>8313</v>
      </c>
      <c r="F1074" t="s">
        <v>0</v>
      </c>
      <c r="G1074" s="1">
        <f>DATE(2023,11,29)</f>
        <v>45259</v>
      </c>
    </row>
    <row r="1075" spans="1:7" x14ac:dyDescent="0.35">
      <c r="A1075" s="2" t="s">
        <v>3089</v>
      </c>
      <c r="B1075" s="2" t="s">
        <v>3090</v>
      </c>
      <c r="C1075" s="2" t="s">
        <v>3091</v>
      </c>
      <c r="D1075" t="s">
        <v>6677</v>
      </c>
      <c r="E1075" t="s">
        <v>8314</v>
      </c>
      <c r="F1075" t="s">
        <v>0</v>
      </c>
      <c r="G1075" s="1">
        <f>DATE(2023,8,4)</f>
        <v>45142</v>
      </c>
    </row>
    <row r="1076" spans="1:7" x14ac:dyDescent="0.35">
      <c r="A1076" s="2" t="s">
        <v>3092</v>
      </c>
      <c r="B1076" s="2" t="s">
        <v>3093</v>
      </c>
      <c r="C1076" s="2" t="s">
        <v>3094</v>
      </c>
      <c r="D1076" t="s">
        <v>6678</v>
      </c>
      <c r="E1076" t="s">
        <v>8315</v>
      </c>
      <c r="F1076" t="s">
        <v>0</v>
      </c>
      <c r="G1076" s="1">
        <f>DATE(2023,8,4)</f>
        <v>45142</v>
      </c>
    </row>
    <row r="1077" spans="1:7" x14ac:dyDescent="0.35">
      <c r="A1077" s="2" t="s">
        <v>3095</v>
      </c>
      <c r="B1077" s="2" t="s">
        <v>3096</v>
      </c>
      <c r="C1077" s="2" t="s">
        <v>3097</v>
      </c>
      <c r="D1077" t="s">
        <v>6679</v>
      </c>
      <c r="E1077" t="s">
        <v>8316</v>
      </c>
      <c r="F1077" t="s">
        <v>0</v>
      </c>
      <c r="G1077" s="1">
        <f>DATE(2023,11,29)</f>
        <v>45259</v>
      </c>
    </row>
    <row r="1078" spans="1:7" x14ac:dyDescent="0.35">
      <c r="A1078" s="2" t="s">
        <v>3098</v>
      </c>
      <c r="B1078" s="2" t="s">
        <v>3099</v>
      </c>
      <c r="C1078" s="2" t="s">
        <v>3100</v>
      </c>
      <c r="D1078" t="s">
        <v>6680</v>
      </c>
      <c r="E1078" t="s">
        <v>8317</v>
      </c>
      <c r="F1078" t="s">
        <v>0</v>
      </c>
      <c r="G1078" s="1">
        <f>DATE(2023,8,4)</f>
        <v>45142</v>
      </c>
    </row>
    <row r="1079" spans="1:7" x14ac:dyDescent="0.35">
      <c r="A1079" s="2" t="s">
        <v>3101</v>
      </c>
      <c r="B1079" s="2" t="s">
        <v>3102</v>
      </c>
      <c r="C1079" s="2" t="s">
        <v>3103</v>
      </c>
      <c r="D1079" t="s">
        <v>6681</v>
      </c>
      <c r="E1079" t="s">
        <v>8318</v>
      </c>
      <c r="F1079" t="s">
        <v>0</v>
      </c>
      <c r="G1079" s="1">
        <f>DATE(2023,8,4)</f>
        <v>45142</v>
      </c>
    </row>
    <row r="1080" spans="1:7" x14ac:dyDescent="0.35">
      <c r="A1080" s="2" t="s">
        <v>3104</v>
      </c>
      <c r="B1080" s="2" t="s">
        <v>3105</v>
      </c>
      <c r="C1080" s="2" t="s">
        <v>3106</v>
      </c>
      <c r="D1080" t="s">
        <v>6682</v>
      </c>
      <c r="E1080" t="s">
        <v>8319</v>
      </c>
      <c r="F1080" t="s">
        <v>0</v>
      </c>
      <c r="G1080" s="1">
        <f>DATE(2023,11,29)</f>
        <v>45259</v>
      </c>
    </row>
    <row r="1081" spans="1:7" x14ac:dyDescent="0.35">
      <c r="A1081" s="2" t="s">
        <v>3107</v>
      </c>
      <c r="B1081" s="2" t="s">
        <v>3108</v>
      </c>
      <c r="C1081" s="2" t="s">
        <v>3109</v>
      </c>
      <c r="D1081" t="s">
        <v>6683</v>
      </c>
      <c r="E1081" t="s">
        <v>8320</v>
      </c>
      <c r="F1081" t="s">
        <v>0</v>
      </c>
      <c r="G1081" s="1">
        <f>DATE(2023,8,4)</f>
        <v>45142</v>
      </c>
    </row>
    <row r="1082" spans="1:7" x14ac:dyDescent="0.35">
      <c r="A1082" s="2" t="s">
        <v>3110</v>
      </c>
      <c r="B1082" s="2" t="s">
        <v>3111</v>
      </c>
      <c r="C1082" s="2" t="s">
        <v>3112</v>
      </c>
      <c r="D1082" t="s">
        <v>6684</v>
      </c>
      <c r="E1082" t="s">
        <v>8321</v>
      </c>
      <c r="F1082" t="s">
        <v>0</v>
      </c>
      <c r="G1082" s="1">
        <f>DATE(2023,8,4)</f>
        <v>45142</v>
      </c>
    </row>
    <row r="1083" spans="1:7" x14ac:dyDescent="0.35">
      <c r="A1083" s="2" t="s">
        <v>3113</v>
      </c>
      <c r="B1083" s="2" t="s">
        <v>3114</v>
      </c>
      <c r="C1083" s="2" t="s">
        <v>3115</v>
      </c>
      <c r="D1083" t="s">
        <v>6685</v>
      </c>
      <c r="E1083" t="s">
        <v>8322</v>
      </c>
      <c r="F1083" t="s">
        <v>0</v>
      </c>
      <c r="G1083" s="1">
        <f>DATE(2023,8,4)</f>
        <v>45142</v>
      </c>
    </row>
    <row r="1084" spans="1:7" x14ac:dyDescent="0.35">
      <c r="A1084" s="2" t="s">
        <v>3116</v>
      </c>
      <c r="B1084" s="2" t="s">
        <v>3117</v>
      </c>
      <c r="C1084" s="2" t="s">
        <v>3118</v>
      </c>
      <c r="D1084" t="s">
        <v>6686</v>
      </c>
      <c r="E1084" t="s">
        <v>8323</v>
      </c>
      <c r="F1084" t="s">
        <v>0</v>
      </c>
      <c r="G1084" s="1">
        <f>DATE(2023,11,29)</f>
        <v>45259</v>
      </c>
    </row>
    <row r="1085" spans="1:7" x14ac:dyDescent="0.35">
      <c r="A1085" s="2" t="s">
        <v>3119</v>
      </c>
      <c r="B1085" s="2" t="s">
        <v>3120</v>
      </c>
      <c r="C1085" s="2" t="s">
        <v>3121</v>
      </c>
      <c r="D1085" t="s">
        <v>6687</v>
      </c>
      <c r="E1085" t="s">
        <v>8324</v>
      </c>
      <c r="F1085" t="s">
        <v>0</v>
      </c>
      <c r="G1085" s="1">
        <f>DATE(2023,8,4)</f>
        <v>45142</v>
      </c>
    </row>
    <row r="1086" spans="1:7" x14ac:dyDescent="0.35">
      <c r="A1086" s="2" t="s">
        <v>3122</v>
      </c>
      <c r="B1086" s="2" t="s">
        <v>3123</v>
      </c>
      <c r="C1086" s="2" t="s">
        <v>3124</v>
      </c>
      <c r="D1086" t="s">
        <v>6688</v>
      </c>
      <c r="E1086" t="s">
        <v>8325</v>
      </c>
      <c r="F1086" t="s">
        <v>0</v>
      </c>
      <c r="G1086" s="1">
        <f>DATE(2023,8,4)</f>
        <v>45142</v>
      </c>
    </row>
    <row r="1087" spans="1:7" x14ac:dyDescent="0.35">
      <c r="A1087" s="2" t="s">
        <v>3125</v>
      </c>
      <c r="B1087" s="2" t="s">
        <v>3126</v>
      </c>
      <c r="C1087" s="2" t="s">
        <v>3127</v>
      </c>
      <c r="D1087" t="s">
        <v>6689</v>
      </c>
      <c r="E1087" t="s">
        <v>8326</v>
      </c>
      <c r="F1087" t="s">
        <v>0</v>
      </c>
      <c r="G1087" s="1">
        <f>DATE(2023,8,4)</f>
        <v>45142</v>
      </c>
    </row>
    <row r="1088" spans="1:7" x14ac:dyDescent="0.35">
      <c r="A1088" s="2" t="s">
        <v>3128</v>
      </c>
      <c r="B1088" s="2" t="s">
        <v>3129</v>
      </c>
      <c r="C1088" s="2" t="s">
        <v>3130</v>
      </c>
      <c r="D1088" t="s">
        <v>6690</v>
      </c>
      <c r="E1088" t="s">
        <v>8327</v>
      </c>
      <c r="F1088" t="s">
        <v>0</v>
      </c>
      <c r="G1088" s="1">
        <f>DATE(2023,9,13)</f>
        <v>45182</v>
      </c>
    </row>
    <row r="1089" spans="1:7" x14ac:dyDescent="0.35">
      <c r="A1089" s="2" t="s">
        <v>3131</v>
      </c>
      <c r="B1089" s="2" t="s">
        <v>3132</v>
      </c>
      <c r="C1089" s="2" t="s">
        <v>3133</v>
      </c>
      <c r="D1089" t="s">
        <v>6691</v>
      </c>
      <c r="E1089" t="s">
        <v>8328</v>
      </c>
      <c r="F1089" t="s">
        <v>0</v>
      </c>
      <c r="G1089" s="1">
        <f>DATE(2023,8,4)</f>
        <v>45142</v>
      </c>
    </row>
    <row r="1090" spans="1:7" x14ac:dyDescent="0.35">
      <c r="A1090" s="2" t="s">
        <v>3134</v>
      </c>
      <c r="B1090" s="2" t="s">
        <v>3135</v>
      </c>
      <c r="C1090" s="2" t="s">
        <v>3136</v>
      </c>
      <c r="D1090" t="s">
        <v>6692</v>
      </c>
      <c r="E1090" t="s">
        <v>8329</v>
      </c>
      <c r="F1090" t="s">
        <v>0</v>
      </c>
      <c r="G1090" s="1">
        <f>DATE(2023,8,4)</f>
        <v>45142</v>
      </c>
    </row>
    <row r="1091" spans="1:7" x14ac:dyDescent="0.35">
      <c r="A1091" s="2" t="s">
        <v>3137</v>
      </c>
      <c r="B1091" s="2" t="s">
        <v>3138</v>
      </c>
      <c r="C1091" s="2" t="s">
        <v>3139</v>
      </c>
      <c r="D1091" t="s">
        <v>6693</v>
      </c>
      <c r="E1091" t="s">
        <v>8330</v>
      </c>
      <c r="F1091" t="s">
        <v>0</v>
      </c>
      <c r="G1091" s="1">
        <f>DATE(2023,11,29)</f>
        <v>45259</v>
      </c>
    </row>
    <row r="1092" spans="1:7" x14ac:dyDescent="0.35">
      <c r="A1092" s="2" t="s">
        <v>3140</v>
      </c>
      <c r="B1092" s="2" t="s">
        <v>3141</v>
      </c>
      <c r="C1092" s="2" t="s">
        <v>3142</v>
      </c>
      <c r="D1092" t="s">
        <v>6694</v>
      </c>
      <c r="E1092" t="s">
        <v>8331</v>
      </c>
      <c r="F1092" t="s">
        <v>0</v>
      </c>
      <c r="G1092" s="1">
        <f>DATE(2023,8,4)</f>
        <v>45142</v>
      </c>
    </row>
    <row r="1093" spans="1:7" x14ac:dyDescent="0.35">
      <c r="A1093" s="2" t="s">
        <v>3143</v>
      </c>
      <c r="B1093" s="2" t="s">
        <v>3144</v>
      </c>
      <c r="C1093" s="2" t="s">
        <v>3145</v>
      </c>
      <c r="D1093" t="s">
        <v>6695</v>
      </c>
      <c r="E1093" t="s">
        <v>8332</v>
      </c>
      <c r="F1093" t="s">
        <v>0</v>
      </c>
      <c r="G1093" s="1">
        <f>DATE(2023,8,4)</f>
        <v>45142</v>
      </c>
    </row>
    <row r="1094" spans="1:7" x14ac:dyDescent="0.35">
      <c r="A1094" s="2" t="s">
        <v>3146</v>
      </c>
      <c r="B1094" s="2" t="s">
        <v>3147</v>
      </c>
      <c r="C1094" s="2" t="s">
        <v>3148</v>
      </c>
      <c r="D1094" t="s">
        <v>6696</v>
      </c>
      <c r="E1094" t="s">
        <v>8333</v>
      </c>
      <c r="F1094" t="s">
        <v>0</v>
      </c>
      <c r="G1094" s="1">
        <f>DATE(2023,8,4)</f>
        <v>45142</v>
      </c>
    </row>
    <row r="1095" spans="1:7" x14ac:dyDescent="0.35">
      <c r="A1095" s="2" t="s">
        <v>3149</v>
      </c>
      <c r="B1095" s="2" t="s">
        <v>3150</v>
      </c>
      <c r="C1095" s="2" t="s">
        <v>3151</v>
      </c>
      <c r="D1095" t="s">
        <v>6697</v>
      </c>
      <c r="E1095" t="s">
        <v>8334</v>
      </c>
      <c r="F1095" t="s">
        <v>0</v>
      </c>
      <c r="G1095" s="1">
        <f>DATE(2023,9,13)</f>
        <v>45182</v>
      </c>
    </row>
    <row r="1096" spans="1:7" x14ac:dyDescent="0.35">
      <c r="A1096" s="2" t="s">
        <v>3152</v>
      </c>
      <c r="B1096" s="2" t="s">
        <v>3153</v>
      </c>
      <c r="C1096" s="2" t="s">
        <v>3154</v>
      </c>
      <c r="D1096" t="s">
        <v>6698</v>
      </c>
      <c r="E1096" t="s">
        <v>8335</v>
      </c>
      <c r="F1096" t="s">
        <v>0</v>
      </c>
      <c r="G1096" s="1">
        <f>DATE(2023,8,4)</f>
        <v>45142</v>
      </c>
    </row>
    <row r="1097" spans="1:7" x14ac:dyDescent="0.35">
      <c r="A1097" s="2" t="s">
        <v>3155</v>
      </c>
      <c r="B1097" s="2" t="s">
        <v>3156</v>
      </c>
      <c r="C1097" s="2" t="s">
        <v>3157</v>
      </c>
      <c r="D1097" t="s">
        <v>6699</v>
      </c>
      <c r="E1097" t="s">
        <v>8336</v>
      </c>
      <c r="F1097" t="s">
        <v>0</v>
      </c>
      <c r="G1097" s="1">
        <f>DATE(2023,11,29)</f>
        <v>45259</v>
      </c>
    </row>
    <row r="1098" spans="1:7" x14ac:dyDescent="0.35">
      <c r="A1098" s="2" t="s">
        <v>3158</v>
      </c>
      <c r="B1098" s="2" t="s">
        <v>3159</v>
      </c>
      <c r="C1098" s="2" t="s">
        <v>3160</v>
      </c>
      <c r="D1098" t="s">
        <v>6700</v>
      </c>
      <c r="E1098" t="s">
        <v>8337</v>
      </c>
      <c r="F1098" t="s">
        <v>0</v>
      </c>
      <c r="G1098" s="1">
        <f>DATE(2023,12,18)</f>
        <v>45278</v>
      </c>
    </row>
    <row r="1099" spans="1:7" x14ac:dyDescent="0.35">
      <c r="A1099" s="2" t="s">
        <v>3161</v>
      </c>
      <c r="B1099" s="2" t="s">
        <v>3162</v>
      </c>
      <c r="C1099" s="2" t="s">
        <v>3163</v>
      </c>
      <c r="D1099" t="s">
        <v>6701</v>
      </c>
      <c r="E1099" t="s">
        <v>8338</v>
      </c>
      <c r="F1099" t="s">
        <v>0</v>
      </c>
      <c r="G1099" s="1">
        <f>DATE(2023,8,4)</f>
        <v>45142</v>
      </c>
    </row>
    <row r="1100" spans="1:7" x14ac:dyDescent="0.35">
      <c r="A1100" s="2" t="s">
        <v>3164</v>
      </c>
      <c r="B1100" s="2" t="s">
        <v>3165</v>
      </c>
      <c r="C1100" s="2" t="s">
        <v>3166</v>
      </c>
      <c r="D1100" t="s">
        <v>6702</v>
      </c>
      <c r="E1100" t="s">
        <v>8339</v>
      </c>
      <c r="F1100" t="s">
        <v>0</v>
      </c>
      <c r="G1100" s="1">
        <f>DATE(2023,8,4)</f>
        <v>45142</v>
      </c>
    </row>
    <row r="1101" spans="1:7" x14ac:dyDescent="0.35">
      <c r="A1101" s="2" t="s">
        <v>3167</v>
      </c>
      <c r="B1101" s="2" t="s">
        <v>3168</v>
      </c>
      <c r="C1101" s="2" t="s">
        <v>3169</v>
      </c>
      <c r="D1101" t="s">
        <v>6703</v>
      </c>
      <c r="E1101" t="s">
        <v>8340</v>
      </c>
      <c r="F1101" t="s">
        <v>0</v>
      </c>
      <c r="G1101" s="1">
        <f>DATE(2023,12,18)</f>
        <v>45278</v>
      </c>
    </row>
    <row r="1102" spans="1:7" x14ac:dyDescent="0.35">
      <c r="A1102" s="2" t="s">
        <v>3170</v>
      </c>
      <c r="B1102" s="2" t="s">
        <v>3171</v>
      </c>
      <c r="C1102" s="2" t="s">
        <v>3172</v>
      </c>
      <c r="D1102" t="s">
        <v>6704</v>
      </c>
      <c r="E1102" t="s">
        <v>8341</v>
      </c>
      <c r="F1102" t="s">
        <v>0</v>
      </c>
      <c r="G1102" s="1">
        <f>DATE(2023,8,21)</f>
        <v>45159</v>
      </c>
    </row>
    <row r="1103" spans="1:7" x14ac:dyDescent="0.35">
      <c r="A1103" s="2" t="s">
        <v>3173</v>
      </c>
      <c r="B1103" s="2" t="s">
        <v>3174</v>
      </c>
      <c r="C1103" s="2" t="s">
        <v>3175</v>
      </c>
      <c r="D1103" t="s">
        <v>6705</v>
      </c>
      <c r="E1103" t="s">
        <v>8342</v>
      </c>
      <c r="F1103" t="s">
        <v>0</v>
      </c>
      <c r="G1103" s="1">
        <f>DATE(2023,8,4)</f>
        <v>45142</v>
      </c>
    </row>
    <row r="1104" spans="1:7" x14ac:dyDescent="0.35">
      <c r="A1104" s="2" t="s">
        <v>3176</v>
      </c>
      <c r="B1104" s="2" t="s">
        <v>3177</v>
      </c>
      <c r="C1104" s="2" t="s">
        <v>3178</v>
      </c>
      <c r="D1104" t="s">
        <v>6706</v>
      </c>
      <c r="E1104" t="s">
        <v>8343</v>
      </c>
      <c r="F1104" t="s">
        <v>0</v>
      </c>
      <c r="G1104" s="1">
        <f>DATE(2023,11,2)</f>
        <v>45232</v>
      </c>
    </row>
    <row r="1105" spans="1:7" x14ac:dyDescent="0.35">
      <c r="A1105" s="2" t="s">
        <v>3179</v>
      </c>
      <c r="B1105" s="2" t="s">
        <v>3180</v>
      </c>
      <c r="C1105" s="2" t="s">
        <v>3181</v>
      </c>
      <c r="D1105" t="s">
        <v>6707</v>
      </c>
      <c r="E1105" t="s">
        <v>8344</v>
      </c>
      <c r="F1105" t="s">
        <v>0</v>
      </c>
      <c r="G1105" s="1">
        <f>DATE(2023,9,13)</f>
        <v>45182</v>
      </c>
    </row>
    <row r="1106" spans="1:7" x14ac:dyDescent="0.35">
      <c r="A1106" s="2" t="s">
        <v>3182</v>
      </c>
      <c r="B1106" s="2" t="s">
        <v>3183</v>
      </c>
      <c r="C1106" s="2" t="s">
        <v>3184</v>
      </c>
      <c r="D1106" t="s">
        <v>6708</v>
      </c>
      <c r="E1106" t="s">
        <v>8345</v>
      </c>
      <c r="F1106" t="s">
        <v>0</v>
      </c>
      <c r="G1106" s="1">
        <f>DATE(2023,11,29)</f>
        <v>45259</v>
      </c>
    </row>
    <row r="1107" spans="1:7" x14ac:dyDescent="0.35">
      <c r="A1107" s="2" t="s">
        <v>3185</v>
      </c>
      <c r="B1107" s="2" t="s">
        <v>3186</v>
      </c>
      <c r="C1107" s="2" t="s">
        <v>3187</v>
      </c>
      <c r="D1107" t="s">
        <v>6709</v>
      </c>
      <c r="E1107" t="s">
        <v>8346</v>
      </c>
      <c r="F1107" t="s">
        <v>0</v>
      </c>
      <c r="G1107" s="1">
        <f>DATE(2023,8,4)</f>
        <v>45142</v>
      </c>
    </row>
    <row r="1108" spans="1:7" x14ac:dyDescent="0.35">
      <c r="A1108" s="2" t="s">
        <v>3188</v>
      </c>
      <c r="B1108" s="2" t="s">
        <v>3189</v>
      </c>
      <c r="C1108" s="2" t="s">
        <v>3190</v>
      </c>
      <c r="D1108" t="s">
        <v>6710</v>
      </c>
      <c r="E1108" t="s">
        <v>8347</v>
      </c>
      <c r="F1108" t="s">
        <v>0</v>
      </c>
      <c r="G1108" s="1">
        <f>DATE(2023,11,29)</f>
        <v>45259</v>
      </c>
    </row>
    <row r="1109" spans="1:7" x14ac:dyDescent="0.35">
      <c r="A1109" s="2" t="s">
        <v>3191</v>
      </c>
      <c r="B1109" s="2" t="s">
        <v>3192</v>
      </c>
      <c r="C1109" s="2" t="s">
        <v>3193</v>
      </c>
      <c r="D1109" t="s">
        <v>6711</v>
      </c>
      <c r="E1109" t="s">
        <v>8348</v>
      </c>
      <c r="F1109" t="s">
        <v>0</v>
      </c>
      <c r="G1109" s="1">
        <f>DATE(2023,8,4)</f>
        <v>45142</v>
      </c>
    </row>
    <row r="1110" spans="1:7" x14ac:dyDescent="0.35">
      <c r="A1110" s="2" t="s">
        <v>3194</v>
      </c>
      <c r="B1110" s="2" t="s">
        <v>3195</v>
      </c>
      <c r="C1110" s="2" t="s">
        <v>3196</v>
      </c>
      <c r="D1110" t="s">
        <v>6712</v>
      </c>
      <c r="E1110" t="s">
        <v>8349</v>
      </c>
      <c r="F1110" t="s">
        <v>0</v>
      </c>
      <c r="G1110" s="1">
        <f>DATE(2023,11,29)</f>
        <v>45259</v>
      </c>
    </row>
    <row r="1111" spans="1:7" x14ac:dyDescent="0.35">
      <c r="A1111" s="2" t="s">
        <v>3197</v>
      </c>
      <c r="B1111" s="2" t="s">
        <v>3198</v>
      </c>
      <c r="C1111" s="2" t="s">
        <v>3199</v>
      </c>
      <c r="D1111" t="s">
        <v>6713</v>
      </c>
      <c r="E1111" t="s">
        <v>8350</v>
      </c>
      <c r="F1111" t="s">
        <v>0</v>
      </c>
      <c r="G1111" s="1">
        <f>DATE(2024,1,5)</f>
        <v>45296</v>
      </c>
    </row>
    <row r="1112" spans="1:7" x14ac:dyDescent="0.35">
      <c r="A1112" s="2" t="s">
        <v>3200</v>
      </c>
      <c r="B1112" s="2" t="s">
        <v>3201</v>
      </c>
      <c r="C1112" s="2" t="s">
        <v>3202</v>
      </c>
      <c r="D1112" t="s">
        <v>6714</v>
      </c>
      <c r="E1112" t="s">
        <v>8351</v>
      </c>
      <c r="F1112" t="s">
        <v>0</v>
      </c>
      <c r="G1112" s="1">
        <f>DATE(2023,9,13)</f>
        <v>45182</v>
      </c>
    </row>
    <row r="1113" spans="1:7" x14ac:dyDescent="0.35">
      <c r="A1113" s="2" t="s">
        <v>3203</v>
      </c>
      <c r="B1113" s="2" t="s">
        <v>3204</v>
      </c>
      <c r="C1113" s="2" t="s">
        <v>3205</v>
      </c>
      <c r="D1113" t="s">
        <v>6715</v>
      </c>
      <c r="E1113" t="s">
        <v>8352</v>
      </c>
      <c r="F1113" t="s">
        <v>0</v>
      </c>
      <c r="G1113" s="1">
        <f>DATE(2023,8,4)</f>
        <v>45142</v>
      </c>
    </row>
    <row r="1114" spans="1:7" x14ac:dyDescent="0.35">
      <c r="A1114" s="2" t="s">
        <v>3206</v>
      </c>
      <c r="B1114" s="2" t="s">
        <v>3207</v>
      </c>
      <c r="C1114" s="2" t="s">
        <v>3208</v>
      </c>
      <c r="D1114" t="s">
        <v>6716</v>
      </c>
      <c r="E1114" t="s">
        <v>8353</v>
      </c>
      <c r="F1114" t="s">
        <v>0</v>
      </c>
      <c r="G1114" s="1">
        <f>DATE(2023,11,29)</f>
        <v>45259</v>
      </c>
    </row>
    <row r="1115" spans="1:7" x14ac:dyDescent="0.35">
      <c r="A1115" s="2" t="s">
        <v>3209</v>
      </c>
      <c r="B1115" s="2" t="s">
        <v>3210</v>
      </c>
      <c r="C1115" s="2" t="s">
        <v>3211</v>
      </c>
      <c r="D1115" t="s">
        <v>6717</v>
      </c>
      <c r="E1115" t="s">
        <v>8354</v>
      </c>
      <c r="F1115" t="s">
        <v>0</v>
      </c>
      <c r="G1115" s="1">
        <f t="shared" ref="G1115:G1121" si="4">DATE(2023,8,4)</f>
        <v>45142</v>
      </c>
    </row>
    <row r="1116" spans="1:7" x14ac:dyDescent="0.35">
      <c r="A1116" s="2" t="s">
        <v>3212</v>
      </c>
      <c r="B1116" s="2" t="s">
        <v>3213</v>
      </c>
      <c r="C1116" s="2" t="s">
        <v>3214</v>
      </c>
      <c r="D1116" t="s">
        <v>6718</v>
      </c>
      <c r="E1116" t="s">
        <v>8355</v>
      </c>
      <c r="F1116" t="s">
        <v>0</v>
      </c>
      <c r="G1116" s="1">
        <f t="shared" si="4"/>
        <v>45142</v>
      </c>
    </row>
    <row r="1117" spans="1:7" x14ac:dyDescent="0.35">
      <c r="A1117" s="2" t="s">
        <v>3215</v>
      </c>
      <c r="B1117" s="2" t="s">
        <v>3216</v>
      </c>
      <c r="C1117" s="2" t="s">
        <v>3217</v>
      </c>
      <c r="D1117" t="s">
        <v>6719</v>
      </c>
      <c r="E1117" t="s">
        <v>8356</v>
      </c>
      <c r="F1117" t="s">
        <v>0</v>
      </c>
      <c r="G1117" s="1">
        <f t="shared" si="4"/>
        <v>45142</v>
      </c>
    </row>
    <row r="1118" spans="1:7" x14ac:dyDescent="0.35">
      <c r="A1118" s="2" t="s">
        <v>3218</v>
      </c>
      <c r="B1118" s="2" t="s">
        <v>3219</v>
      </c>
      <c r="C1118" s="2" t="s">
        <v>3220</v>
      </c>
      <c r="D1118" t="s">
        <v>6720</v>
      </c>
      <c r="E1118" t="s">
        <v>8357</v>
      </c>
      <c r="F1118" t="s">
        <v>0</v>
      </c>
      <c r="G1118" s="1">
        <f t="shared" si="4"/>
        <v>45142</v>
      </c>
    </row>
    <row r="1119" spans="1:7" x14ac:dyDescent="0.35">
      <c r="A1119" s="2" t="s">
        <v>3221</v>
      </c>
      <c r="B1119" s="2" t="s">
        <v>3222</v>
      </c>
      <c r="C1119" s="2" t="s">
        <v>3223</v>
      </c>
      <c r="D1119" t="s">
        <v>6721</v>
      </c>
      <c r="E1119" t="s">
        <v>8358</v>
      </c>
      <c r="F1119" t="s">
        <v>0</v>
      </c>
      <c r="G1119" s="1">
        <f t="shared" si="4"/>
        <v>45142</v>
      </c>
    </row>
    <row r="1120" spans="1:7" x14ac:dyDescent="0.35">
      <c r="A1120" s="2" t="s">
        <v>3224</v>
      </c>
      <c r="B1120" s="2" t="s">
        <v>3225</v>
      </c>
      <c r="C1120" s="2" t="s">
        <v>3226</v>
      </c>
      <c r="D1120" t="s">
        <v>6722</v>
      </c>
      <c r="E1120" t="s">
        <v>8359</v>
      </c>
      <c r="F1120" t="s">
        <v>0</v>
      </c>
      <c r="G1120" s="1">
        <f t="shared" si="4"/>
        <v>45142</v>
      </c>
    </row>
    <row r="1121" spans="1:7" x14ac:dyDescent="0.35">
      <c r="A1121" s="2" t="s">
        <v>3227</v>
      </c>
      <c r="B1121" s="2" t="s">
        <v>3228</v>
      </c>
      <c r="C1121" s="2" t="s">
        <v>3229</v>
      </c>
      <c r="D1121" t="s">
        <v>6723</v>
      </c>
      <c r="E1121" t="s">
        <v>8360</v>
      </c>
      <c r="F1121" t="s">
        <v>0</v>
      </c>
      <c r="G1121" s="1">
        <f t="shared" si="4"/>
        <v>45142</v>
      </c>
    </row>
    <row r="1122" spans="1:7" x14ac:dyDescent="0.35">
      <c r="A1122" s="2" t="s">
        <v>3230</v>
      </c>
      <c r="B1122" s="2" t="s">
        <v>3231</v>
      </c>
      <c r="C1122" s="2" t="s">
        <v>3232</v>
      </c>
      <c r="D1122" t="s">
        <v>6724</v>
      </c>
      <c r="E1122" t="s">
        <v>8361</v>
      </c>
      <c r="F1122" t="s">
        <v>0</v>
      </c>
      <c r="G1122" s="1">
        <f>DATE(2023,11,14)</f>
        <v>45244</v>
      </c>
    </row>
    <row r="1123" spans="1:7" x14ac:dyDescent="0.35">
      <c r="A1123" s="2" t="s">
        <v>3233</v>
      </c>
      <c r="B1123" s="2" t="s">
        <v>3234</v>
      </c>
      <c r="C1123" s="2" t="s">
        <v>3235</v>
      </c>
      <c r="D1123" t="s">
        <v>6725</v>
      </c>
      <c r="E1123" t="s">
        <v>8362</v>
      </c>
      <c r="F1123" t="s">
        <v>0</v>
      </c>
      <c r="G1123" s="1">
        <f>DATE(2023,8,4)</f>
        <v>45142</v>
      </c>
    </row>
    <row r="1124" spans="1:7" x14ac:dyDescent="0.35">
      <c r="A1124" s="2" t="s">
        <v>3236</v>
      </c>
      <c r="B1124" s="2" t="s">
        <v>3237</v>
      </c>
      <c r="C1124" s="2" t="s">
        <v>3238</v>
      </c>
      <c r="D1124" t="s">
        <v>6726</v>
      </c>
      <c r="E1124" t="s">
        <v>8363</v>
      </c>
      <c r="F1124" t="s">
        <v>0</v>
      </c>
      <c r="G1124" s="1">
        <f>DATE(2023,10,30)</f>
        <v>45229</v>
      </c>
    </row>
    <row r="1125" spans="1:7" x14ac:dyDescent="0.35">
      <c r="A1125" s="2" t="s">
        <v>3239</v>
      </c>
      <c r="B1125" s="2" t="s">
        <v>3240</v>
      </c>
      <c r="C1125" s="2" t="s">
        <v>3241</v>
      </c>
      <c r="D1125" t="s">
        <v>6727</v>
      </c>
      <c r="E1125" t="s">
        <v>8364</v>
      </c>
      <c r="F1125" t="s">
        <v>0</v>
      </c>
      <c r="G1125" s="1">
        <f>DATE(2023,9,13)</f>
        <v>45182</v>
      </c>
    </row>
    <row r="1126" spans="1:7" x14ac:dyDescent="0.35">
      <c r="A1126" s="2" t="s">
        <v>3242</v>
      </c>
      <c r="B1126" s="2" t="s">
        <v>3243</v>
      </c>
      <c r="C1126" s="2" t="s">
        <v>3244</v>
      </c>
      <c r="D1126" t="s">
        <v>6728</v>
      </c>
      <c r="E1126" t="s">
        <v>8365</v>
      </c>
      <c r="F1126" t="s">
        <v>0</v>
      </c>
      <c r="G1126" s="1">
        <f>DATE(2023,8,4)</f>
        <v>45142</v>
      </c>
    </row>
    <row r="1127" spans="1:7" x14ac:dyDescent="0.35">
      <c r="A1127" s="2" t="s">
        <v>3245</v>
      </c>
      <c r="B1127" s="2" t="s">
        <v>3246</v>
      </c>
      <c r="C1127" s="2" t="s">
        <v>3247</v>
      </c>
      <c r="D1127" t="s">
        <v>6729</v>
      </c>
      <c r="E1127" t="s">
        <v>8366</v>
      </c>
      <c r="F1127" t="s">
        <v>0</v>
      </c>
      <c r="G1127" s="1">
        <f>DATE(2023,8,4)</f>
        <v>45142</v>
      </c>
    </row>
    <row r="1128" spans="1:7" x14ac:dyDescent="0.35">
      <c r="A1128" s="2" t="s">
        <v>3248</v>
      </c>
      <c r="B1128" s="2" t="s">
        <v>3249</v>
      </c>
      <c r="C1128" s="2" t="s">
        <v>3250</v>
      </c>
      <c r="D1128" t="s">
        <v>6730</v>
      </c>
      <c r="E1128" t="s">
        <v>8367</v>
      </c>
      <c r="F1128" t="s">
        <v>0</v>
      </c>
      <c r="G1128" s="1">
        <f>DATE(2023,8,4)</f>
        <v>45142</v>
      </c>
    </row>
    <row r="1129" spans="1:7" x14ac:dyDescent="0.35">
      <c r="A1129" s="2" t="s">
        <v>3251</v>
      </c>
      <c r="B1129" s="2" t="s">
        <v>3252</v>
      </c>
      <c r="C1129" s="2" t="s">
        <v>3247</v>
      </c>
      <c r="D1129" t="s">
        <v>6729</v>
      </c>
      <c r="E1129" t="s">
        <v>8366</v>
      </c>
      <c r="F1129" t="s">
        <v>0</v>
      </c>
      <c r="G1129" s="1">
        <f>DATE(2023,10,20)</f>
        <v>45219</v>
      </c>
    </row>
    <row r="1130" spans="1:7" x14ac:dyDescent="0.35">
      <c r="A1130" s="2" t="s">
        <v>3253</v>
      </c>
      <c r="B1130" s="2" t="s">
        <v>3254</v>
      </c>
      <c r="C1130" s="2" t="s">
        <v>3255</v>
      </c>
      <c r="D1130" t="s">
        <v>6731</v>
      </c>
      <c r="E1130" t="s">
        <v>8368</v>
      </c>
      <c r="F1130" t="s">
        <v>0</v>
      </c>
      <c r="G1130" s="1">
        <f>DATE(2023,8,4)</f>
        <v>45142</v>
      </c>
    </row>
    <row r="1131" spans="1:7" x14ac:dyDescent="0.35">
      <c r="A1131" s="2" t="s">
        <v>3256</v>
      </c>
      <c r="B1131" s="2" t="s">
        <v>3257</v>
      </c>
      <c r="C1131" s="2" t="s">
        <v>3258</v>
      </c>
      <c r="D1131" t="s">
        <v>6732</v>
      </c>
      <c r="E1131" t="s">
        <v>8369</v>
      </c>
      <c r="F1131" t="s">
        <v>0</v>
      </c>
      <c r="G1131" s="1">
        <f>DATE(2023,12,18)</f>
        <v>45278</v>
      </c>
    </row>
    <row r="1132" spans="1:7" x14ac:dyDescent="0.35">
      <c r="A1132" s="2" t="s">
        <v>3259</v>
      </c>
      <c r="B1132" s="2" t="s">
        <v>3260</v>
      </c>
      <c r="C1132" s="2" t="s">
        <v>3261</v>
      </c>
      <c r="D1132" t="s">
        <v>6733</v>
      </c>
      <c r="E1132" t="s">
        <v>8370</v>
      </c>
      <c r="F1132" t="s">
        <v>0</v>
      </c>
      <c r="G1132" s="1">
        <f>DATE(2023,9,13)</f>
        <v>45182</v>
      </c>
    </row>
    <row r="1133" spans="1:7" x14ac:dyDescent="0.35">
      <c r="A1133" s="2" t="s">
        <v>3262</v>
      </c>
      <c r="B1133" s="2" t="s">
        <v>3263</v>
      </c>
      <c r="C1133" s="2" t="s">
        <v>3264</v>
      </c>
      <c r="D1133" t="s">
        <v>6734</v>
      </c>
      <c r="E1133" t="s">
        <v>8371</v>
      </c>
      <c r="F1133" t="s">
        <v>0</v>
      </c>
      <c r="G1133" s="1">
        <f>DATE(2023,8,4)</f>
        <v>45142</v>
      </c>
    </row>
    <row r="1134" spans="1:7" x14ac:dyDescent="0.35">
      <c r="A1134" s="2" t="s">
        <v>3265</v>
      </c>
      <c r="B1134" s="2" t="s">
        <v>3266</v>
      </c>
      <c r="C1134" s="2" t="s">
        <v>3267</v>
      </c>
      <c r="D1134" t="s">
        <v>6735</v>
      </c>
      <c r="E1134" t="s">
        <v>8372</v>
      </c>
      <c r="F1134" t="s">
        <v>0</v>
      </c>
      <c r="G1134" s="1">
        <f>DATE(2024,1,19)</f>
        <v>45310</v>
      </c>
    </row>
    <row r="1135" spans="1:7" x14ac:dyDescent="0.35">
      <c r="A1135" s="2" t="s">
        <v>3268</v>
      </c>
      <c r="B1135" s="2" t="s">
        <v>3269</v>
      </c>
      <c r="C1135" s="2" t="s">
        <v>3270</v>
      </c>
      <c r="D1135" t="s">
        <v>6736</v>
      </c>
      <c r="E1135" t="s">
        <v>8373</v>
      </c>
      <c r="F1135" t="s">
        <v>0</v>
      </c>
      <c r="G1135" s="1">
        <f>DATE(2023,11,29)</f>
        <v>45259</v>
      </c>
    </row>
    <row r="1136" spans="1:7" x14ac:dyDescent="0.35">
      <c r="A1136" s="2" t="s">
        <v>3271</v>
      </c>
      <c r="B1136" s="2" t="s">
        <v>3272</v>
      </c>
      <c r="C1136" s="2" t="s">
        <v>3273</v>
      </c>
      <c r="D1136" t="s">
        <v>6737</v>
      </c>
      <c r="E1136" t="s">
        <v>8374</v>
      </c>
      <c r="F1136" t="s">
        <v>0</v>
      </c>
      <c r="G1136" s="1">
        <f>DATE(2024,1,19)</f>
        <v>45310</v>
      </c>
    </row>
    <row r="1137" spans="1:7" x14ac:dyDescent="0.35">
      <c r="A1137" s="2" t="s">
        <v>3274</v>
      </c>
      <c r="B1137" s="2" t="s">
        <v>3275</v>
      </c>
      <c r="C1137" s="2" t="s">
        <v>3276</v>
      </c>
      <c r="D1137" t="s">
        <v>6738</v>
      </c>
      <c r="E1137" t="s">
        <v>8375</v>
      </c>
      <c r="F1137" t="s">
        <v>0</v>
      </c>
      <c r="G1137" s="1">
        <f>DATE(2023,8,4)</f>
        <v>45142</v>
      </c>
    </row>
    <row r="1138" spans="1:7" x14ac:dyDescent="0.35">
      <c r="A1138" s="2" t="s">
        <v>3277</v>
      </c>
      <c r="B1138" s="2" t="s">
        <v>3278</v>
      </c>
      <c r="C1138" s="2" t="s">
        <v>3279</v>
      </c>
      <c r="D1138" t="s">
        <v>6739</v>
      </c>
      <c r="E1138" t="s">
        <v>8376</v>
      </c>
      <c r="F1138" t="s">
        <v>0</v>
      </c>
      <c r="G1138" s="1">
        <f>DATE(2023,8,4)</f>
        <v>45142</v>
      </c>
    </row>
    <row r="1139" spans="1:7" x14ac:dyDescent="0.35">
      <c r="A1139" s="2" t="s">
        <v>3280</v>
      </c>
      <c r="B1139" s="2" t="s">
        <v>3281</v>
      </c>
      <c r="C1139" s="2" t="s">
        <v>3282</v>
      </c>
      <c r="D1139" t="s">
        <v>6740</v>
      </c>
      <c r="E1139" t="s">
        <v>8377</v>
      </c>
      <c r="F1139" t="s">
        <v>0</v>
      </c>
      <c r="G1139" s="1">
        <f>DATE(2023,11,29)</f>
        <v>45259</v>
      </c>
    </row>
    <row r="1140" spans="1:7" x14ac:dyDescent="0.35">
      <c r="A1140" s="2" t="s">
        <v>3283</v>
      </c>
      <c r="B1140" s="2" t="s">
        <v>3284</v>
      </c>
      <c r="C1140" s="2" t="s">
        <v>3285</v>
      </c>
      <c r="D1140" t="s">
        <v>6741</v>
      </c>
      <c r="E1140" t="s">
        <v>8378</v>
      </c>
      <c r="F1140" t="s">
        <v>0</v>
      </c>
      <c r="G1140" s="1">
        <f>DATE(2023,8,4)</f>
        <v>45142</v>
      </c>
    </row>
    <row r="1141" spans="1:7" x14ac:dyDescent="0.35">
      <c r="A1141" s="2" t="s">
        <v>3286</v>
      </c>
      <c r="B1141" s="2" t="s">
        <v>3287</v>
      </c>
      <c r="C1141" s="2" t="s">
        <v>3288</v>
      </c>
      <c r="D1141" t="s">
        <v>6742</v>
      </c>
      <c r="E1141" t="s">
        <v>8379</v>
      </c>
      <c r="F1141" t="s">
        <v>0</v>
      </c>
      <c r="G1141" s="1">
        <f>DATE(2023,9,13)</f>
        <v>45182</v>
      </c>
    </row>
    <row r="1142" spans="1:7" x14ac:dyDescent="0.35">
      <c r="A1142" s="2" t="s">
        <v>3289</v>
      </c>
      <c r="B1142" s="2" t="s">
        <v>3290</v>
      </c>
      <c r="C1142" s="2" t="s">
        <v>3291</v>
      </c>
      <c r="D1142" t="s">
        <v>6743</v>
      </c>
      <c r="E1142" t="s">
        <v>8380</v>
      </c>
      <c r="F1142" t="s">
        <v>0</v>
      </c>
      <c r="G1142" s="1">
        <f>DATE(2023,12,11)</f>
        <v>45271</v>
      </c>
    </row>
    <row r="1143" spans="1:7" x14ac:dyDescent="0.35">
      <c r="A1143" s="2" t="s">
        <v>3292</v>
      </c>
      <c r="B1143" s="2" t="s">
        <v>3293</v>
      </c>
      <c r="C1143" s="2" t="s">
        <v>3294</v>
      </c>
      <c r="D1143" t="s">
        <v>6744</v>
      </c>
      <c r="E1143" t="s">
        <v>8381</v>
      </c>
      <c r="F1143" t="s">
        <v>0</v>
      </c>
      <c r="G1143" s="1">
        <f>DATE(2023,9,13)</f>
        <v>45182</v>
      </c>
    </row>
    <row r="1144" spans="1:7" x14ac:dyDescent="0.35">
      <c r="A1144" s="2" t="s">
        <v>3295</v>
      </c>
      <c r="B1144" s="2" t="s">
        <v>3296</v>
      </c>
      <c r="C1144" s="2" t="s">
        <v>3297</v>
      </c>
      <c r="D1144" t="s">
        <v>6745</v>
      </c>
      <c r="E1144" t="s">
        <v>8382</v>
      </c>
      <c r="F1144" t="s">
        <v>0</v>
      </c>
      <c r="G1144" s="1">
        <f>DATE(2023,8,4)</f>
        <v>45142</v>
      </c>
    </row>
    <row r="1145" spans="1:7" x14ac:dyDescent="0.35">
      <c r="A1145" s="2" t="s">
        <v>3298</v>
      </c>
      <c r="B1145" s="2" t="s">
        <v>3299</v>
      </c>
      <c r="C1145" s="2" t="s">
        <v>3300</v>
      </c>
      <c r="D1145" t="s">
        <v>6746</v>
      </c>
      <c r="E1145" t="s">
        <v>8383</v>
      </c>
      <c r="F1145" t="s">
        <v>0</v>
      </c>
      <c r="G1145" s="1">
        <f>DATE(2023,8,4)</f>
        <v>45142</v>
      </c>
    </row>
    <row r="1146" spans="1:7" x14ac:dyDescent="0.35">
      <c r="A1146" s="2" t="s">
        <v>3301</v>
      </c>
      <c r="B1146" s="2" t="s">
        <v>3302</v>
      </c>
      <c r="C1146" s="2" t="s">
        <v>3303</v>
      </c>
      <c r="D1146" t="s">
        <v>6747</v>
      </c>
      <c r="E1146" t="s">
        <v>8384</v>
      </c>
      <c r="F1146" t="s">
        <v>0</v>
      </c>
      <c r="G1146" s="1">
        <f>DATE(2023,8,4)</f>
        <v>45142</v>
      </c>
    </row>
    <row r="1147" spans="1:7" x14ac:dyDescent="0.35">
      <c r="A1147" s="2" t="s">
        <v>3304</v>
      </c>
      <c r="B1147" s="2" t="s">
        <v>3305</v>
      </c>
      <c r="C1147" s="2" t="s">
        <v>3306</v>
      </c>
      <c r="D1147" t="s">
        <v>6748</v>
      </c>
      <c r="E1147" t="s">
        <v>8385</v>
      </c>
      <c r="F1147" t="s">
        <v>0</v>
      </c>
      <c r="G1147" s="1">
        <f>DATE(2023,8,4)</f>
        <v>45142</v>
      </c>
    </row>
    <row r="1148" spans="1:7" x14ac:dyDescent="0.35">
      <c r="A1148" s="2" t="s">
        <v>3307</v>
      </c>
      <c r="B1148" s="2" t="s">
        <v>3308</v>
      </c>
      <c r="C1148" s="2" t="s">
        <v>3309</v>
      </c>
      <c r="D1148" t="s">
        <v>6749</v>
      </c>
      <c r="E1148" t="s">
        <v>8386</v>
      </c>
      <c r="F1148" t="s">
        <v>0</v>
      </c>
      <c r="G1148" s="1">
        <f>DATE(2023,8,4)</f>
        <v>45142</v>
      </c>
    </row>
    <row r="1149" spans="1:7" x14ac:dyDescent="0.35">
      <c r="A1149" s="2" t="s">
        <v>3310</v>
      </c>
      <c r="B1149" s="2" t="s">
        <v>3311</v>
      </c>
      <c r="C1149" s="2" t="s">
        <v>3312</v>
      </c>
      <c r="D1149" t="s">
        <v>6750</v>
      </c>
      <c r="E1149" t="s">
        <v>8387</v>
      </c>
      <c r="F1149" t="s">
        <v>0</v>
      </c>
      <c r="G1149" s="1">
        <f>DATE(2023,9,22)</f>
        <v>45191</v>
      </c>
    </row>
    <row r="1150" spans="1:7" x14ac:dyDescent="0.35">
      <c r="A1150" s="2" t="s">
        <v>3313</v>
      </c>
      <c r="B1150" s="2" t="s">
        <v>3314</v>
      </c>
      <c r="C1150" s="2" t="s">
        <v>3315</v>
      </c>
      <c r="D1150" t="s">
        <v>6751</v>
      </c>
      <c r="E1150" t="s">
        <v>8388</v>
      </c>
      <c r="F1150" t="s">
        <v>0</v>
      </c>
      <c r="G1150" s="1">
        <f>DATE(2023,10,30)</f>
        <v>45229</v>
      </c>
    </row>
    <row r="1151" spans="1:7" x14ac:dyDescent="0.35">
      <c r="A1151" s="2" t="s">
        <v>3316</v>
      </c>
      <c r="B1151" s="2" t="s">
        <v>3317</v>
      </c>
      <c r="C1151" s="2" t="s">
        <v>3318</v>
      </c>
      <c r="D1151" t="s">
        <v>6752</v>
      </c>
      <c r="E1151" t="s">
        <v>8389</v>
      </c>
      <c r="F1151" t="s">
        <v>0</v>
      </c>
      <c r="G1151" s="1">
        <f>DATE(2023,8,4)</f>
        <v>45142</v>
      </c>
    </row>
    <row r="1152" spans="1:7" x14ac:dyDescent="0.35">
      <c r="A1152" s="2" t="s">
        <v>3319</v>
      </c>
      <c r="B1152" s="2" t="s">
        <v>3320</v>
      </c>
      <c r="C1152" s="2" t="s">
        <v>3321</v>
      </c>
      <c r="D1152" t="s">
        <v>6753</v>
      </c>
      <c r="E1152" t="s">
        <v>8390</v>
      </c>
      <c r="F1152" t="s">
        <v>0</v>
      </c>
      <c r="G1152" s="1">
        <f>DATE(2024,1,18)</f>
        <v>45309</v>
      </c>
    </row>
    <row r="1153" spans="1:7" x14ac:dyDescent="0.35">
      <c r="A1153" s="2" t="s">
        <v>3322</v>
      </c>
      <c r="B1153" s="2" t="s">
        <v>3323</v>
      </c>
      <c r="C1153" s="2" t="s">
        <v>3324</v>
      </c>
      <c r="D1153" t="s">
        <v>6754</v>
      </c>
      <c r="E1153" t="s">
        <v>8391</v>
      </c>
      <c r="F1153" t="s">
        <v>0</v>
      </c>
      <c r="G1153" s="1">
        <f>DATE(2023,8,4)</f>
        <v>45142</v>
      </c>
    </row>
    <row r="1154" spans="1:7" x14ac:dyDescent="0.35">
      <c r="A1154" s="2" t="s">
        <v>3325</v>
      </c>
      <c r="B1154" s="2" t="s">
        <v>3326</v>
      </c>
      <c r="C1154" s="2" t="s">
        <v>3327</v>
      </c>
      <c r="D1154" t="s">
        <v>6755</v>
      </c>
      <c r="E1154" t="s">
        <v>8392</v>
      </c>
      <c r="F1154" t="s">
        <v>0</v>
      </c>
      <c r="G1154" s="1">
        <f>DATE(2023,8,4)</f>
        <v>45142</v>
      </c>
    </row>
    <row r="1155" spans="1:7" x14ac:dyDescent="0.35">
      <c r="A1155" s="2" t="s">
        <v>3328</v>
      </c>
      <c r="B1155" s="2" t="s">
        <v>3329</v>
      </c>
      <c r="C1155" s="2" t="s">
        <v>3330</v>
      </c>
      <c r="D1155" t="s">
        <v>6756</v>
      </c>
      <c r="E1155" t="s">
        <v>8393</v>
      </c>
      <c r="F1155" t="s">
        <v>0</v>
      </c>
      <c r="G1155" s="1">
        <f>DATE(2023,8,8)</f>
        <v>45146</v>
      </c>
    </row>
    <row r="1156" spans="1:7" x14ac:dyDescent="0.35">
      <c r="A1156" s="2" t="s">
        <v>3331</v>
      </c>
      <c r="B1156" s="2" t="s">
        <v>3332</v>
      </c>
      <c r="D1156" t="s">
        <v>5756</v>
      </c>
      <c r="E1156" t="e">
        <v>#VALUE!</v>
      </c>
      <c r="F1156" t="s">
        <v>0</v>
      </c>
      <c r="G1156" s="1">
        <f>DATE(2024,1,4)</f>
        <v>45295</v>
      </c>
    </row>
    <row r="1157" spans="1:7" x14ac:dyDescent="0.35">
      <c r="A1157" s="2" t="s">
        <v>3333</v>
      </c>
      <c r="B1157" s="2" t="s">
        <v>3334</v>
      </c>
      <c r="C1157" s="2" t="s">
        <v>3335</v>
      </c>
      <c r="D1157" t="s">
        <v>6757</v>
      </c>
      <c r="E1157" t="s">
        <v>8394</v>
      </c>
      <c r="F1157" t="s">
        <v>0</v>
      </c>
      <c r="G1157" s="1">
        <f>DATE(2023,8,10)</f>
        <v>45148</v>
      </c>
    </row>
    <row r="1158" spans="1:7" x14ac:dyDescent="0.35">
      <c r="A1158" s="2" t="s">
        <v>3336</v>
      </c>
      <c r="B1158" s="2" t="s">
        <v>3337</v>
      </c>
      <c r="C1158" s="2" t="s">
        <v>3338</v>
      </c>
      <c r="D1158" t="s">
        <v>6758</v>
      </c>
      <c r="E1158" t="s">
        <v>8395</v>
      </c>
      <c r="F1158" t="s">
        <v>0</v>
      </c>
      <c r="G1158" s="1">
        <f>DATE(2023,8,24)</f>
        <v>45162</v>
      </c>
    </row>
    <row r="1159" spans="1:7" x14ac:dyDescent="0.35">
      <c r="A1159" s="2" t="s">
        <v>3339</v>
      </c>
      <c r="B1159" s="2" t="s">
        <v>3340</v>
      </c>
      <c r="D1159" t="s">
        <v>5756</v>
      </c>
      <c r="E1159" t="e">
        <v>#VALUE!</v>
      </c>
      <c r="F1159" t="s">
        <v>0</v>
      </c>
      <c r="G1159" s="1">
        <f>DATE(2023,8,28)</f>
        <v>45166</v>
      </c>
    </row>
    <row r="1160" spans="1:7" x14ac:dyDescent="0.35">
      <c r="A1160" s="2" t="s">
        <v>3341</v>
      </c>
      <c r="B1160" s="2" t="s">
        <v>3342</v>
      </c>
      <c r="D1160" t="s">
        <v>5756</v>
      </c>
      <c r="E1160" t="e">
        <v>#VALUE!</v>
      </c>
      <c r="F1160" t="s">
        <v>0</v>
      </c>
      <c r="G1160" s="1">
        <f>DATE(2023,8,28)</f>
        <v>45166</v>
      </c>
    </row>
    <row r="1161" spans="1:7" x14ac:dyDescent="0.35">
      <c r="A1161" s="2" t="s">
        <v>3343</v>
      </c>
      <c r="B1161" s="2" t="s">
        <v>3344</v>
      </c>
      <c r="C1161" s="2" t="s">
        <v>3345</v>
      </c>
      <c r="D1161" t="s">
        <v>6759</v>
      </c>
      <c r="E1161" t="s">
        <v>8396</v>
      </c>
      <c r="F1161" t="s">
        <v>0</v>
      </c>
      <c r="G1161" s="1">
        <f>DATE(2023,8,28)</f>
        <v>45166</v>
      </c>
    </row>
    <row r="1162" spans="1:7" x14ac:dyDescent="0.35">
      <c r="A1162" s="2" t="s">
        <v>3346</v>
      </c>
      <c r="B1162" s="2" t="s">
        <v>3347</v>
      </c>
      <c r="C1162" s="2" t="s">
        <v>3348</v>
      </c>
      <c r="D1162" t="s">
        <v>6760</v>
      </c>
      <c r="E1162" t="s">
        <v>8397</v>
      </c>
      <c r="F1162" t="s">
        <v>0</v>
      </c>
      <c r="G1162" s="1">
        <f>DATE(2023,8,31)</f>
        <v>45169</v>
      </c>
    </row>
    <row r="1163" spans="1:7" x14ac:dyDescent="0.35">
      <c r="A1163" s="2" t="s">
        <v>3349</v>
      </c>
      <c r="B1163" s="2" t="s">
        <v>3350</v>
      </c>
      <c r="C1163" s="2" t="s">
        <v>3351</v>
      </c>
      <c r="D1163" t="s">
        <v>6761</v>
      </c>
      <c r="E1163" t="s">
        <v>8398</v>
      </c>
      <c r="F1163" t="s">
        <v>0</v>
      </c>
      <c r="G1163" s="1">
        <f>DATE(2023,8,31)</f>
        <v>45169</v>
      </c>
    </row>
    <row r="1164" spans="1:7" x14ac:dyDescent="0.35">
      <c r="A1164" s="2" t="s">
        <v>3352</v>
      </c>
      <c r="B1164" s="2" t="s">
        <v>3353</v>
      </c>
      <c r="C1164" s="2" t="s">
        <v>3354</v>
      </c>
      <c r="D1164" t="s">
        <v>6082</v>
      </c>
      <c r="E1164" t="s">
        <v>7719</v>
      </c>
      <c r="F1164" t="s">
        <v>0</v>
      </c>
      <c r="G1164" s="1">
        <f>DATE(2023,9,4)</f>
        <v>45173</v>
      </c>
    </row>
    <row r="1165" spans="1:7" x14ac:dyDescent="0.35">
      <c r="A1165" s="2" t="s">
        <v>3355</v>
      </c>
      <c r="B1165" s="2" t="s">
        <v>3356</v>
      </c>
      <c r="C1165" s="2" t="s">
        <v>3357</v>
      </c>
      <c r="D1165" t="s">
        <v>6762</v>
      </c>
      <c r="E1165" t="s">
        <v>8399</v>
      </c>
      <c r="F1165" t="s">
        <v>0</v>
      </c>
      <c r="G1165" s="1">
        <f>DATE(2023,9,13)</f>
        <v>45182</v>
      </c>
    </row>
    <row r="1166" spans="1:7" x14ac:dyDescent="0.35">
      <c r="A1166" s="2" t="s">
        <v>3358</v>
      </c>
      <c r="B1166" s="2" t="s">
        <v>3359</v>
      </c>
      <c r="C1166" s="2" t="s">
        <v>3360</v>
      </c>
      <c r="D1166" t="s">
        <v>6763</v>
      </c>
      <c r="E1166" t="s">
        <v>8400</v>
      </c>
      <c r="F1166" t="s">
        <v>0</v>
      </c>
      <c r="G1166" s="1">
        <f>DATE(2023,9,13)</f>
        <v>45182</v>
      </c>
    </row>
    <row r="1167" spans="1:7" x14ac:dyDescent="0.35">
      <c r="A1167" s="2" t="s">
        <v>3361</v>
      </c>
      <c r="B1167" s="2" t="s">
        <v>3362</v>
      </c>
      <c r="C1167" s="2" t="s">
        <v>3363</v>
      </c>
      <c r="D1167" t="s">
        <v>6764</v>
      </c>
      <c r="E1167" t="s">
        <v>8401</v>
      </c>
      <c r="F1167" t="s">
        <v>0</v>
      </c>
      <c r="G1167" s="1">
        <f>DATE(2023,9,7)</f>
        <v>45176</v>
      </c>
    </row>
    <row r="1168" spans="1:7" x14ac:dyDescent="0.35">
      <c r="A1168" s="2" t="s">
        <v>3364</v>
      </c>
      <c r="B1168" s="2" t="s">
        <v>3365</v>
      </c>
      <c r="C1168" s="2" t="s">
        <v>3366</v>
      </c>
      <c r="D1168" t="s">
        <v>6765</v>
      </c>
      <c r="E1168" t="s">
        <v>8402</v>
      </c>
      <c r="F1168" t="s">
        <v>0</v>
      </c>
      <c r="G1168" s="1">
        <f>DATE(2024,1,5)</f>
        <v>45296</v>
      </c>
    </row>
    <row r="1169" spans="1:7" x14ac:dyDescent="0.35">
      <c r="A1169" s="2" t="s">
        <v>3367</v>
      </c>
      <c r="B1169" s="2" t="s">
        <v>3368</v>
      </c>
      <c r="C1169" s="2" t="s">
        <v>3369</v>
      </c>
      <c r="D1169" t="s">
        <v>6766</v>
      </c>
      <c r="E1169" t="s">
        <v>8403</v>
      </c>
      <c r="F1169" t="s">
        <v>0</v>
      </c>
      <c r="G1169" s="1">
        <f t="shared" ref="G1169:G1174" si="5">DATE(2023,9,13)</f>
        <v>45182</v>
      </c>
    </row>
    <row r="1170" spans="1:7" x14ac:dyDescent="0.35">
      <c r="A1170" s="2" t="s">
        <v>3370</v>
      </c>
      <c r="B1170" s="2" t="s">
        <v>3371</v>
      </c>
      <c r="C1170" s="2" t="s">
        <v>3372</v>
      </c>
      <c r="D1170" t="s">
        <v>6767</v>
      </c>
      <c r="E1170" t="s">
        <v>8404</v>
      </c>
      <c r="F1170" t="s">
        <v>0</v>
      </c>
      <c r="G1170" s="1">
        <f t="shared" si="5"/>
        <v>45182</v>
      </c>
    </row>
    <row r="1171" spans="1:7" x14ac:dyDescent="0.35">
      <c r="A1171" s="2" t="s">
        <v>3373</v>
      </c>
      <c r="B1171" s="2" t="s">
        <v>3374</v>
      </c>
      <c r="C1171" s="2" t="s">
        <v>3375</v>
      </c>
      <c r="D1171" t="s">
        <v>6768</v>
      </c>
      <c r="E1171" t="s">
        <v>8405</v>
      </c>
      <c r="F1171" t="s">
        <v>0</v>
      </c>
      <c r="G1171" s="1">
        <f t="shared" si="5"/>
        <v>45182</v>
      </c>
    </row>
    <row r="1172" spans="1:7" x14ac:dyDescent="0.35">
      <c r="A1172" s="2" t="s">
        <v>3376</v>
      </c>
      <c r="B1172" s="2" t="s">
        <v>3377</v>
      </c>
      <c r="C1172" s="2" t="s">
        <v>3378</v>
      </c>
      <c r="D1172" t="s">
        <v>6769</v>
      </c>
      <c r="E1172" t="s">
        <v>8406</v>
      </c>
      <c r="F1172" t="s">
        <v>0</v>
      </c>
      <c r="G1172" s="1">
        <f t="shared" si="5"/>
        <v>45182</v>
      </c>
    </row>
    <row r="1173" spans="1:7" x14ac:dyDescent="0.35">
      <c r="A1173" s="2" t="s">
        <v>3379</v>
      </c>
      <c r="B1173" s="2" t="s">
        <v>3380</v>
      </c>
      <c r="C1173" s="2" t="s">
        <v>3381</v>
      </c>
      <c r="D1173" t="s">
        <v>6770</v>
      </c>
      <c r="E1173" t="s">
        <v>8407</v>
      </c>
      <c r="F1173" t="s">
        <v>0</v>
      </c>
      <c r="G1173" s="1">
        <f t="shared" si="5"/>
        <v>45182</v>
      </c>
    </row>
    <row r="1174" spans="1:7" x14ac:dyDescent="0.35">
      <c r="A1174" s="2" t="s">
        <v>3382</v>
      </c>
      <c r="B1174" s="2" t="s">
        <v>3383</v>
      </c>
      <c r="C1174" s="2" t="s">
        <v>142</v>
      </c>
      <c r="D1174" t="s">
        <v>5784</v>
      </c>
      <c r="E1174" t="s">
        <v>7420</v>
      </c>
      <c r="F1174" t="s">
        <v>0</v>
      </c>
      <c r="G1174" s="1">
        <f t="shared" si="5"/>
        <v>45182</v>
      </c>
    </row>
    <row r="1175" spans="1:7" x14ac:dyDescent="0.35">
      <c r="A1175" s="2" t="s">
        <v>3384</v>
      </c>
      <c r="B1175" s="2" t="s">
        <v>3385</v>
      </c>
      <c r="C1175" s="2" t="s">
        <v>3386</v>
      </c>
      <c r="D1175" t="s">
        <v>6771</v>
      </c>
      <c r="E1175" t="s">
        <v>8408</v>
      </c>
      <c r="F1175" t="s">
        <v>0</v>
      </c>
      <c r="G1175" s="1">
        <f>DATE(2023,10,17)</f>
        <v>45216</v>
      </c>
    </row>
    <row r="1176" spans="1:7" x14ac:dyDescent="0.35">
      <c r="A1176" s="2" t="s">
        <v>3387</v>
      </c>
      <c r="B1176" s="2" t="s">
        <v>3388</v>
      </c>
      <c r="C1176" s="2" t="s">
        <v>3389</v>
      </c>
      <c r="D1176" t="s">
        <v>6772</v>
      </c>
      <c r="E1176" t="s">
        <v>8409</v>
      </c>
      <c r="F1176" t="s">
        <v>0</v>
      </c>
      <c r="G1176" s="1">
        <f>DATE(2023,9,8)</f>
        <v>45177</v>
      </c>
    </row>
    <row r="1177" spans="1:7" x14ac:dyDescent="0.35">
      <c r="A1177" s="2" t="s">
        <v>3390</v>
      </c>
      <c r="B1177" s="2" t="s">
        <v>3391</v>
      </c>
      <c r="C1177" s="2" t="s">
        <v>3392</v>
      </c>
      <c r="D1177" t="s">
        <v>6773</v>
      </c>
      <c r="E1177" t="s">
        <v>8410</v>
      </c>
      <c r="F1177" t="s">
        <v>0</v>
      </c>
      <c r="G1177" s="1">
        <f>DATE(2023,12,7)</f>
        <v>45267</v>
      </c>
    </row>
    <row r="1178" spans="1:7" x14ac:dyDescent="0.35">
      <c r="A1178" s="2" t="s">
        <v>3393</v>
      </c>
      <c r="B1178" s="2" t="s">
        <v>3394</v>
      </c>
      <c r="C1178" s="2" t="s">
        <v>3395</v>
      </c>
      <c r="D1178" t="s">
        <v>6774</v>
      </c>
      <c r="E1178" t="s">
        <v>8411</v>
      </c>
      <c r="F1178" t="s">
        <v>0</v>
      </c>
      <c r="G1178" s="1">
        <f>DATE(2023,9,11)</f>
        <v>45180</v>
      </c>
    </row>
    <row r="1179" spans="1:7" x14ac:dyDescent="0.35">
      <c r="A1179" s="2" t="s">
        <v>3396</v>
      </c>
      <c r="B1179" s="2" t="s">
        <v>3397</v>
      </c>
      <c r="C1179" s="2" t="s">
        <v>3398</v>
      </c>
      <c r="D1179" t="s">
        <v>6775</v>
      </c>
      <c r="E1179" t="s">
        <v>8412</v>
      </c>
      <c r="F1179" t="s">
        <v>0</v>
      </c>
      <c r="G1179" s="1">
        <f>DATE(2023,9,11)</f>
        <v>45180</v>
      </c>
    </row>
    <row r="1180" spans="1:7" x14ac:dyDescent="0.35">
      <c r="A1180" s="2" t="s">
        <v>3399</v>
      </c>
      <c r="B1180" s="2" t="s">
        <v>3400</v>
      </c>
      <c r="C1180" s="2" t="s">
        <v>3401</v>
      </c>
      <c r="D1180" t="s">
        <v>6776</v>
      </c>
      <c r="E1180" t="s">
        <v>8413</v>
      </c>
      <c r="F1180" t="s">
        <v>0</v>
      </c>
      <c r="G1180" s="1">
        <f>DATE(2023,9,11)</f>
        <v>45180</v>
      </c>
    </row>
    <row r="1181" spans="1:7" x14ac:dyDescent="0.35">
      <c r="A1181" s="2" t="s">
        <v>3402</v>
      </c>
      <c r="B1181" s="2" t="s">
        <v>3403</v>
      </c>
      <c r="C1181" s="2" t="s">
        <v>3404</v>
      </c>
      <c r="D1181" t="s">
        <v>6777</v>
      </c>
      <c r="E1181" t="s">
        <v>8414</v>
      </c>
      <c r="F1181" t="s">
        <v>0</v>
      </c>
      <c r="G1181" s="1">
        <f>DATE(2023,12,18)</f>
        <v>45278</v>
      </c>
    </row>
    <row r="1182" spans="1:7" x14ac:dyDescent="0.35">
      <c r="A1182" s="2" t="s">
        <v>3405</v>
      </c>
      <c r="B1182" s="2" t="s">
        <v>3406</v>
      </c>
      <c r="C1182" s="2" t="s">
        <v>3407</v>
      </c>
      <c r="D1182" t="s">
        <v>6778</v>
      </c>
      <c r="E1182" t="s">
        <v>8415</v>
      </c>
      <c r="F1182" t="s">
        <v>0</v>
      </c>
      <c r="G1182" s="1">
        <f t="shared" ref="G1182:G1187" si="6">DATE(2023,9,11)</f>
        <v>45180</v>
      </c>
    </row>
    <row r="1183" spans="1:7" x14ac:dyDescent="0.35">
      <c r="A1183" s="2" t="s">
        <v>3408</v>
      </c>
      <c r="B1183" s="2" t="s">
        <v>3409</v>
      </c>
      <c r="C1183" s="2" t="s">
        <v>3410</v>
      </c>
      <c r="D1183" t="s">
        <v>6779</v>
      </c>
      <c r="E1183" t="s">
        <v>8416</v>
      </c>
      <c r="F1183" t="s">
        <v>0</v>
      </c>
      <c r="G1183" s="1">
        <f t="shared" si="6"/>
        <v>45180</v>
      </c>
    </row>
    <row r="1184" spans="1:7" x14ac:dyDescent="0.35">
      <c r="A1184" s="2" t="s">
        <v>3411</v>
      </c>
      <c r="B1184" s="2" t="s">
        <v>3412</v>
      </c>
      <c r="C1184" s="2" t="s">
        <v>3413</v>
      </c>
      <c r="D1184" t="s">
        <v>6780</v>
      </c>
      <c r="E1184" t="s">
        <v>8417</v>
      </c>
      <c r="F1184" t="s">
        <v>0</v>
      </c>
      <c r="G1184" s="1">
        <f t="shared" si="6"/>
        <v>45180</v>
      </c>
    </row>
    <row r="1185" spans="1:7" x14ac:dyDescent="0.35">
      <c r="A1185" s="2" t="s">
        <v>3414</v>
      </c>
      <c r="B1185" s="2" t="s">
        <v>3415</v>
      </c>
      <c r="C1185" s="2" t="s">
        <v>3416</v>
      </c>
      <c r="D1185" t="s">
        <v>6781</v>
      </c>
      <c r="E1185" t="s">
        <v>8418</v>
      </c>
      <c r="F1185" t="s">
        <v>0</v>
      </c>
      <c r="G1185" s="1">
        <f t="shared" si="6"/>
        <v>45180</v>
      </c>
    </row>
    <row r="1186" spans="1:7" x14ac:dyDescent="0.35">
      <c r="A1186" s="2" t="s">
        <v>3417</v>
      </c>
      <c r="B1186" s="2" t="s">
        <v>3418</v>
      </c>
      <c r="C1186" s="2" t="s">
        <v>3419</v>
      </c>
      <c r="D1186" t="s">
        <v>6782</v>
      </c>
      <c r="E1186" t="s">
        <v>8419</v>
      </c>
      <c r="F1186" t="s">
        <v>0</v>
      </c>
      <c r="G1186" s="1">
        <f t="shared" si="6"/>
        <v>45180</v>
      </c>
    </row>
    <row r="1187" spans="1:7" x14ac:dyDescent="0.35">
      <c r="A1187" s="2" t="s">
        <v>3420</v>
      </c>
      <c r="B1187" s="2" t="s">
        <v>3421</v>
      </c>
      <c r="C1187" s="2" t="s">
        <v>3422</v>
      </c>
      <c r="D1187" t="s">
        <v>6783</v>
      </c>
      <c r="E1187" t="s">
        <v>8420</v>
      </c>
      <c r="F1187" t="s">
        <v>0</v>
      </c>
      <c r="G1187" s="1">
        <f t="shared" si="6"/>
        <v>45180</v>
      </c>
    </row>
    <row r="1188" spans="1:7" x14ac:dyDescent="0.35">
      <c r="A1188" s="2" t="s">
        <v>3423</v>
      </c>
      <c r="B1188" s="2" t="s">
        <v>3424</v>
      </c>
      <c r="C1188" s="2" t="s">
        <v>3425</v>
      </c>
      <c r="D1188" t="s">
        <v>6784</v>
      </c>
      <c r="E1188" t="s">
        <v>8421</v>
      </c>
      <c r="F1188" t="s">
        <v>0</v>
      </c>
      <c r="G1188" s="1">
        <f>DATE(2023,12,7)</f>
        <v>45267</v>
      </c>
    </row>
    <row r="1189" spans="1:7" x14ac:dyDescent="0.35">
      <c r="A1189" s="2" t="s">
        <v>3426</v>
      </c>
      <c r="B1189" s="2" t="s">
        <v>3427</v>
      </c>
      <c r="C1189" s="2" t="s">
        <v>3428</v>
      </c>
      <c r="D1189" t="s">
        <v>6785</v>
      </c>
      <c r="E1189" t="s">
        <v>8422</v>
      </c>
      <c r="F1189" t="s">
        <v>0</v>
      </c>
      <c r="G1189" s="1">
        <f>DATE(2024,1,9)</f>
        <v>45300</v>
      </c>
    </row>
    <row r="1190" spans="1:7" x14ac:dyDescent="0.35">
      <c r="A1190" s="2" t="s">
        <v>3429</v>
      </c>
      <c r="B1190" s="2" t="s">
        <v>3430</v>
      </c>
      <c r="C1190" s="2" t="s">
        <v>3431</v>
      </c>
      <c r="D1190" t="s">
        <v>6786</v>
      </c>
      <c r="E1190" t="s">
        <v>8423</v>
      </c>
      <c r="F1190" t="s">
        <v>0</v>
      </c>
      <c r="G1190" s="1">
        <f>DATE(2023,9,12)</f>
        <v>45181</v>
      </c>
    </row>
    <row r="1191" spans="1:7" x14ac:dyDescent="0.35">
      <c r="A1191" s="2" t="s">
        <v>3432</v>
      </c>
      <c r="B1191" s="2" t="s">
        <v>3433</v>
      </c>
      <c r="C1191" s="2" t="s">
        <v>3434</v>
      </c>
      <c r="D1191" t="s">
        <v>6787</v>
      </c>
      <c r="E1191" t="s">
        <v>8424</v>
      </c>
      <c r="F1191" t="s">
        <v>0</v>
      </c>
      <c r="G1191" s="1">
        <f>DATE(2023,9,13)</f>
        <v>45182</v>
      </c>
    </row>
    <row r="1192" spans="1:7" x14ac:dyDescent="0.35">
      <c r="A1192" s="2" t="s">
        <v>3435</v>
      </c>
      <c r="B1192" s="2" t="s">
        <v>3436</v>
      </c>
      <c r="C1192" s="2" t="s">
        <v>3437</v>
      </c>
      <c r="D1192" t="s">
        <v>6788</v>
      </c>
      <c r="E1192" t="s">
        <v>8425</v>
      </c>
      <c r="F1192" t="s">
        <v>0</v>
      </c>
      <c r="G1192" s="1">
        <f>DATE(2023,9,13)</f>
        <v>45182</v>
      </c>
    </row>
    <row r="1193" spans="1:7" x14ac:dyDescent="0.35">
      <c r="A1193" s="2" t="s">
        <v>3438</v>
      </c>
      <c r="B1193" s="2" t="s">
        <v>3439</v>
      </c>
      <c r="C1193" s="2" t="s">
        <v>3440</v>
      </c>
      <c r="D1193" t="s">
        <v>6789</v>
      </c>
      <c r="E1193" t="s">
        <v>8426</v>
      </c>
      <c r="F1193" t="s">
        <v>0</v>
      </c>
      <c r="G1193" s="1">
        <f>DATE(2023,9,15)</f>
        <v>45184</v>
      </c>
    </row>
    <row r="1194" spans="1:7" x14ac:dyDescent="0.35">
      <c r="A1194" s="2" t="s">
        <v>3441</v>
      </c>
      <c r="B1194" s="2" t="s">
        <v>3442</v>
      </c>
      <c r="C1194" s="2" t="s">
        <v>2849</v>
      </c>
      <c r="D1194" t="s">
        <v>6602</v>
      </c>
      <c r="E1194" t="s">
        <v>8239</v>
      </c>
      <c r="F1194" t="s">
        <v>0</v>
      </c>
      <c r="G1194" s="1">
        <f>DATE(2023,9,15)</f>
        <v>45184</v>
      </c>
    </row>
    <row r="1195" spans="1:7" x14ac:dyDescent="0.35">
      <c r="A1195" s="2" t="s">
        <v>3443</v>
      </c>
      <c r="B1195" s="2" t="s">
        <v>3444</v>
      </c>
      <c r="C1195" s="2" t="s">
        <v>3445</v>
      </c>
      <c r="D1195" t="s">
        <v>6790</v>
      </c>
      <c r="E1195" t="s">
        <v>8427</v>
      </c>
      <c r="F1195" t="s">
        <v>0</v>
      </c>
      <c r="G1195" s="1">
        <f>DATE(2023,10,3)</f>
        <v>45202</v>
      </c>
    </row>
    <row r="1196" spans="1:7" x14ac:dyDescent="0.35">
      <c r="A1196" s="2" t="s">
        <v>3446</v>
      </c>
      <c r="B1196" s="2" t="s">
        <v>3447</v>
      </c>
      <c r="C1196" s="2" t="s">
        <v>3448</v>
      </c>
      <c r="D1196" t="s">
        <v>6791</v>
      </c>
      <c r="E1196" t="s">
        <v>8428</v>
      </c>
      <c r="F1196" t="s">
        <v>0</v>
      </c>
      <c r="G1196" s="1">
        <f>DATE(2023,9,19)</f>
        <v>45188</v>
      </c>
    </row>
    <row r="1197" spans="1:7" x14ac:dyDescent="0.35">
      <c r="A1197" s="2" t="s">
        <v>3449</v>
      </c>
      <c r="B1197" s="2" t="s">
        <v>3450</v>
      </c>
      <c r="C1197" s="2" t="s">
        <v>3451</v>
      </c>
      <c r="D1197" t="s">
        <v>6792</v>
      </c>
      <c r="E1197" t="s">
        <v>8429</v>
      </c>
      <c r="F1197" t="s">
        <v>0</v>
      </c>
      <c r="G1197" s="1">
        <f>DATE(2023,9,22)</f>
        <v>45191</v>
      </c>
    </row>
    <row r="1198" spans="1:7" x14ac:dyDescent="0.35">
      <c r="A1198" s="2" t="s">
        <v>3452</v>
      </c>
      <c r="B1198" s="2" t="s">
        <v>3453</v>
      </c>
      <c r="C1198" s="2" t="s">
        <v>3454</v>
      </c>
      <c r="D1198" t="s">
        <v>6793</v>
      </c>
      <c r="E1198" t="s">
        <v>8430</v>
      </c>
      <c r="F1198" t="s">
        <v>0</v>
      </c>
      <c r="G1198" s="1">
        <f>DATE(2023,9,22)</f>
        <v>45191</v>
      </c>
    </row>
    <row r="1199" spans="1:7" x14ac:dyDescent="0.35">
      <c r="A1199" s="2" t="s">
        <v>3455</v>
      </c>
      <c r="B1199" s="2" t="s">
        <v>3456</v>
      </c>
      <c r="C1199" s="2" t="s">
        <v>3457</v>
      </c>
      <c r="D1199" t="s">
        <v>6794</v>
      </c>
      <c r="E1199" t="s">
        <v>8431</v>
      </c>
      <c r="F1199" t="s">
        <v>0</v>
      </c>
      <c r="G1199" s="1">
        <f>DATE(2023,9,22)</f>
        <v>45191</v>
      </c>
    </row>
    <row r="1200" spans="1:7" x14ac:dyDescent="0.35">
      <c r="A1200" s="2" t="s">
        <v>3458</v>
      </c>
      <c r="B1200" s="2" t="s">
        <v>3459</v>
      </c>
      <c r="C1200" s="2" t="s">
        <v>3460</v>
      </c>
      <c r="D1200" t="s">
        <v>6795</v>
      </c>
      <c r="E1200" t="s">
        <v>8432</v>
      </c>
      <c r="F1200" t="s">
        <v>0</v>
      </c>
      <c r="G1200" s="1">
        <f>DATE(2023,9,22)</f>
        <v>45191</v>
      </c>
    </row>
    <row r="1201" spans="1:7" x14ac:dyDescent="0.35">
      <c r="A1201" s="2" t="s">
        <v>3461</v>
      </c>
      <c r="B1201" s="2" t="s">
        <v>3462</v>
      </c>
      <c r="C1201" s="2" t="s">
        <v>354</v>
      </c>
      <c r="D1201" t="s">
        <v>5850</v>
      </c>
      <c r="E1201" t="s">
        <v>7486</v>
      </c>
      <c r="F1201" t="s">
        <v>0</v>
      </c>
      <c r="G1201" s="1">
        <f>DATE(2024,1,19)</f>
        <v>45310</v>
      </c>
    </row>
    <row r="1202" spans="1:7" x14ac:dyDescent="0.35">
      <c r="A1202" s="2" t="s">
        <v>3463</v>
      </c>
      <c r="B1202" s="2" t="s">
        <v>3464</v>
      </c>
      <c r="C1202" s="2" t="s">
        <v>3465</v>
      </c>
      <c r="D1202" t="s">
        <v>6796</v>
      </c>
      <c r="E1202" t="s">
        <v>8433</v>
      </c>
      <c r="F1202" t="s">
        <v>0</v>
      </c>
      <c r="G1202" s="1">
        <f>DATE(2023,9,29)</f>
        <v>45198</v>
      </c>
    </row>
    <row r="1203" spans="1:7" x14ac:dyDescent="0.35">
      <c r="A1203" s="2" t="s">
        <v>3466</v>
      </c>
      <c r="B1203" s="2" t="s">
        <v>3467</v>
      </c>
      <c r="C1203" s="2" t="s">
        <v>3468</v>
      </c>
      <c r="D1203" t="s">
        <v>6797</v>
      </c>
      <c r="E1203" t="s">
        <v>8434</v>
      </c>
      <c r="F1203" t="s">
        <v>0</v>
      </c>
      <c r="G1203" s="1">
        <f>DATE(2023,11,10)</f>
        <v>45240</v>
      </c>
    </row>
    <row r="1204" spans="1:7" x14ac:dyDescent="0.35">
      <c r="A1204" s="2" t="s">
        <v>3469</v>
      </c>
      <c r="B1204" s="2" t="s">
        <v>3470</v>
      </c>
      <c r="C1204" s="2" t="s">
        <v>3471</v>
      </c>
      <c r="D1204" t="s">
        <v>6798</v>
      </c>
      <c r="E1204" t="s">
        <v>8435</v>
      </c>
      <c r="F1204" t="s">
        <v>0</v>
      </c>
      <c r="G1204" s="1">
        <f>DATE(2023,11,10)</f>
        <v>45240</v>
      </c>
    </row>
    <row r="1205" spans="1:7" x14ac:dyDescent="0.35">
      <c r="A1205" s="2" t="s">
        <v>3472</v>
      </c>
      <c r="B1205" s="2" t="s">
        <v>3473</v>
      </c>
      <c r="C1205" s="2" t="s">
        <v>3474</v>
      </c>
      <c r="D1205" t="s">
        <v>6799</v>
      </c>
      <c r="E1205" t="s">
        <v>8436</v>
      </c>
      <c r="F1205" t="s">
        <v>0</v>
      </c>
      <c r="G1205" s="1">
        <f>DATE(2023,9,29)</f>
        <v>45198</v>
      </c>
    </row>
    <row r="1206" spans="1:7" x14ac:dyDescent="0.35">
      <c r="A1206" s="2" t="s">
        <v>3475</v>
      </c>
      <c r="B1206" s="2" t="s">
        <v>3476</v>
      </c>
      <c r="C1206" s="2" t="s">
        <v>3477</v>
      </c>
      <c r="D1206" t="s">
        <v>6800</v>
      </c>
      <c r="E1206" t="s">
        <v>8437</v>
      </c>
      <c r="F1206" t="s">
        <v>0</v>
      </c>
      <c r="G1206" s="1">
        <f>DATE(2023,10,6)</f>
        <v>45205</v>
      </c>
    </row>
    <row r="1207" spans="1:7" x14ac:dyDescent="0.35">
      <c r="A1207" s="2" t="s">
        <v>3478</v>
      </c>
      <c r="B1207" s="2" t="s">
        <v>3479</v>
      </c>
      <c r="D1207" t="s">
        <v>5756</v>
      </c>
      <c r="E1207" t="e">
        <v>#VALUE!</v>
      </c>
      <c r="F1207" t="s">
        <v>0</v>
      </c>
      <c r="G1207" s="1">
        <f>DATE(2023,10,2)</f>
        <v>45201</v>
      </c>
    </row>
    <row r="1208" spans="1:7" x14ac:dyDescent="0.35">
      <c r="A1208" s="2" t="s">
        <v>3480</v>
      </c>
      <c r="B1208" s="2" t="s">
        <v>3481</v>
      </c>
      <c r="D1208" t="s">
        <v>5756</v>
      </c>
      <c r="E1208" t="e">
        <v>#VALUE!</v>
      </c>
      <c r="F1208" t="s">
        <v>0</v>
      </c>
      <c r="G1208" s="1">
        <f>DATE(2023,10,2)</f>
        <v>45201</v>
      </c>
    </row>
    <row r="1209" spans="1:7" x14ac:dyDescent="0.35">
      <c r="A1209" s="2" t="s">
        <v>3482</v>
      </c>
      <c r="B1209" s="2" t="s">
        <v>3483</v>
      </c>
      <c r="C1209" s="2" t="s">
        <v>3484</v>
      </c>
      <c r="D1209" t="s">
        <v>6801</v>
      </c>
      <c r="E1209" t="s">
        <v>8438</v>
      </c>
      <c r="F1209" t="s">
        <v>0</v>
      </c>
      <c r="G1209" s="1">
        <f>DATE(2023,10,3)</f>
        <v>45202</v>
      </c>
    </row>
    <row r="1210" spans="1:7" x14ac:dyDescent="0.35">
      <c r="A1210" s="2" t="s">
        <v>3485</v>
      </c>
      <c r="B1210" s="2" t="s">
        <v>3486</v>
      </c>
      <c r="C1210" s="2" t="s">
        <v>3487</v>
      </c>
      <c r="D1210" t="s">
        <v>6802</v>
      </c>
      <c r="E1210" t="s">
        <v>8439</v>
      </c>
      <c r="F1210" t="s">
        <v>0</v>
      </c>
      <c r="G1210" s="1">
        <f>DATE(2023,10,11)</f>
        <v>45210</v>
      </c>
    </row>
    <row r="1211" spans="1:7" x14ac:dyDescent="0.35">
      <c r="A1211" s="2" t="s">
        <v>3488</v>
      </c>
      <c r="B1211" s="2" t="s">
        <v>3489</v>
      </c>
      <c r="C1211" s="2" t="s">
        <v>3490</v>
      </c>
      <c r="D1211" t="s">
        <v>6803</v>
      </c>
      <c r="E1211" t="s">
        <v>8440</v>
      </c>
      <c r="F1211" t="s">
        <v>0</v>
      </c>
      <c r="G1211" s="1">
        <f>DATE(2023,10,11)</f>
        <v>45210</v>
      </c>
    </row>
    <row r="1212" spans="1:7" x14ac:dyDescent="0.35">
      <c r="A1212" s="2" t="s">
        <v>3491</v>
      </c>
      <c r="B1212" s="2" t="s">
        <v>3492</v>
      </c>
      <c r="C1212" s="2" t="s">
        <v>3493</v>
      </c>
      <c r="D1212" t="s">
        <v>6804</v>
      </c>
      <c r="E1212" t="s">
        <v>8441</v>
      </c>
      <c r="F1212" t="s">
        <v>0</v>
      </c>
      <c r="G1212" s="1">
        <f>DATE(2024,1,18)</f>
        <v>45309</v>
      </c>
    </row>
    <row r="1213" spans="1:7" x14ac:dyDescent="0.35">
      <c r="A1213" s="2" t="s">
        <v>3494</v>
      </c>
      <c r="B1213" s="2" t="s">
        <v>3495</v>
      </c>
      <c r="C1213" s="2" t="s">
        <v>3496</v>
      </c>
      <c r="D1213" t="s">
        <v>6805</v>
      </c>
      <c r="E1213" t="s">
        <v>8442</v>
      </c>
      <c r="F1213" t="s">
        <v>0</v>
      </c>
      <c r="G1213" s="1">
        <f>DATE(2023,10,5)</f>
        <v>45204</v>
      </c>
    </row>
    <row r="1214" spans="1:7" x14ac:dyDescent="0.35">
      <c r="A1214" s="2" t="s">
        <v>3497</v>
      </c>
      <c r="B1214" s="2" t="s">
        <v>3498</v>
      </c>
      <c r="D1214" t="s">
        <v>5756</v>
      </c>
      <c r="E1214" t="e">
        <v>#VALUE!</v>
      </c>
      <c r="F1214" t="s">
        <v>0</v>
      </c>
      <c r="G1214" s="1">
        <f>DATE(2023,10,6)</f>
        <v>45205</v>
      </c>
    </row>
    <row r="1215" spans="1:7" x14ac:dyDescent="0.35">
      <c r="A1215" s="2" t="s">
        <v>3499</v>
      </c>
      <c r="B1215" s="2" t="s">
        <v>3500</v>
      </c>
      <c r="C1215" s="2" t="s">
        <v>3501</v>
      </c>
      <c r="D1215" t="s">
        <v>6806</v>
      </c>
      <c r="E1215" t="s">
        <v>8443</v>
      </c>
      <c r="F1215" t="s">
        <v>0</v>
      </c>
      <c r="G1215" s="1">
        <f>DATE(2023,10,11)</f>
        <v>45210</v>
      </c>
    </row>
    <row r="1216" spans="1:7" x14ac:dyDescent="0.35">
      <c r="A1216" s="2" t="s">
        <v>3502</v>
      </c>
      <c r="B1216" s="2" t="s">
        <v>3503</v>
      </c>
      <c r="C1216" s="2" t="s">
        <v>3504</v>
      </c>
      <c r="D1216" t="s">
        <v>6807</v>
      </c>
      <c r="E1216" t="s">
        <v>8444</v>
      </c>
      <c r="F1216" t="s">
        <v>0</v>
      </c>
      <c r="G1216" s="1">
        <f>DATE(2023,10,16)</f>
        <v>45215</v>
      </c>
    </row>
    <row r="1217" spans="1:7" x14ac:dyDescent="0.35">
      <c r="A1217" s="2" t="s">
        <v>3505</v>
      </c>
      <c r="B1217" s="2" t="s">
        <v>3506</v>
      </c>
      <c r="D1217" t="s">
        <v>5756</v>
      </c>
      <c r="E1217" t="e">
        <v>#VALUE!</v>
      </c>
      <c r="F1217" t="s">
        <v>0</v>
      </c>
      <c r="G1217" s="1">
        <f>DATE(2024,1,4)</f>
        <v>45295</v>
      </c>
    </row>
    <row r="1218" spans="1:7" x14ac:dyDescent="0.35">
      <c r="A1218" s="2" t="s">
        <v>3507</v>
      </c>
      <c r="B1218" s="2" t="s">
        <v>3508</v>
      </c>
      <c r="D1218" t="s">
        <v>5756</v>
      </c>
      <c r="E1218" t="e">
        <v>#VALUE!</v>
      </c>
      <c r="F1218" t="s">
        <v>0</v>
      </c>
      <c r="G1218" s="1">
        <f>DATE(2024,1,4)</f>
        <v>45295</v>
      </c>
    </row>
    <row r="1219" spans="1:7" x14ac:dyDescent="0.35">
      <c r="A1219" s="2" t="s">
        <v>3509</v>
      </c>
      <c r="B1219" s="2" t="s">
        <v>3510</v>
      </c>
      <c r="C1219" s="2" t="s">
        <v>3511</v>
      </c>
      <c r="D1219" t="s">
        <v>6808</v>
      </c>
      <c r="E1219" t="s">
        <v>8445</v>
      </c>
      <c r="F1219" t="s">
        <v>0</v>
      </c>
      <c r="G1219" s="1">
        <f>DATE(2023,10,20)</f>
        <v>45219</v>
      </c>
    </row>
    <row r="1220" spans="1:7" x14ac:dyDescent="0.35">
      <c r="A1220" s="2" t="s">
        <v>3512</v>
      </c>
      <c r="B1220" s="2" t="s">
        <v>3513</v>
      </c>
      <c r="D1220" t="s">
        <v>5756</v>
      </c>
      <c r="E1220" t="e">
        <v>#VALUE!</v>
      </c>
      <c r="F1220" t="s">
        <v>0</v>
      </c>
      <c r="G1220" s="1">
        <f>DATE(2023,10,19)</f>
        <v>45218</v>
      </c>
    </row>
    <row r="1221" spans="1:7" x14ac:dyDescent="0.35">
      <c r="A1221" s="2" t="s">
        <v>3514</v>
      </c>
      <c r="B1221" s="2" t="s">
        <v>3515</v>
      </c>
      <c r="C1221" s="2" t="s">
        <v>3516</v>
      </c>
      <c r="D1221" t="s">
        <v>6809</v>
      </c>
      <c r="E1221" t="s">
        <v>8446</v>
      </c>
      <c r="F1221" t="s">
        <v>0</v>
      </c>
      <c r="G1221" s="1">
        <f>DATE(2023,10,26)</f>
        <v>45225</v>
      </c>
    </row>
    <row r="1222" spans="1:7" x14ac:dyDescent="0.35">
      <c r="A1222" s="2" t="s">
        <v>3517</v>
      </c>
      <c r="B1222" s="2" t="s">
        <v>3518</v>
      </c>
      <c r="C1222" s="2" t="s">
        <v>3519</v>
      </c>
      <c r="D1222" t="s">
        <v>6810</v>
      </c>
      <c r="E1222" t="s">
        <v>8447</v>
      </c>
      <c r="F1222" t="s">
        <v>0</v>
      </c>
      <c r="G1222" s="1">
        <f>DATE(2023,11,2)</f>
        <v>45232</v>
      </c>
    </row>
    <row r="1223" spans="1:7" x14ac:dyDescent="0.35">
      <c r="A1223" s="2" t="s">
        <v>3520</v>
      </c>
      <c r="B1223" s="2" t="s">
        <v>3521</v>
      </c>
      <c r="C1223" s="2" t="s">
        <v>3522</v>
      </c>
      <c r="D1223" t="s">
        <v>6811</v>
      </c>
      <c r="E1223" t="s">
        <v>8448</v>
      </c>
      <c r="F1223" t="s">
        <v>0</v>
      </c>
      <c r="G1223" s="1">
        <f>DATE(2023,11,3)</f>
        <v>45233</v>
      </c>
    </row>
    <row r="1224" spans="1:7" x14ac:dyDescent="0.35">
      <c r="A1224" s="2" t="s">
        <v>3523</v>
      </c>
      <c r="B1224" s="2" t="s">
        <v>3524</v>
      </c>
      <c r="C1224" s="2" t="s">
        <v>3525</v>
      </c>
      <c r="D1224" t="s">
        <v>6812</v>
      </c>
      <c r="E1224" t="s">
        <v>8449</v>
      </c>
      <c r="F1224" t="s">
        <v>0</v>
      </c>
      <c r="G1224" s="1">
        <f>DATE(2023,11,7)</f>
        <v>45237</v>
      </c>
    </row>
    <row r="1225" spans="1:7" x14ac:dyDescent="0.35">
      <c r="A1225" s="2" t="s">
        <v>3526</v>
      </c>
      <c r="B1225" s="2" t="s">
        <v>3527</v>
      </c>
      <c r="C1225" s="2" t="s">
        <v>3528</v>
      </c>
      <c r="D1225" t="s">
        <v>5888</v>
      </c>
      <c r="E1225" t="s">
        <v>7524</v>
      </c>
      <c r="F1225" t="s">
        <v>0</v>
      </c>
      <c r="G1225" s="1">
        <f>DATE(2023,11,14)</f>
        <v>45244</v>
      </c>
    </row>
    <row r="1226" spans="1:7" x14ac:dyDescent="0.35">
      <c r="A1226" s="2" t="s">
        <v>3529</v>
      </c>
      <c r="B1226" s="2" t="s">
        <v>3530</v>
      </c>
      <c r="C1226" s="2" t="s">
        <v>3531</v>
      </c>
      <c r="D1226" t="s">
        <v>6813</v>
      </c>
      <c r="E1226" t="s">
        <v>8450</v>
      </c>
      <c r="F1226" t="s">
        <v>0</v>
      </c>
      <c r="G1226" s="1">
        <f>DATE(2023,11,15)</f>
        <v>45245</v>
      </c>
    </row>
    <row r="1227" spans="1:7" x14ac:dyDescent="0.35">
      <c r="A1227" s="2" t="s">
        <v>3532</v>
      </c>
      <c r="B1227" s="2" t="s">
        <v>3533</v>
      </c>
      <c r="C1227" s="2" t="s">
        <v>3534</v>
      </c>
      <c r="D1227" t="s">
        <v>6814</v>
      </c>
      <c r="E1227" t="s">
        <v>8451</v>
      </c>
      <c r="F1227" t="s">
        <v>0</v>
      </c>
      <c r="G1227" s="1">
        <f>DATE(2023,11,15)</f>
        <v>45245</v>
      </c>
    </row>
    <row r="1228" spans="1:7" x14ac:dyDescent="0.35">
      <c r="A1228" s="2" t="s">
        <v>3535</v>
      </c>
      <c r="B1228" s="2" t="s">
        <v>3536</v>
      </c>
      <c r="C1228" s="2" t="s">
        <v>3537</v>
      </c>
      <c r="D1228" t="s">
        <v>6815</v>
      </c>
      <c r="E1228" t="s">
        <v>8452</v>
      </c>
      <c r="F1228" t="s">
        <v>0</v>
      </c>
      <c r="G1228" s="1">
        <f>DATE(2023,11,17)</f>
        <v>45247</v>
      </c>
    </row>
    <row r="1229" spans="1:7" x14ac:dyDescent="0.35">
      <c r="A1229" s="2" t="s">
        <v>3538</v>
      </c>
      <c r="B1229" s="2" t="s">
        <v>3539</v>
      </c>
      <c r="C1229" s="2" t="s">
        <v>3540</v>
      </c>
      <c r="D1229" t="s">
        <v>6816</v>
      </c>
      <c r="E1229" t="s">
        <v>8453</v>
      </c>
      <c r="F1229" t="s">
        <v>0</v>
      </c>
      <c r="G1229" s="1">
        <f>DATE(2023,12,19)</f>
        <v>45279</v>
      </c>
    </row>
    <row r="1230" spans="1:7" x14ac:dyDescent="0.35">
      <c r="A1230" s="2" t="s">
        <v>3541</v>
      </c>
      <c r="B1230" s="2" t="s">
        <v>3542</v>
      </c>
      <c r="C1230" s="2" t="s">
        <v>3543</v>
      </c>
      <c r="D1230" t="s">
        <v>6817</v>
      </c>
      <c r="E1230" t="s">
        <v>8454</v>
      </c>
      <c r="F1230" t="s">
        <v>0</v>
      </c>
      <c r="G1230" s="1">
        <f>DATE(2023,11,17)</f>
        <v>45247</v>
      </c>
    </row>
    <row r="1231" spans="1:7" x14ac:dyDescent="0.35">
      <c r="A1231" s="2" t="s">
        <v>3544</v>
      </c>
      <c r="B1231" s="2" t="s">
        <v>3545</v>
      </c>
      <c r="D1231" t="s">
        <v>5756</v>
      </c>
      <c r="E1231" t="e">
        <v>#VALUE!</v>
      </c>
      <c r="F1231" t="s">
        <v>0</v>
      </c>
      <c r="G1231" s="1">
        <f>DATE(2023,11,20)</f>
        <v>45250</v>
      </c>
    </row>
    <row r="1232" spans="1:7" x14ac:dyDescent="0.35">
      <c r="A1232" s="2" t="s">
        <v>3546</v>
      </c>
      <c r="B1232" s="2" t="s">
        <v>3547</v>
      </c>
      <c r="C1232" s="2" t="s">
        <v>3548</v>
      </c>
      <c r="D1232" t="s">
        <v>6818</v>
      </c>
      <c r="E1232" t="s">
        <v>8455</v>
      </c>
      <c r="F1232" t="s">
        <v>0</v>
      </c>
      <c r="G1232" s="1">
        <f t="shared" ref="G1232:G1238" si="7">DATE(2023,11,21)</f>
        <v>45251</v>
      </c>
    </row>
    <row r="1233" spans="1:7" x14ac:dyDescent="0.35">
      <c r="A1233" s="2" t="s">
        <v>3549</v>
      </c>
      <c r="B1233" s="2" t="s">
        <v>3550</v>
      </c>
      <c r="C1233" s="2" t="s">
        <v>3551</v>
      </c>
      <c r="D1233" t="s">
        <v>6819</v>
      </c>
      <c r="E1233" t="s">
        <v>8456</v>
      </c>
      <c r="F1233" t="s">
        <v>0</v>
      </c>
      <c r="G1233" s="1">
        <f t="shared" si="7"/>
        <v>45251</v>
      </c>
    </row>
    <row r="1234" spans="1:7" x14ac:dyDescent="0.35">
      <c r="A1234" s="2" t="s">
        <v>3552</v>
      </c>
      <c r="B1234" s="2" t="s">
        <v>3553</v>
      </c>
      <c r="D1234" t="s">
        <v>5756</v>
      </c>
      <c r="E1234" t="e">
        <v>#VALUE!</v>
      </c>
      <c r="F1234" t="s">
        <v>0</v>
      </c>
      <c r="G1234" s="1">
        <f t="shared" si="7"/>
        <v>45251</v>
      </c>
    </row>
    <row r="1235" spans="1:7" x14ac:dyDescent="0.35">
      <c r="A1235" s="2" t="s">
        <v>3554</v>
      </c>
      <c r="B1235" s="2" t="s">
        <v>3555</v>
      </c>
      <c r="D1235" t="s">
        <v>5756</v>
      </c>
      <c r="E1235" t="e">
        <v>#VALUE!</v>
      </c>
      <c r="F1235" t="s">
        <v>0</v>
      </c>
      <c r="G1235" s="1">
        <f t="shared" si="7"/>
        <v>45251</v>
      </c>
    </row>
    <row r="1236" spans="1:7" x14ac:dyDescent="0.35">
      <c r="A1236" s="2" t="s">
        <v>3556</v>
      </c>
      <c r="B1236" s="2" t="s">
        <v>3557</v>
      </c>
      <c r="D1236" t="s">
        <v>5756</v>
      </c>
      <c r="E1236" t="e">
        <v>#VALUE!</v>
      </c>
      <c r="F1236" t="s">
        <v>0</v>
      </c>
      <c r="G1236" s="1">
        <f t="shared" si="7"/>
        <v>45251</v>
      </c>
    </row>
    <row r="1237" spans="1:7" x14ac:dyDescent="0.35">
      <c r="A1237" s="2" t="s">
        <v>3558</v>
      </c>
      <c r="B1237" s="2" t="s">
        <v>3559</v>
      </c>
      <c r="C1237" s="2" t="s">
        <v>3560</v>
      </c>
      <c r="D1237" t="s">
        <v>6820</v>
      </c>
      <c r="E1237" t="s">
        <v>8457</v>
      </c>
      <c r="F1237" t="s">
        <v>0</v>
      </c>
      <c r="G1237" s="1">
        <f t="shared" si="7"/>
        <v>45251</v>
      </c>
    </row>
    <row r="1238" spans="1:7" x14ac:dyDescent="0.35">
      <c r="A1238" s="2" t="s">
        <v>3561</v>
      </c>
      <c r="B1238" s="2" t="s">
        <v>3562</v>
      </c>
      <c r="C1238" s="2" t="s">
        <v>3563</v>
      </c>
      <c r="D1238" t="s">
        <v>6821</v>
      </c>
      <c r="E1238" t="s">
        <v>8458</v>
      </c>
      <c r="F1238" t="s">
        <v>0</v>
      </c>
      <c r="G1238" s="1">
        <f t="shared" si="7"/>
        <v>45251</v>
      </c>
    </row>
    <row r="1239" spans="1:7" x14ac:dyDescent="0.35">
      <c r="A1239" s="2" t="s">
        <v>3564</v>
      </c>
      <c r="B1239" s="2" t="s">
        <v>3565</v>
      </c>
      <c r="C1239" s="2" t="s">
        <v>3566</v>
      </c>
      <c r="D1239" t="s">
        <v>6822</v>
      </c>
      <c r="E1239" t="s">
        <v>8459</v>
      </c>
      <c r="F1239" t="s">
        <v>0</v>
      </c>
      <c r="G1239" s="1">
        <f>DATE(2023,11,29)</f>
        <v>45259</v>
      </c>
    </row>
    <row r="1240" spans="1:7" x14ac:dyDescent="0.35">
      <c r="A1240" s="2" t="s">
        <v>3567</v>
      </c>
      <c r="B1240" s="2" t="s">
        <v>3568</v>
      </c>
      <c r="C1240" s="2" t="s">
        <v>3569</v>
      </c>
      <c r="D1240" t="s">
        <v>6823</v>
      </c>
      <c r="E1240" t="s">
        <v>8460</v>
      </c>
      <c r="F1240" t="s">
        <v>0</v>
      </c>
      <c r="G1240" s="1">
        <f>DATE(2023,11,23)</f>
        <v>45253</v>
      </c>
    </row>
    <row r="1241" spans="1:7" x14ac:dyDescent="0.35">
      <c r="A1241" s="2" t="s">
        <v>3570</v>
      </c>
      <c r="B1241" s="2" t="s">
        <v>3571</v>
      </c>
      <c r="C1241" s="2" t="s">
        <v>3572</v>
      </c>
      <c r="D1241" t="s">
        <v>6824</v>
      </c>
      <c r="E1241" t="s">
        <v>8461</v>
      </c>
      <c r="F1241" t="s">
        <v>0</v>
      </c>
      <c r="G1241" s="1">
        <f>DATE(2023,11,28)</f>
        <v>45258</v>
      </c>
    </row>
    <row r="1242" spans="1:7" x14ac:dyDescent="0.35">
      <c r="A1242" s="2" t="s">
        <v>3573</v>
      </c>
      <c r="B1242" s="2" t="s">
        <v>3574</v>
      </c>
      <c r="C1242" s="2" t="s">
        <v>3575</v>
      </c>
      <c r="D1242" t="s">
        <v>6825</v>
      </c>
      <c r="E1242" t="s">
        <v>8462</v>
      </c>
      <c r="F1242" t="s">
        <v>0</v>
      </c>
      <c r="G1242" s="1">
        <f>DATE(2023,11,29)</f>
        <v>45259</v>
      </c>
    </row>
    <row r="1243" spans="1:7" x14ac:dyDescent="0.35">
      <c r="A1243" s="2" t="s">
        <v>3576</v>
      </c>
      <c r="B1243" s="2" t="s">
        <v>3577</v>
      </c>
      <c r="C1243" s="2" t="s">
        <v>3578</v>
      </c>
      <c r="D1243" t="s">
        <v>6826</v>
      </c>
      <c r="E1243" t="s">
        <v>8463</v>
      </c>
      <c r="F1243" t="s">
        <v>0</v>
      </c>
      <c r="G1243" s="1">
        <f>DATE(2023,11,29)</f>
        <v>45259</v>
      </c>
    </row>
    <row r="1244" spans="1:7" x14ac:dyDescent="0.35">
      <c r="A1244" s="2" t="s">
        <v>3579</v>
      </c>
      <c r="B1244" s="2" t="s">
        <v>3580</v>
      </c>
      <c r="D1244" t="s">
        <v>5756</v>
      </c>
      <c r="E1244" t="e">
        <v>#VALUE!</v>
      </c>
      <c r="F1244" t="s">
        <v>0</v>
      </c>
      <c r="G1244" s="1">
        <f>DATE(2023,11,30)</f>
        <v>45260</v>
      </c>
    </row>
    <row r="1245" spans="1:7" x14ac:dyDescent="0.35">
      <c r="A1245" s="2" t="s">
        <v>3581</v>
      </c>
      <c r="B1245" s="2" t="s">
        <v>3582</v>
      </c>
      <c r="C1245" s="2" t="s">
        <v>3583</v>
      </c>
      <c r="D1245" t="s">
        <v>6827</v>
      </c>
      <c r="E1245" t="s">
        <v>8464</v>
      </c>
      <c r="F1245" t="s">
        <v>0</v>
      </c>
      <c r="G1245" s="1">
        <f>DATE(2023,12,1)</f>
        <v>45261</v>
      </c>
    </row>
    <row r="1246" spans="1:7" x14ac:dyDescent="0.35">
      <c r="A1246" s="2" t="s">
        <v>3584</v>
      </c>
      <c r="B1246" s="2" t="s">
        <v>3585</v>
      </c>
      <c r="D1246" t="s">
        <v>5756</v>
      </c>
      <c r="E1246" t="e">
        <v>#VALUE!</v>
      </c>
      <c r="F1246" t="s">
        <v>0</v>
      </c>
      <c r="G1246" s="1">
        <f>DATE(2023,12,4)</f>
        <v>45264</v>
      </c>
    </row>
    <row r="1247" spans="1:7" x14ac:dyDescent="0.35">
      <c r="A1247" s="2" t="s">
        <v>3586</v>
      </c>
      <c r="B1247" s="2" t="s">
        <v>3587</v>
      </c>
      <c r="C1247" s="2" t="s">
        <v>3588</v>
      </c>
      <c r="D1247" t="s">
        <v>6828</v>
      </c>
      <c r="E1247" t="s">
        <v>8465</v>
      </c>
      <c r="F1247" t="s">
        <v>0</v>
      </c>
      <c r="G1247" s="1">
        <f>DATE(2023,12,4)</f>
        <v>45264</v>
      </c>
    </row>
    <row r="1248" spans="1:7" x14ac:dyDescent="0.35">
      <c r="A1248" s="2" t="s">
        <v>3589</v>
      </c>
      <c r="B1248" s="2" t="s">
        <v>3590</v>
      </c>
      <c r="C1248" s="2" t="s">
        <v>3591</v>
      </c>
      <c r="D1248" t="s">
        <v>6829</v>
      </c>
      <c r="E1248" t="s">
        <v>8466</v>
      </c>
      <c r="F1248" t="s">
        <v>0</v>
      </c>
      <c r="G1248" s="1">
        <f>DATE(2023,12,18)</f>
        <v>45278</v>
      </c>
    </row>
    <row r="1249" spans="1:7" x14ac:dyDescent="0.35">
      <c r="A1249" s="2" t="s">
        <v>3592</v>
      </c>
      <c r="B1249" s="2" t="s">
        <v>3593</v>
      </c>
      <c r="D1249" t="s">
        <v>5756</v>
      </c>
      <c r="E1249" t="e">
        <v>#VALUE!</v>
      </c>
      <c r="F1249" t="s">
        <v>0</v>
      </c>
      <c r="G1249" s="1">
        <f>DATE(2023,12,12)</f>
        <v>45272</v>
      </c>
    </row>
    <row r="1250" spans="1:7" x14ac:dyDescent="0.35">
      <c r="A1250" s="2" t="s">
        <v>3594</v>
      </c>
      <c r="B1250" s="2" t="s">
        <v>3595</v>
      </c>
      <c r="D1250" t="s">
        <v>5756</v>
      </c>
      <c r="E1250" t="e">
        <v>#VALUE!</v>
      </c>
      <c r="F1250" t="s">
        <v>0</v>
      </c>
      <c r="G1250" s="1">
        <f>DATE(2024,1,26)</f>
        <v>45317</v>
      </c>
    </row>
    <row r="1251" spans="1:7" x14ac:dyDescent="0.35">
      <c r="A1251" s="2" t="s">
        <v>3596</v>
      </c>
      <c r="B1251" s="2" t="s">
        <v>3597</v>
      </c>
      <c r="C1251" s="2" t="s">
        <v>3598</v>
      </c>
      <c r="D1251" t="s">
        <v>6830</v>
      </c>
      <c r="E1251" t="s">
        <v>8467</v>
      </c>
      <c r="F1251" t="s">
        <v>0</v>
      </c>
      <c r="G1251" s="1">
        <f>DATE(2023,12,19)</f>
        <v>45279</v>
      </c>
    </row>
    <row r="1252" spans="1:7" x14ac:dyDescent="0.35">
      <c r="A1252" s="2" t="s">
        <v>3599</v>
      </c>
      <c r="B1252" s="2" t="s">
        <v>3600</v>
      </c>
      <c r="D1252" t="s">
        <v>5756</v>
      </c>
      <c r="E1252" t="e">
        <v>#VALUE!</v>
      </c>
      <c r="F1252" t="s">
        <v>0</v>
      </c>
      <c r="G1252" s="1">
        <f>DATE(2023,12,19)</f>
        <v>45279</v>
      </c>
    </row>
    <row r="1253" spans="1:7" x14ac:dyDescent="0.35">
      <c r="A1253" s="2" t="s">
        <v>3601</v>
      </c>
      <c r="B1253" s="2" t="s">
        <v>3602</v>
      </c>
      <c r="C1253" s="2" t="s">
        <v>3603</v>
      </c>
      <c r="D1253" t="s">
        <v>6831</v>
      </c>
      <c r="E1253" t="s">
        <v>8468</v>
      </c>
      <c r="F1253" t="s">
        <v>0</v>
      </c>
      <c r="G1253" s="1">
        <f>DATE(2023,12,29)</f>
        <v>45289</v>
      </c>
    </row>
    <row r="1254" spans="1:7" x14ac:dyDescent="0.35">
      <c r="A1254" s="2" t="s">
        <v>3604</v>
      </c>
      <c r="B1254" s="2" t="s">
        <v>3605</v>
      </c>
      <c r="C1254" s="2" t="s">
        <v>3606</v>
      </c>
      <c r="D1254" t="s">
        <v>6832</v>
      </c>
      <c r="E1254" t="s">
        <v>8469</v>
      </c>
      <c r="F1254" t="s">
        <v>0</v>
      </c>
      <c r="G1254" s="1">
        <f>DATE(2024,1,2)</f>
        <v>45293</v>
      </c>
    </row>
    <row r="1255" spans="1:7" x14ac:dyDescent="0.35">
      <c r="A1255" s="2" t="s">
        <v>3607</v>
      </c>
      <c r="B1255" s="2" t="s">
        <v>3608</v>
      </c>
      <c r="D1255" t="s">
        <v>5756</v>
      </c>
      <c r="E1255" t="e">
        <v>#VALUE!</v>
      </c>
      <c r="F1255" t="s">
        <v>0</v>
      </c>
      <c r="G1255" s="1">
        <f>DATE(2024,1,3)</f>
        <v>45294</v>
      </c>
    </row>
    <row r="1256" spans="1:7" x14ac:dyDescent="0.35">
      <c r="A1256" s="2" t="s">
        <v>3609</v>
      </c>
      <c r="B1256" s="2" t="s">
        <v>3610</v>
      </c>
      <c r="C1256" s="2" t="s">
        <v>3611</v>
      </c>
      <c r="D1256" t="s">
        <v>6833</v>
      </c>
      <c r="E1256" t="s">
        <v>8470</v>
      </c>
      <c r="F1256" t="s">
        <v>0</v>
      </c>
      <c r="G1256" s="1">
        <f>DATE(2024,1,31)</f>
        <v>45322</v>
      </c>
    </row>
    <row r="1257" spans="1:7" x14ac:dyDescent="0.35">
      <c r="A1257" s="2" t="s">
        <v>3612</v>
      </c>
      <c r="B1257" s="2" t="s">
        <v>3613</v>
      </c>
      <c r="C1257" s="2" t="s">
        <v>336</v>
      </c>
      <c r="D1257" t="s">
        <v>5844</v>
      </c>
      <c r="E1257" t="s">
        <v>7480</v>
      </c>
      <c r="F1257" t="s">
        <v>0</v>
      </c>
      <c r="G1257" s="1">
        <f>DATE(2024,2,2)</f>
        <v>45324</v>
      </c>
    </row>
    <row r="1258" spans="1:7" x14ac:dyDescent="0.35">
      <c r="A1258" s="2" t="s">
        <v>3614</v>
      </c>
      <c r="B1258" s="2" t="s">
        <v>3615</v>
      </c>
      <c r="C1258" s="2" t="s">
        <v>3616</v>
      </c>
      <c r="D1258" t="s">
        <v>6834</v>
      </c>
      <c r="E1258" t="s">
        <v>8471</v>
      </c>
      <c r="F1258" t="s">
        <v>0</v>
      </c>
      <c r="G1258" s="1">
        <f>DATE(2024,2,8)</f>
        <v>45330</v>
      </c>
    </row>
    <row r="1259" spans="1:7" x14ac:dyDescent="0.35">
      <c r="A1259" s="2" t="s">
        <v>3617</v>
      </c>
      <c r="B1259" s="2" t="s">
        <v>3618</v>
      </c>
      <c r="D1259" t="s">
        <v>5756</v>
      </c>
      <c r="E1259" t="e">
        <v>#VALUE!</v>
      </c>
      <c r="F1259" t="s">
        <v>0</v>
      </c>
      <c r="G1259" s="1">
        <f>DATE(2024,2,13)</f>
        <v>45335</v>
      </c>
    </row>
    <row r="1260" spans="1:7" x14ac:dyDescent="0.35">
      <c r="A1260" s="2" t="s">
        <v>3619</v>
      </c>
      <c r="B1260" s="2" t="s">
        <v>3620</v>
      </c>
      <c r="C1260" s="2" t="s">
        <v>51</v>
      </c>
      <c r="D1260" t="s">
        <v>5757</v>
      </c>
      <c r="E1260" t="s">
        <v>7393</v>
      </c>
      <c r="F1260" t="s">
        <v>0</v>
      </c>
      <c r="G1260" s="1">
        <f>DATE(2024,2,13)</f>
        <v>45335</v>
      </c>
    </row>
    <row r="1261" spans="1:7" x14ac:dyDescent="0.35">
      <c r="A1261" s="2" t="s">
        <v>3621</v>
      </c>
      <c r="B1261" s="2" t="s">
        <v>3622</v>
      </c>
      <c r="D1261" t="s">
        <v>5756</v>
      </c>
      <c r="E1261" t="e">
        <v>#VALUE!</v>
      </c>
      <c r="F1261" t="s">
        <v>0</v>
      </c>
      <c r="G1261" s="1">
        <f>DATE(2024,2,14)</f>
        <v>45336</v>
      </c>
    </row>
    <row r="1262" spans="1:7" x14ac:dyDescent="0.35">
      <c r="A1262" s="2" t="s">
        <v>3623</v>
      </c>
      <c r="B1262" s="2" t="s">
        <v>3624</v>
      </c>
      <c r="C1262" s="2" t="s">
        <v>3625</v>
      </c>
      <c r="D1262" t="s">
        <v>6835</v>
      </c>
      <c r="E1262" t="s">
        <v>8472</v>
      </c>
      <c r="F1262" t="s">
        <v>0</v>
      </c>
      <c r="G1262" s="1">
        <f>DATE(2024,2,14)</f>
        <v>45336</v>
      </c>
    </row>
    <row r="1263" spans="1:7" x14ac:dyDescent="0.35">
      <c r="A1263" s="2" t="s">
        <v>3626</v>
      </c>
      <c r="B1263" s="2" t="s">
        <v>3627</v>
      </c>
      <c r="C1263" s="2" t="s">
        <v>3628</v>
      </c>
      <c r="D1263" t="s">
        <v>6836</v>
      </c>
      <c r="E1263" t="s">
        <v>8473</v>
      </c>
      <c r="F1263" t="s">
        <v>0</v>
      </c>
      <c r="G1263" s="1">
        <f>DATE(2024,2,15)</f>
        <v>45337</v>
      </c>
    </row>
    <row r="1264" spans="1:7" x14ac:dyDescent="0.35">
      <c r="A1264" s="2" t="s">
        <v>3629</v>
      </c>
      <c r="B1264" s="2" t="s">
        <v>3630</v>
      </c>
      <c r="C1264" s="2" t="s">
        <v>3631</v>
      </c>
      <c r="D1264" t="s">
        <v>6837</v>
      </c>
      <c r="E1264" t="s">
        <v>8474</v>
      </c>
      <c r="F1264" t="s">
        <v>0</v>
      </c>
      <c r="G1264" s="1">
        <f>DATE(2024,2,15)</f>
        <v>45337</v>
      </c>
    </row>
    <row r="1265" spans="1:7" x14ac:dyDescent="0.35">
      <c r="A1265" s="2" t="s">
        <v>3632</v>
      </c>
      <c r="B1265" s="2" t="s">
        <v>3633</v>
      </c>
      <c r="C1265" s="2" t="s">
        <v>3634</v>
      </c>
      <c r="D1265" t="s">
        <v>6838</v>
      </c>
      <c r="E1265" t="s">
        <v>8475</v>
      </c>
      <c r="F1265" t="s">
        <v>0</v>
      </c>
      <c r="G1265" s="1">
        <f>DATE(2024,2,21)</f>
        <v>45343</v>
      </c>
    </row>
    <row r="1266" spans="1:7" x14ac:dyDescent="0.35">
      <c r="A1266" s="2" t="s">
        <v>3635</v>
      </c>
      <c r="B1266" s="2" t="s">
        <v>3636</v>
      </c>
      <c r="C1266" s="2" t="s">
        <v>3637</v>
      </c>
      <c r="D1266" t="s">
        <v>6839</v>
      </c>
      <c r="E1266" t="s">
        <v>8476</v>
      </c>
      <c r="F1266" t="s">
        <v>0</v>
      </c>
      <c r="G1266" s="1">
        <f>DATE(2024,2,21)</f>
        <v>45343</v>
      </c>
    </row>
    <row r="1267" spans="1:7" x14ac:dyDescent="0.35">
      <c r="A1267" s="2" t="s">
        <v>3638</v>
      </c>
      <c r="B1267" s="2" t="s">
        <v>3639</v>
      </c>
      <c r="C1267" s="2" t="s">
        <v>3640</v>
      </c>
      <c r="D1267" t="s">
        <v>6840</v>
      </c>
      <c r="E1267" t="s">
        <v>8477</v>
      </c>
      <c r="F1267" t="s">
        <v>0</v>
      </c>
      <c r="G1267" s="1">
        <f t="shared" ref="G1267:G1272" si="8">DATE(2024,2,23)</f>
        <v>45345</v>
      </c>
    </row>
    <row r="1268" spans="1:7" x14ac:dyDescent="0.35">
      <c r="A1268" s="2" t="s">
        <v>3641</v>
      </c>
      <c r="B1268" s="2" t="s">
        <v>3642</v>
      </c>
      <c r="D1268" t="s">
        <v>5756</v>
      </c>
      <c r="E1268" t="e">
        <v>#VALUE!</v>
      </c>
      <c r="F1268" t="s">
        <v>0</v>
      </c>
      <c r="G1268" s="1">
        <f t="shared" si="8"/>
        <v>45345</v>
      </c>
    </row>
    <row r="1269" spans="1:7" x14ac:dyDescent="0.35">
      <c r="A1269" s="2" t="s">
        <v>3643</v>
      </c>
      <c r="B1269" s="2" t="s">
        <v>3644</v>
      </c>
      <c r="C1269" s="2" t="s">
        <v>3645</v>
      </c>
      <c r="D1269" t="s">
        <v>6841</v>
      </c>
      <c r="E1269" t="s">
        <v>8478</v>
      </c>
      <c r="F1269" t="s">
        <v>0</v>
      </c>
      <c r="G1269" s="1">
        <f t="shared" si="8"/>
        <v>45345</v>
      </c>
    </row>
    <row r="1270" spans="1:7" x14ac:dyDescent="0.35">
      <c r="A1270" s="2" t="s">
        <v>3646</v>
      </c>
      <c r="B1270" s="2" t="s">
        <v>3647</v>
      </c>
      <c r="C1270" s="2" t="s">
        <v>3648</v>
      </c>
      <c r="D1270" t="s">
        <v>6842</v>
      </c>
      <c r="E1270" t="s">
        <v>8479</v>
      </c>
      <c r="F1270" t="s">
        <v>0</v>
      </c>
      <c r="G1270" s="1">
        <f t="shared" si="8"/>
        <v>45345</v>
      </c>
    </row>
    <row r="1271" spans="1:7" x14ac:dyDescent="0.35">
      <c r="A1271" s="2" t="s">
        <v>3649</v>
      </c>
      <c r="B1271" s="2" t="s">
        <v>3650</v>
      </c>
      <c r="C1271" s="2" t="s">
        <v>3651</v>
      </c>
      <c r="D1271" t="s">
        <v>6843</v>
      </c>
      <c r="E1271" t="s">
        <v>8480</v>
      </c>
      <c r="F1271" t="s">
        <v>0</v>
      </c>
      <c r="G1271" s="1">
        <f t="shared" si="8"/>
        <v>45345</v>
      </c>
    </row>
    <row r="1272" spans="1:7" x14ac:dyDescent="0.35">
      <c r="A1272" s="2" t="s">
        <v>3652</v>
      </c>
      <c r="B1272" s="2" t="s">
        <v>3653</v>
      </c>
      <c r="D1272" t="s">
        <v>5756</v>
      </c>
      <c r="E1272" t="e">
        <v>#VALUE!</v>
      </c>
      <c r="F1272" t="s">
        <v>0</v>
      </c>
      <c r="G1272" s="1">
        <f t="shared" si="8"/>
        <v>45345</v>
      </c>
    </row>
    <row r="1273" spans="1:7" x14ac:dyDescent="0.35">
      <c r="A1273" s="2" t="s">
        <v>3654</v>
      </c>
      <c r="B1273" s="2" t="s">
        <v>3655</v>
      </c>
      <c r="D1273" t="s">
        <v>5756</v>
      </c>
      <c r="E1273" t="e">
        <v>#VALUE!</v>
      </c>
      <c r="F1273" t="s">
        <v>0</v>
      </c>
      <c r="G1273" s="1">
        <f>DATE(2023,5,23)</f>
        <v>45069</v>
      </c>
    </row>
    <row r="1274" spans="1:7" x14ac:dyDescent="0.35">
      <c r="A1274" s="2" t="s">
        <v>3656</v>
      </c>
      <c r="B1274" s="2" t="s">
        <v>3657</v>
      </c>
      <c r="D1274" t="s">
        <v>5756</v>
      </c>
      <c r="E1274" t="e">
        <v>#VALUE!</v>
      </c>
      <c r="F1274" t="s">
        <v>0</v>
      </c>
      <c r="G1274" s="1">
        <f>DATE(2023,6,5)</f>
        <v>45082</v>
      </c>
    </row>
    <row r="1275" spans="1:7" x14ac:dyDescent="0.35">
      <c r="A1275" s="2" t="s">
        <v>3658</v>
      </c>
      <c r="B1275" s="2" t="s">
        <v>3659</v>
      </c>
      <c r="D1275" t="s">
        <v>5756</v>
      </c>
      <c r="E1275" t="e">
        <v>#VALUE!</v>
      </c>
      <c r="F1275" t="s">
        <v>0</v>
      </c>
      <c r="G1275" s="1">
        <f>DATE(2023,6,6)</f>
        <v>45083</v>
      </c>
    </row>
    <row r="1276" spans="1:7" x14ac:dyDescent="0.35">
      <c r="A1276" s="2" t="s">
        <v>3660</v>
      </c>
      <c r="B1276" s="2" t="s">
        <v>3661</v>
      </c>
      <c r="D1276" t="s">
        <v>5756</v>
      </c>
      <c r="E1276" t="e">
        <v>#VALUE!</v>
      </c>
      <c r="F1276" t="s">
        <v>0</v>
      </c>
      <c r="G1276" s="1">
        <f>DATE(2023,6,20)</f>
        <v>45097</v>
      </c>
    </row>
    <row r="1277" spans="1:7" x14ac:dyDescent="0.35">
      <c r="A1277" s="2" t="s">
        <v>3662</v>
      </c>
      <c r="B1277" s="2" t="s">
        <v>3663</v>
      </c>
      <c r="D1277" t="s">
        <v>5756</v>
      </c>
      <c r="E1277" t="e">
        <v>#VALUE!</v>
      </c>
      <c r="F1277" t="s">
        <v>0</v>
      </c>
      <c r="G1277" s="1">
        <f>DATE(2023,7,28)</f>
        <v>45135</v>
      </c>
    </row>
    <row r="1278" spans="1:7" x14ac:dyDescent="0.35">
      <c r="A1278" s="2" t="s">
        <v>3664</v>
      </c>
      <c r="B1278" s="2" t="s">
        <v>3665</v>
      </c>
      <c r="D1278" t="s">
        <v>5756</v>
      </c>
      <c r="E1278" t="e">
        <v>#VALUE!</v>
      </c>
      <c r="F1278" t="s">
        <v>0</v>
      </c>
      <c r="G1278" s="1">
        <f>DATE(2023,8,24)</f>
        <v>45162</v>
      </c>
    </row>
    <row r="1279" spans="1:7" x14ac:dyDescent="0.35">
      <c r="A1279" s="2" t="s">
        <v>3666</v>
      </c>
      <c r="B1279" s="2" t="s">
        <v>3667</v>
      </c>
      <c r="D1279" t="s">
        <v>5756</v>
      </c>
      <c r="E1279" t="e">
        <v>#VALUE!</v>
      </c>
      <c r="F1279" t="s">
        <v>0</v>
      </c>
      <c r="G1279" s="1">
        <f>DATE(2023,9,6)</f>
        <v>45175</v>
      </c>
    </row>
    <row r="1280" spans="1:7" x14ac:dyDescent="0.35">
      <c r="A1280" s="2" t="s">
        <v>3668</v>
      </c>
      <c r="B1280" s="2" t="s">
        <v>3669</v>
      </c>
      <c r="D1280" t="s">
        <v>5756</v>
      </c>
      <c r="E1280" t="e">
        <v>#VALUE!</v>
      </c>
      <c r="F1280" t="s">
        <v>0</v>
      </c>
      <c r="G1280" s="1">
        <f>DATE(2023,9,8)</f>
        <v>45177</v>
      </c>
    </row>
    <row r="1281" spans="1:7" x14ac:dyDescent="0.35">
      <c r="A1281" s="2" t="s">
        <v>3670</v>
      </c>
      <c r="B1281" s="2" t="s">
        <v>3671</v>
      </c>
      <c r="D1281" t="s">
        <v>5756</v>
      </c>
      <c r="E1281" t="e">
        <v>#VALUE!</v>
      </c>
      <c r="F1281" t="s">
        <v>0</v>
      </c>
      <c r="G1281" s="1">
        <f>DATE(2023,9,18)</f>
        <v>45187</v>
      </c>
    </row>
    <row r="1282" spans="1:7" x14ac:dyDescent="0.35">
      <c r="A1282" s="2" t="s">
        <v>3672</v>
      </c>
      <c r="B1282" s="2" t="s">
        <v>3673</v>
      </c>
      <c r="D1282" t="s">
        <v>5756</v>
      </c>
      <c r="E1282" t="e">
        <v>#VALUE!</v>
      </c>
      <c r="F1282" t="s">
        <v>0</v>
      </c>
      <c r="G1282" s="1">
        <f>DATE(2023,9,22)</f>
        <v>45191</v>
      </c>
    </row>
    <row r="1283" spans="1:7" x14ac:dyDescent="0.35">
      <c r="A1283" s="2" t="s">
        <v>3674</v>
      </c>
      <c r="B1283" s="2" t="s">
        <v>3675</v>
      </c>
      <c r="D1283" t="s">
        <v>5756</v>
      </c>
      <c r="E1283" t="e">
        <v>#VALUE!</v>
      </c>
      <c r="F1283" t="s">
        <v>0</v>
      </c>
      <c r="G1283" s="1">
        <f>DATE(2023,9,27)</f>
        <v>45196</v>
      </c>
    </row>
    <row r="1284" spans="1:7" x14ac:dyDescent="0.35">
      <c r="A1284" s="2" t="s">
        <v>3676</v>
      </c>
      <c r="B1284" s="2" t="s">
        <v>3677</v>
      </c>
      <c r="D1284" t="s">
        <v>5756</v>
      </c>
      <c r="E1284" t="e">
        <v>#VALUE!</v>
      </c>
      <c r="F1284" t="s">
        <v>0</v>
      </c>
      <c r="G1284" s="1">
        <f>DATE(2023,10,5)</f>
        <v>45204</v>
      </c>
    </row>
    <row r="1285" spans="1:7" x14ac:dyDescent="0.35">
      <c r="A1285" s="2" t="s">
        <v>3678</v>
      </c>
      <c r="B1285" s="2" t="s">
        <v>3679</v>
      </c>
      <c r="D1285" t="s">
        <v>5756</v>
      </c>
      <c r="E1285" t="e">
        <v>#VALUE!</v>
      </c>
      <c r="F1285" t="s">
        <v>0</v>
      </c>
      <c r="G1285" s="1">
        <f>DATE(2023,11,29)</f>
        <v>45259</v>
      </c>
    </row>
    <row r="1286" spans="1:7" x14ac:dyDescent="0.35">
      <c r="A1286" s="2" t="s">
        <v>3680</v>
      </c>
      <c r="B1286" s="2" t="s">
        <v>3681</v>
      </c>
      <c r="D1286" t="s">
        <v>5756</v>
      </c>
      <c r="E1286" t="e">
        <v>#VALUE!</v>
      </c>
      <c r="F1286" t="s">
        <v>0</v>
      </c>
      <c r="G1286" s="1">
        <f>DATE(2023,10,12)</f>
        <v>45211</v>
      </c>
    </row>
    <row r="1287" spans="1:7" x14ac:dyDescent="0.35">
      <c r="A1287" s="2" t="s">
        <v>3682</v>
      </c>
      <c r="B1287" s="2" t="s">
        <v>3683</v>
      </c>
      <c r="D1287" t="s">
        <v>5756</v>
      </c>
      <c r="E1287" t="e">
        <v>#VALUE!</v>
      </c>
      <c r="F1287" t="s">
        <v>0</v>
      </c>
      <c r="G1287" s="1">
        <f>DATE(2023,12,14)</f>
        <v>45274</v>
      </c>
    </row>
    <row r="1288" spans="1:7" x14ac:dyDescent="0.35">
      <c r="A1288" s="2" t="s">
        <v>3684</v>
      </c>
      <c r="B1288" s="2" t="s">
        <v>3685</v>
      </c>
      <c r="D1288" t="s">
        <v>5756</v>
      </c>
      <c r="E1288" t="e">
        <v>#VALUE!</v>
      </c>
      <c r="F1288" t="s">
        <v>0</v>
      </c>
      <c r="G1288" s="1">
        <f>DATE(2023,11,15)</f>
        <v>45245</v>
      </c>
    </row>
    <row r="1289" spans="1:7" x14ac:dyDescent="0.35">
      <c r="A1289" s="2" t="s">
        <v>3686</v>
      </c>
      <c r="B1289" s="2" t="s">
        <v>3687</v>
      </c>
      <c r="D1289" t="s">
        <v>5756</v>
      </c>
      <c r="E1289" t="e">
        <v>#VALUE!</v>
      </c>
      <c r="F1289" t="s">
        <v>0</v>
      </c>
      <c r="G1289" s="1">
        <f>DATE(2023,12,1)</f>
        <v>45261</v>
      </c>
    </row>
    <row r="1290" spans="1:7" x14ac:dyDescent="0.35">
      <c r="A1290" s="2" t="s">
        <v>3688</v>
      </c>
      <c r="B1290" s="2" t="s">
        <v>3689</v>
      </c>
      <c r="C1290" s="2" t="s">
        <v>3690</v>
      </c>
      <c r="D1290" t="s">
        <v>6844</v>
      </c>
      <c r="E1290" t="s">
        <v>8481</v>
      </c>
      <c r="F1290" t="s">
        <v>0</v>
      </c>
      <c r="G1290" s="1">
        <f>DATE(2023,12,8)</f>
        <v>45268</v>
      </c>
    </row>
    <row r="1291" spans="1:7" x14ac:dyDescent="0.35">
      <c r="A1291" s="2" t="s">
        <v>3691</v>
      </c>
      <c r="B1291" s="2" t="s">
        <v>3692</v>
      </c>
      <c r="D1291" t="s">
        <v>5756</v>
      </c>
      <c r="E1291" t="e">
        <v>#VALUE!</v>
      </c>
      <c r="F1291" t="s">
        <v>0</v>
      </c>
      <c r="G1291" s="1">
        <f>DATE(2023,12,8)</f>
        <v>45268</v>
      </c>
    </row>
    <row r="1292" spans="1:7" x14ac:dyDescent="0.35">
      <c r="A1292" s="2" t="s">
        <v>3693</v>
      </c>
      <c r="B1292" s="2" t="s">
        <v>3694</v>
      </c>
      <c r="D1292" t="s">
        <v>5756</v>
      </c>
      <c r="E1292" t="e">
        <v>#VALUE!</v>
      </c>
      <c r="F1292" t="s">
        <v>0</v>
      </c>
      <c r="G1292" s="1">
        <f>DATE(2023,12,21)</f>
        <v>45281</v>
      </c>
    </row>
    <row r="1293" spans="1:7" x14ac:dyDescent="0.35">
      <c r="A1293" s="2" t="s">
        <v>3695</v>
      </c>
      <c r="B1293" s="2" t="s">
        <v>3696</v>
      </c>
      <c r="D1293" t="s">
        <v>5756</v>
      </c>
      <c r="E1293" t="e">
        <v>#VALUE!</v>
      </c>
      <c r="F1293" t="s">
        <v>0</v>
      </c>
      <c r="G1293" s="1">
        <f>DATE(2023,12,26)</f>
        <v>45286</v>
      </c>
    </row>
    <row r="1294" spans="1:7" x14ac:dyDescent="0.35">
      <c r="A1294" s="2" t="s">
        <v>3697</v>
      </c>
      <c r="B1294" s="2" t="s">
        <v>3698</v>
      </c>
      <c r="D1294" t="s">
        <v>5756</v>
      </c>
      <c r="E1294" t="e">
        <v>#VALUE!</v>
      </c>
      <c r="F1294" t="s">
        <v>0</v>
      </c>
      <c r="G1294" s="1">
        <f>DATE(2023,12,28)</f>
        <v>45288</v>
      </c>
    </row>
    <row r="1295" spans="1:7" x14ac:dyDescent="0.35">
      <c r="A1295" s="2" t="s">
        <v>3699</v>
      </c>
      <c r="B1295" s="2" t="s">
        <v>3700</v>
      </c>
      <c r="D1295" t="s">
        <v>5756</v>
      </c>
      <c r="E1295" t="e">
        <v>#VALUE!</v>
      </c>
      <c r="F1295" t="s">
        <v>0</v>
      </c>
      <c r="G1295" s="1">
        <f>DATE(2024,1,24)</f>
        <v>45315</v>
      </c>
    </row>
    <row r="1296" spans="1:7" x14ac:dyDescent="0.35">
      <c r="A1296" s="2" t="s">
        <v>3701</v>
      </c>
      <c r="B1296" s="2" t="s">
        <v>3702</v>
      </c>
      <c r="D1296" t="s">
        <v>5756</v>
      </c>
      <c r="E1296" t="e">
        <v>#VALUE!</v>
      </c>
      <c r="F1296" t="s">
        <v>0</v>
      </c>
      <c r="G1296" s="1">
        <f>DATE(2024,1,29)</f>
        <v>45320</v>
      </c>
    </row>
    <row r="1297" spans="1:7" x14ac:dyDescent="0.35">
      <c r="A1297" s="2" t="s">
        <v>3703</v>
      </c>
      <c r="B1297" s="2" t="s">
        <v>3704</v>
      </c>
      <c r="D1297" t="s">
        <v>5756</v>
      </c>
      <c r="E1297" t="e">
        <v>#VALUE!</v>
      </c>
      <c r="F1297" t="s">
        <v>0</v>
      </c>
      <c r="G1297" s="1">
        <f>DATE(2024,2,14)</f>
        <v>45336</v>
      </c>
    </row>
    <row r="1298" spans="1:7" x14ac:dyDescent="0.35">
      <c r="A1298" s="2" t="s">
        <v>3705</v>
      </c>
      <c r="B1298" s="2" t="s">
        <v>3706</v>
      </c>
      <c r="C1298" s="2" t="s">
        <v>3707</v>
      </c>
      <c r="D1298" t="s">
        <v>6845</v>
      </c>
      <c r="E1298" t="s">
        <v>8482</v>
      </c>
      <c r="F1298" t="s">
        <v>0</v>
      </c>
      <c r="G1298" s="1">
        <f>DATE(2023,11,16)</f>
        <v>45246</v>
      </c>
    </row>
    <row r="1299" spans="1:7" x14ac:dyDescent="0.35">
      <c r="A1299" s="2" t="s">
        <v>3708</v>
      </c>
      <c r="B1299" s="2" t="s">
        <v>3709</v>
      </c>
      <c r="C1299" s="2" t="s">
        <v>51</v>
      </c>
      <c r="D1299" t="s">
        <v>5757</v>
      </c>
      <c r="E1299" t="s">
        <v>7393</v>
      </c>
      <c r="F1299" t="s">
        <v>0</v>
      </c>
      <c r="G1299" s="1">
        <f>DATE(2023,11,16)</f>
        <v>45246</v>
      </c>
    </row>
    <row r="1300" spans="1:7" x14ac:dyDescent="0.35">
      <c r="A1300" s="2" t="s">
        <v>3710</v>
      </c>
      <c r="B1300" s="2" t="s">
        <v>3711</v>
      </c>
      <c r="C1300" s="2" t="s">
        <v>3712</v>
      </c>
      <c r="D1300" t="s">
        <v>6846</v>
      </c>
      <c r="E1300" t="s">
        <v>8483</v>
      </c>
      <c r="F1300" t="s">
        <v>0</v>
      </c>
      <c r="G1300" s="1">
        <f>DATE(2023,11,16)</f>
        <v>45246</v>
      </c>
    </row>
    <row r="1301" spans="1:7" x14ac:dyDescent="0.35">
      <c r="A1301" s="2" t="s">
        <v>3713</v>
      </c>
      <c r="B1301" s="2" t="s">
        <v>3714</v>
      </c>
      <c r="C1301" s="2" t="s">
        <v>3715</v>
      </c>
      <c r="D1301" t="s">
        <v>6847</v>
      </c>
      <c r="E1301" t="s">
        <v>8484</v>
      </c>
      <c r="F1301" t="s">
        <v>0</v>
      </c>
      <c r="G1301" s="1">
        <f>DATE(2023,11,16)</f>
        <v>45246</v>
      </c>
    </row>
    <row r="1302" spans="1:7" x14ac:dyDescent="0.35">
      <c r="A1302" s="2" t="s">
        <v>3716</v>
      </c>
      <c r="B1302" s="2" t="s">
        <v>3717</v>
      </c>
      <c r="C1302" s="2" t="s">
        <v>3718</v>
      </c>
      <c r="D1302" t="s">
        <v>6848</v>
      </c>
      <c r="E1302" t="s">
        <v>8485</v>
      </c>
      <c r="F1302" t="s">
        <v>0</v>
      </c>
      <c r="G1302" s="1">
        <f>DATE(2023,8,7)</f>
        <v>45145</v>
      </c>
    </row>
    <row r="1303" spans="1:7" x14ac:dyDescent="0.35">
      <c r="A1303" s="2" t="s">
        <v>3719</v>
      </c>
      <c r="B1303" s="2" t="s">
        <v>3720</v>
      </c>
      <c r="C1303" s="2" t="s">
        <v>3721</v>
      </c>
      <c r="D1303" t="s">
        <v>6849</v>
      </c>
      <c r="E1303" t="s">
        <v>8486</v>
      </c>
      <c r="F1303" t="s">
        <v>0</v>
      </c>
      <c r="G1303" s="1">
        <f>DATE(2020,1,17)</f>
        <v>43847</v>
      </c>
    </row>
    <row r="1304" spans="1:7" x14ac:dyDescent="0.35">
      <c r="A1304" s="2" t="s">
        <v>3722</v>
      </c>
      <c r="B1304" s="2" t="s">
        <v>3723</v>
      </c>
      <c r="D1304" t="s">
        <v>5756</v>
      </c>
      <c r="E1304" t="e">
        <v>#VALUE!</v>
      </c>
      <c r="F1304" t="s">
        <v>0</v>
      </c>
      <c r="G1304" s="1">
        <f>DATE(2020,3,30)</f>
        <v>43920</v>
      </c>
    </row>
    <row r="1305" spans="1:7" x14ac:dyDescent="0.35">
      <c r="A1305" s="2" t="s">
        <v>3724</v>
      </c>
      <c r="B1305" s="2" t="s">
        <v>3725</v>
      </c>
      <c r="D1305" t="s">
        <v>5756</v>
      </c>
      <c r="E1305" t="e">
        <v>#VALUE!</v>
      </c>
      <c r="F1305" t="s">
        <v>0</v>
      </c>
      <c r="G1305" s="1">
        <f>DATE(2020,3,30)</f>
        <v>43920</v>
      </c>
    </row>
    <row r="1306" spans="1:7" x14ac:dyDescent="0.35">
      <c r="A1306" s="2" t="s">
        <v>3726</v>
      </c>
      <c r="B1306" s="2" t="s">
        <v>3727</v>
      </c>
      <c r="D1306" t="s">
        <v>5756</v>
      </c>
      <c r="E1306" t="e">
        <v>#VALUE!</v>
      </c>
      <c r="F1306" t="s">
        <v>0</v>
      </c>
      <c r="G1306" s="1">
        <f>DATE(2020,3,30)</f>
        <v>43920</v>
      </c>
    </row>
    <row r="1307" spans="1:7" x14ac:dyDescent="0.35">
      <c r="A1307" s="2" t="s">
        <v>3728</v>
      </c>
      <c r="B1307" s="2" t="s">
        <v>3729</v>
      </c>
      <c r="D1307" t="s">
        <v>5756</v>
      </c>
      <c r="E1307" t="e">
        <v>#VALUE!</v>
      </c>
      <c r="F1307" t="s">
        <v>0</v>
      </c>
      <c r="G1307" s="1">
        <f>DATE(2023,11,8)</f>
        <v>45238</v>
      </c>
    </row>
    <row r="1308" spans="1:7" x14ac:dyDescent="0.35">
      <c r="A1308" s="2" t="s">
        <v>3730</v>
      </c>
      <c r="B1308" s="2" t="s">
        <v>3731</v>
      </c>
      <c r="D1308" t="s">
        <v>5756</v>
      </c>
      <c r="E1308" t="e">
        <v>#VALUE!</v>
      </c>
      <c r="F1308" t="s">
        <v>0</v>
      </c>
      <c r="G1308" s="1">
        <f>DATE(2021,11,19)</f>
        <v>44519</v>
      </c>
    </row>
    <row r="1309" spans="1:7" x14ac:dyDescent="0.35">
      <c r="A1309" s="2" t="s">
        <v>3732</v>
      </c>
      <c r="B1309" s="2" t="s">
        <v>3733</v>
      </c>
      <c r="D1309" t="s">
        <v>5756</v>
      </c>
      <c r="E1309" t="e">
        <v>#VALUE!</v>
      </c>
      <c r="F1309" t="s">
        <v>0</v>
      </c>
      <c r="G1309" s="1">
        <f>DATE(2020,7,30)</f>
        <v>44042</v>
      </c>
    </row>
    <row r="1310" spans="1:7" x14ac:dyDescent="0.35">
      <c r="A1310" s="2" t="s">
        <v>3734</v>
      </c>
      <c r="B1310" s="2" t="s">
        <v>3735</v>
      </c>
      <c r="D1310" t="s">
        <v>5756</v>
      </c>
      <c r="E1310" t="e">
        <v>#VALUE!</v>
      </c>
      <c r="F1310" t="s">
        <v>0</v>
      </c>
      <c r="G1310" s="1">
        <f>DATE(2020,11,3)</f>
        <v>44138</v>
      </c>
    </row>
    <row r="1311" spans="1:7" x14ac:dyDescent="0.35">
      <c r="A1311" s="2" t="s">
        <v>3736</v>
      </c>
      <c r="B1311" s="2" t="s">
        <v>3737</v>
      </c>
      <c r="D1311" t="s">
        <v>5756</v>
      </c>
      <c r="E1311" t="e">
        <v>#VALUE!</v>
      </c>
      <c r="F1311" t="s">
        <v>0</v>
      </c>
      <c r="G1311" s="1">
        <f>DATE(2021,2,11)</f>
        <v>44238</v>
      </c>
    </row>
    <row r="1312" spans="1:7" x14ac:dyDescent="0.35">
      <c r="A1312" s="2" t="s">
        <v>3738</v>
      </c>
      <c r="B1312" s="2" t="s">
        <v>3739</v>
      </c>
      <c r="D1312" t="s">
        <v>5756</v>
      </c>
      <c r="E1312" t="e">
        <v>#VALUE!</v>
      </c>
      <c r="F1312" t="s">
        <v>0</v>
      </c>
      <c r="G1312" s="1">
        <f>DATE(2021,10,28)</f>
        <v>44497</v>
      </c>
    </row>
    <row r="1313" spans="1:7" x14ac:dyDescent="0.35">
      <c r="A1313" s="2" t="s">
        <v>3740</v>
      </c>
      <c r="B1313" s="2" t="s">
        <v>3741</v>
      </c>
      <c r="D1313" t="s">
        <v>5756</v>
      </c>
      <c r="E1313" t="e">
        <v>#VALUE!</v>
      </c>
      <c r="F1313" t="s">
        <v>0</v>
      </c>
      <c r="G1313" s="1">
        <f>DATE(2021,2,11)</f>
        <v>44238</v>
      </c>
    </row>
    <row r="1314" spans="1:7" x14ac:dyDescent="0.35">
      <c r="A1314" s="2" t="s">
        <v>3742</v>
      </c>
      <c r="B1314" s="2" t="s">
        <v>3743</v>
      </c>
      <c r="D1314" t="s">
        <v>5756</v>
      </c>
      <c r="E1314" t="e">
        <v>#VALUE!</v>
      </c>
      <c r="F1314" t="s">
        <v>0</v>
      </c>
      <c r="G1314" s="1">
        <f>DATE(2020,12,7)</f>
        <v>44172</v>
      </c>
    </row>
    <row r="1315" spans="1:7" x14ac:dyDescent="0.35">
      <c r="A1315" s="2" t="s">
        <v>3744</v>
      </c>
      <c r="B1315" s="2" t="s">
        <v>3745</v>
      </c>
      <c r="D1315" t="s">
        <v>5756</v>
      </c>
      <c r="E1315" t="e">
        <v>#VALUE!</v>
      </c>
      <c r="F1315" t="s">
        <v>0</v>
      </c>
      <c r="G1315" s="1">
        <f>DATE(2020,11,30)</f>
        <v>44165</v>
      </c>
    </row>
    <row r="1316" spans="1:7" x14ac:dyDescent="0.35">
      <c r="A1316" s="2" t="s">
        <v>3746</v>
      </c>
      <c r="B1316" s="2" t="s">
        <v>3747</v>
      </c>
      <c r="D1316" t="s">
        <v>5756</v>
      </c>
      <c r="E1316" t="e">
        <v>#VALUE!</v>
      </c>
      <c r="F1316" t="s">
        <v>0</v>
      </c>
      <c r="G1316" s="1">
        <f>DATE(2020,12,7)</f>
        <v>44172</v>
      </c>
    </row>
    <row r="1317" spans="1:7" x14ac:dyDescent="0.35">
      <c r="A1317" s="2" t="s">
        <v>3748</v>
      </c>
      <c r="B1317" s="2" t="s">
        <v>3749</v>
      </c>
      <c r="D1317" t="s">
        <v>5756</v>
      </c>
      <c r="E1317" t="e">
        <v>#VALUE!</v>
      </c>
      <c r="F1317" t="s">
        <v>0</v>
      </c>
      <c r="G1317" s="1">
        <f>DATE(2021,1,15)</f>
        <v>44211</v>
      </c>
    </row>
    <row r="1318" spans="1:7" x14ac:dyDescent="0.35">
      <c r="A1318" s="2" t="s">
        <v>3750</v>
      </c>
      <c r="B1318" s="2" t="s">
        <v>3751</v>
      </c>
      <c r="D1318" t="s">
        <v>5756</v>
      </c>
      <c r="E1318" t="e">
        <v>#VALUE!</v>
      </c>
      <c r="F1318" t="s">
        <v>0</v>
      </c>
      <c r="G1318" s="1">
        <f>DATE(2021,2,18)</f>
        <v>44245</v>
      </c>
    </row>
    <row r="1319" spans="1:7" x14ac:dyDescent="0.35">
      <c r="A1319" s="2" t="s">
        <v>3752</v>
      </c>
      <c r="B1319" s="2" t="s">
        <v>3753</v>
      </c>
      <c r="D1319" t="s">
        <v>5756</v>
      </c>
      <c r="E1319" t="e">
        <v>#VALUE!</v>
      </c>
      <c r="F1319" t="s">
        <v>0</v>
      </c>
      <c r="G1319" s="1">
        <f>DATE(2023,11,16)</f>
        <v>45246</v>
      </c>
    </row>
    <row r="1320" spans="1:7" x14ac:dyDescent="0.35">
      <c r="A1320" s="2" t="s">
        <v>3754</v>
      </c>
      <c r="B1320" s="2" t="s">
        <v>3755</v>
      </c>
      <c r="D1320" t="s">
        <v>5756</v>
      </c>
      <c r="E1320" t="e">
        <v>#VALUE!</v>
      </c>
      <c r="F1320" t="s">
        <v>0</v>
      </c>
      <c r="G1320" s="1">
        <f>DATE(2023,9,4)</f>
        <v>45173</v>
      </c>
    </row>
    <row r="1321" spans="1:7" x14ac:dyDescent="0.35">
      <c r="A1321" s="2" t="s">
        <v>3756</v>
      </c>
      <c r="B1321" s="2" t="s">
        <v>3757</v>
      </c>
      <c r="D1321" t="s">
        <v>5756</v>
      </c>
      <c r="E1321" t="e">
        <v>#VALUE!</v>
      </c>
      <c r="F1321" t="s">
        <v>0</v>
      </c>
      <c r="G1321" s="1">
        <f>DATE(2023,11,16)</f>
        <v>45246</v>
      </c>
    </row>
    <row r="1322" spans="1:7" x14ac:dyDescent="0.35">
      <c r="A1322" s="2" t="s">
        <v>3758</v>
      </c>
      <c r="B1322" s="2" t="s">
        <v>3759</v>
      </c>
      <c r="D1322" t="s">
        <v>5756</v>
      </c>
      <c r="E1322" t="e">
        <v>#VALUE!</v>
      </c>
      <c r="F1322" t="s">
        <v>0</v>
      </c>
      <c r="G1322" s="1">
        <f>DATE(2020,11,12)</f>
        <v>44147</v>
      </c>
    </row>
    <row r="1323" spans="1:7" x14ac:dyDescent="0.35">
      <c r="A1323" s="2" t="s">
        <v>3760</v>
      </c>
      <c r="B1323" s="2" t="s">
        <v>3761</v>
      </c>
      <c r="D1323" t="s">
        <v>5756</v>
      </c>
      <c r="E1323" t="e">
        <v>#VALUE!</v>
      </c>
      <c r="F1323" t="s">
        <v>0</v>
      </c>
      <c r="G1323" s="1">
        <f>DATE(2021,12,6)</f>
        <v>44536</v>
      </c>
    </row>
    <row r="1324" spans="1:7" x14ac:dyDescent="0.35">
      <c r="A1324" s="2" t="s">
        <v>3762</v>
      </c>
      <c r="B1324" s="2" t="s">
        <v>3763</v>
      </c>
      <c r="D1324" t="s">
        <v>5756</v>
      </c>
      <c r="E1324" t="e">
        <v>#VALUE!</v>
      </c>
      <c r="F1324" t="s">
        <v>0</v>
      </c>
      <c r="G1324" s="1">
        <f>DATE(2021,1,8)</f>
        <v>44204</v>
      </c>
    </row>
    <row r="1325" spans="1:7" x14ac:dyDescent="0.35">
      <c r="A1325" s="2" t="s">
        <v>3764</v>
      </c>
      <c r="B1325" s="2" t="s">
        <v>3765</v>
      </c>
      <c r="D1325" t="s">
        <v>5756</v>
      </c>
      <c r="E1325" t="e">
        <v>#VALUE!</v>
      </c>
      <c r="F1325" t="s">
        <v>0</v>
      </c>
      <c r="G1325" s="1">
        <f>DATE(2021,1,8)</f>
        <v>44204</v>
      </c>
    </row>
    <row r="1326" spans="1:7" x14ac:dyDescent="0.35">
      <c r="A1326" s="2" t="s">
        <v>3766</v>
      </c>
      <c r="B1326" s="2" t="s">
        <v>3767</v>
      </c>
      <c r="D1326" t="s">
        <v>5756</v>
      </c>
      <c r="E1326" t="e">
        <v>#VALUE!</v>
      </c>
      <c r="F1326" t="s">
        <v>0</v>
      </c>
      <c r="G1326" s="1">
        <f>DATE(2022,12,14)</f>
        <v>44909</v>
      </c>
    </row>
    <row r="1327" spans="1:7" x14ac:dyDescent="0.35">
      <c r="A1327" s="2" t="s">
        <v>3768</v>
      </c>
      <c r="B1327" s="2" t="s">
        <v>3769</v>
      </c>
      <c r="D1327" t="s">
        <v>5756</v>
      </c>
      <c r="E1327" t="e">
        <v>#VALUE!</v>
      </c>
      <c r="F1327" t="s">
        <v>0</v>
      </c>
      <c r="G1327" s="1">
        <f>DATE(2021,1,8)</f>
        <v>44204</v>
      </c>
    </row>
    <row r="1328" spans="1:7" x14ac:dyDescent="0.35">
      <c r="A1328" s="2" t="s">
        <v>3770</v>
      </c>
      <c r="B1328" s="2" t="s">
        <v>3771</v>
      </c>
      <c r="D1328" t="s">
        <v>5756</v>
      </c>
      <c r="E1328" t="e">
        <v>#VALUE!</v>
      </c>
      <c r="F1328" t="s">
        <v>0</v>
      </c>
      <c r="G1328" s="1">
        <f>DATE(2020,12,4)</f>
        <v>44169</v>
      </c>
    </row>
    <row r="1329" spans="1:7" x14ac:dyDescent="0.35">
      <c r="A1329" s="2" t="s">
        <v>3772</v>
      </c>
      <c r="B1329" s="2" t="s">
        <v>3773</v>
      </c>
      <c r="D1329" t="s">
        <v>5756</v>
      </c>
      <c r="E1329" t="e">
        <v>#VALUE!</v>
      </c>
      <c r="F1329" t="s">
        <v>0</v>
      </c>
      <c r="G1329" s="1">
        <f>DATE(2021,1,8)</f>
        <v>44204</v>
      </c>
    </row>
    <row r="1330" spans="1:7" x14ac:dyDescent="0.35">
      <c r="A1330" s="2" t="s">
        <v>3774</v>
      </c>
      <c r="B1330" s="2" t="s">
        <v>3775</v>
      </c>
      <c r="D1330" t="s">
        <v>5756</v>
      </c>
      <c r="E1330" t="e">
        <v>#VALUE!</v>
      </c>
      <c r="F1330" t="s">
        <v>0</v>
      </c>
      <c r="G1330" s="1">
        <f>DATE(2021,1,15)</f>
        <v>44211</v>
      </c>
    </row>
    <row r="1331" spans="1:7" x14ac:dyDescent="0.35">
      <c r="A1331" s="2" t="s">
        <v>3776</v>
      </c>
      <c r="B1331" s="2" t="s">
        <v>3777</v>
      </c>
      <c r="D1331" t="s">
        <v>5756</v>
      </c>
      <c r="E1331" t="e">
        <v>#VALUE!</v>
      </c>
      <c r="F1331" t="s">
        <v>0</v>
      </c>
      <c r="G1331" s="1">
        <f>DATE(2021,3,25)</f>
        <v>44280</v>
      </c>
    </row>
    <row r="1332" spans="1:7" x14ac:dyDescent="0.35">
      <c r="A1332" s="2" t="s">
        <v>3778</v>
      </c>
      <c r="B1332" s="2" t="s">
        <v>3779</v>
      </c>
      <c r="D1332" t="s">
        <v>5756</v>
      </c>
      <c r="E1332" t="e">
        <v>#VALUE!</v>
      </c>
      <c r="F1332" t="s">
        <v>0</v>
      </c>
      <c r="G1332" s="1">
        <f>DATE(2022,10,4)</f>
        <v>44838</v>
      </c>
    </row>
    <row r="1333" spans="1:7" x14ac:dyDescent="0.35">
      <c r="A1333" s="2" t="s">
        <v>3780</v>
      </c>
      <c r="B1333" s="2" t="s">
        <v>3781</v>
      </c>
      <c r="D1333" t="s">
        <v>5756</v>
      </c>
      <c r="E1333" t="e">
        <v>#VALUE!</v>
      </c>
      <c r="F1333" t="s">
        <v>0</v>
      </c>
      <c r="G1333" s="1">
        <f>DATE(2021,3,2)</f>
        <v>44257</v>
      </c>
    </row>
    <row r="1334" spans="1:7" x14ac:dyDescent="0.35">
      <c r="A1334" s="2" t="s">
        <v>3782</v>
      </c>
      <c r="B1334" s="2" t="s">
        <v>3783</v>
      </c>
      <c r="D1334" t="s">
        <v>5756</v>
      </c>
      <c r="E1334" t="e">
        <v>#VALUE!</v>
      </c>
      <c r="F1334" t="s">
        <v>0</v>
      </c>
      <c r="G1334" s="1">
        <f>DATE(2021,3,2)</f>
        <v>44257</v>
      </c>
    </row>
    <row r="1335" spans="1:7" x14ac:dyDescent="0.35">
      <c r="A1335" s="2" t="s">
        <v>3784</v>
      </c>
      <c r="B1335" s="2" t="s">
        <v>3785</v>
      </c>
      <c r="D1335" t="s">
        <v>5756</v>
      </c>
      <c r="E1335" t="e">
        <v>#VALUE!</v>
      </c>
      <c r="F1335" t="s">
        <v>0</v>
      </c>
      <c r="G1335" s="1">
        <f>DATE(2021,9,16)</f>
        <v>44455</v>
      </c>
    </row>
    <row r="1336" spans="1:7" x14ac:dyDescent="0.35">
      <c r="A1336" s="2" t="s">
        <v>3786</v>
      </c>
      <c r="B1336" s="2" t="s">
        <v>3787</v>
      </c>
      <c r="D1336" t="s">
        <v>5756</v>
      </c>
      <c r="E1336" t="e">
        <v>#VALUE!</v>
      </c>
      <c r="F1336" t="s">
        <v>0</v>
      </c>
      <c r="G1336" s="1">
        <f>DATE(2023,7,27)</f>
        <v>45134</v>
      </c>
    </row>
    <row r="1337" spans="1:7" x14ac:dyDescent="0.35">
      <c r="A1337" s="2" t="s">
        <v>3788</v>
      </c>
      <c r="B1337" s="2" t="s">
        <v>3789</v>
      </c>
      <c r="D1337" t="s">
        <v>5756</v>
      </c>
      <c r="E1337" t="e">
        <v>#VALUE!</v>
      </c>
      <c r="F1337" t="s">
        <v>0</v>
      </c>
      <c r="G1337" s="1">
        <f>DATE(2021,7,23)</f>
        <v>44400</v>
      </c>
    </row>
    <row r="1338" spans="1:7" x14ac:dyDescent="0.35">
      <c r="A1338" s="2" t="s">
        <v>3790</v>
      </c>
      <c r="B1338" s="2" t="s">
        <v>3791</v>
      </c>
      <c r="D1338" t="s">
        <v>5756</v>
      </c>
      <c r="E1338" t="e">
        <v>#VALUE!</v>
      </c>
      <c r="F1338" t="s">
        <v>0</v>
      </c>
      <c r="G1338" s="1">
        <f>DATE(2021,7,13)</f>
        <v>44390</v>
      </c>
    </row>
    <row r="1339" spans="1:7" x14ac:dyDescent="0.35">
      <c r="A1339" s="2" t="s">
        <v>3792</v>
      </c>
      <c r="B1339" s="2" t="s">
        <v>3793</v>
      </c>
      <c r="D1339" t="s">
        <v>5756</v>
      </c>
      <c r="E1339" t="e">
        <v>#VALUE!</v>
      </c>
      <c r="F1339" t="s">
        <v>0</v>
      </c>
      <c r="G1339" s="1">
        <f>DATE(2021,8,6)</f>
        <v>44414</v>
      </c>
    </row>
    <row r="1340" spans="1:7" x14ac:dyDescent="0.35">
      <c r="A1340" s="2" t="s">
        <v>3794</v>
      </c>
      <c r="B1340" s="2" t="s">
        <v>3795</v>
      </c>
      <c r="D1340" t="s">
        <v>5756</v>
      </c>
      <c r="E1340" t="e">
        <v>#VALUE!</v>
      </c>
      <c r="F1340" t="s">
        <v>0</v>
      </c>
      <c r="G1340" s="1">
        <f>DATE(2021,8,10)</f>
        <v>44418</v>
      </c>
    </row>
    <row r="1341" spans="1:7" x14ac:dyDescent="0.35">
      <c r="A1341" s="2" t="s">
        <v>3796</v>
      </c>
      <c r="B1341" s="2" t="s">
        <v>3797</v>
      </c>
      <c r="D1341" t="s">
        <v>5756</v>
      </c>
      <c r="E1341" t="e">
        <v>#VALUE!</v>
      </c>
      <c r="F1341" t="s">
        <v>0</v>
      </c>
      <c r="G1341" s="1">
        <f>DATE(2021,8,10)</f>
        <v>44418</v>
      </c>
    </row>
    <row r="1342" spans="1:7" x14ac:dyDescent="0.35">
      <c r="A1342" s="2" t="s">
        <v>3798</v>
      </c>
      <c r="B1342" s="2" t="s">
        <v>3799</v>
      </c>
      <c r="C1342" s="2" t="s">
        <v>483</v>
      </c>
      <c r="D1342" t="s">
        <v>5891</v>
      </c>
      <c r="E1342" t="s">
        <v>7527</v>
      </c>
      <c r="F1342" t="s">
        <v>0</v>
      </c>
      <c r="G1342" s="1">
        <f>DATE(2023,3,30)</f>
        <v>45015</v>
      </c>
    </row>
    <row r="1343" spans="1:7" x14ac:dyDescent="0.35">
      <c r="A1343" s="2" t="s">
        <v>3800</v>
      </c>
      <c r="B1343" s="2" t="s">
        <v>3801</v>
      </c>
      <c r="C1343" s="2" t="s">
        <v>3802</v>
      </c>
      <c r="D1343" t="s">
        <v>6850</v>
      </c>
      <c r="E1343" t="s">
        <v>8487</v>
      </c>
      <c r="F1343" t="s">
        <v>0</v>
      </c>
      <c r="G1343" s="1">
        <f>DATE(2021,9,7)</f>
        <v>44446</v>
      </c>
    </row>
    <row r="1344" spans="1:7" x14ac:dyDescent="0.35">
      <c r="A1344" s="2" t="s">
        <v>3803</v>
      </c>
      <c r="B1344" s="2" t="s">
        <v>3804</v>
      </c>
      <c r="D1344" t="s">
        <v>5756</v>
      </c>
      <c r="E1344" t="e">
        <v>#VALUE!</v>
      </c>
      <c r="F1344" t="s">
        <v>0</v>
      </c>
      <c r="G1344" s="1">
        <f>DATE(2021,10,1)</f>
        <v>44470</v>
      </c>
    </row>
    <row r="1345" spans="1:7" x14ac:dyDescent="0.35">
      <c r="A1345" s="2" t="s">
        <v>3805</v>
      </c>
      <c r="B1345" s="2" t="s">
        <v>3806</v>
      </c>
      <c r="D1345" t="s">
        <v>5756</v>
      </c>
      <c r="E1345" t="e">
        <v>#VALUE!</v>
      </c>
      <c r="F1345" t="s">
        <v>0</v>
      </c>
      <c r="G1345" s="1">
        <f>DATE(2021,10,14)</f>
        <v>44483</v>
      </c>
    </row>
    <row r="1346" spans="1:7" x14ac:dyDescent="0.35">
      <c r="A1346" s="2" t="s">
        <v>3807</v>
      </c>
      <c r="B1346" s="2" t="s">
        <v>3808</v>
      </c>
      <c r="D1346" t="s">
        <v>5756</v>
      </c>
      <c r="E1346" t="e">
        <v>#VALUE!</v>
      </c>
      <c r="F1346" t="s">
        <v>0</v>
      </c>
      <c r="G1346" s="1">
        <f>DATE(2022,1,13)</f>
        <v>44574</v>
      </c>
    </row>
    <row r="1347" spans="1:7" x14ac:dyDescent="0.35">
      <c r="A1347" s="2" t="s">
        <v>3809</v>
      </c>
      <c r="B1347" s="2" t="s">
        <v>3810</v>
      </c>
      <c r="D1347" t="s">
        <v>5756</v>
      </c>
      <c r="E1347" t="e">
        <v>#VALUE!</v>
      </c>
      <c r="F1347" t="s">
        <v>0</v>
      </c>
      <c r="G1347" s="1">
        <f>DATE(2021,11,26)</f>
        <v>44526</v>
      </c>
    </row>
    <row r="1348" spans="1:7" x14ac:dyDescent="0.35">
      <c r="A1348" s="2" t="s">
        <v>3811</v>
      </c>
      <c r="B1348" s="2" t="s">
        <v>3812</v>
      </c>
      <c r="D1348" t="s">
        <v>5756</v>
      </c>
      <c r="E1348" t="e">
        <v>#VALUE!</v>
      </c>
      <c r="F1348" t="s">
        <v>0</v>
      </c>
      <c r="G1348" s="1">
        <f>DATE(2023,2,3)</f>
        <v>44960</v>
      </c>
    </row>
    <row r="1349" spans="1:7" x14ac:dyDescent="0.35">
      <c r="A1349" s="2" t="s">
        <v>3813</v>
      </c>
      <c r="B1349" s="2" t="s">
        <v>3814</v>
      </c>
      <c r="D1349" t="s">
        <v>5756</v>
      </c>
      <c r="E1349" t="e">
        <v>#VALUE!</v>
      </c>
      <c r="F1349" t="s">
        <v>0</v>
      </c>
      <c r="G1349" s="1">
        <f>DATE(2021,11,25)</f>
        <v>44525</v>
      </c>
    </row>
    <row r="1350" spans="1:7" x14ac:dyDescent="0.35">
      <c r="A1350" s="2" t="s">
        <v>3815</v>
      </c>
      <c r="B1350" s="2" t="s">
        <v>3816</v>
      </c>
      <c r="C1350" s="2" t="s">
        <v>3817</v>
      </c>
      <c r="D1350" t="s">
        <v>6851</v>
      </c>
      <c r="E1350" t="s">
        <v>8488</v>
      </c>
      <c r="F1350" t="s">
        <v>0</v>
      </c>
      <c r="G1350" s="1">
        <f>DATE(2021,11,30)</f>
        <v>44530</v>
      </c>
    </row>
    <row r="1351" spans="1:7" x14ac:dyDescent="0.35">
      <c r="A1351" s="2" t="s">
        <v>3818</v>
      </c>
      <c r="B1351" s="2" t="s">
        <v>3819</v>
      </c>
      <c r="D1351" t="s">
        <v>5756</v>
      </c>
      <c r="E1351" t="e">
        <v>#VALUE!</v>
      </c>
      <c r="F1351" t="s">
        <v>0</v>
      </c>
      <c r="G1351" s="1">
        <f>DATE(2022,12,14)</f>
        <v>44909</v>
      </c>
    </row>
    <row r="1352" spans="1:7" x14ac:dyDescent="0.35">
      <c r="A1352" s="2" t="s">
        <v>3820</v>
      </c>
      <c r="B1352" s="2" t="s">
        <v>3821</v>
      </c>
      <c r="D1352" t="s">
        <v>5756</v>
      </c>
      <c r="E1352" t="e">
        <v>#VALUE!</v>
      </c>
      <c r="F1352" t="s">
        <v>0</v>
      </c>
      <c r="G1352" s="1">
        <f>DATE(2022,2,4)</f>
        <v>44596</v>
      </c>
    </row>
    <row r="1353" spans="1:7" x14ac:dyDescent="0.35">
      <c r="A1353" s="2" t="s">
        <v>3822</v>
      </c>
      <c r="B1353" s="2" t="s">
        <v>3823</v>
      </c>
      <c r="D1353" t="s">
        <v>5756</v>
      </c>
      <c r="E1353" t="e">
        <v>#VALUE!</v>
      </c>
      <c r="F1353" t="s">
        <v>0</v>
      </c>
      <c r="G1353" s="1">
        <f>DATE(2022,4,25)</f>
        <v>44676</v>
      </c>
    </row>
    <row r="1354" spans="1:7" x14ac:dyDescent="0.35">
      <c r="A1354" s="2" t="s">
        <v>3824</v>
      </c>
      <c r="B1354" s="2" t="s">
        <v>3825</v>
      </c>
      <c r="C1354" s="2" t="s">
        <v>3826</v>
      </c>
      <c r="D1354" t="s">
        <v>6852</v>
      </c>
      <c r="E1354" t="s">
        <v>8489</v>
      </c>
      <c r="F1354" t="s">
        <v>0</v>
      </c>
      <c r="G1354" s="1">
        <f>DATE(2022,5,20)</f>
        <v>44701</v>
      </c>
    </row>
    <row r="1355" spans="1:7" x14ac:dyDescent="0.35">
      <c r="A1355" s="2" t="s">
        <v>3827</v>
      </c>
      <c r="B1355" s="2" t="s">
        <v>3828</v>
      </c>
      <c r="D1355" t="s">
        <v>5756</v>
      </c>
      <c r="E1355" t="e">
        <v>#VALUE!</v>
      </c>
      <c r="F1355" t="s">
        <v>0</v>
      </c>
      <c r="G1355" s="1">
        <f>DATE(2023,11,16)</f>
        <v>45246</v>
      </c>
    </row>
    <row r="1356" spans="1:7" x14ac:dyDescent="0.35">
      <c r="A1356" s="2" t="s">
        <v>3829</v>
      </c>
      <c r="B1356" s="2" t="s">
        <v>3830</v>
      </c>
      <c r="D1356" t="s">
        <v>5756</v>
      </c>
      <c r="E1356" t="e">
        <v>#VALUE!</v>
      </c>
      <c r="F1356" t="s">
        <v>0</v>
      </c>
      <c r="G1356" s="1">
        <f>DATE(2022,3,9)</f>
        <v>44629</v>
      </c>
    </row>
    <row r="1357" spans="1:7" x14ac:dyDescent="0.35">
      <c r="A1357" s="2" t="s">
        <v>3831</v>
      </c>
      <c r="B1357" s="2" t="s">
        <v>3832</v>
      </c>
      <c r="D1357" t="s">
        <v>5756</v>
      </c>
      <c r="E1357" t="e">
        <v>#VALUE!</v>
      </c>
      <c r="F1357" t="s">
        <v>0</v>
      </c>
      <c r="G1357" s="1">
        <f>DATE(2022,3,11)</f>
        <v>44631</v>
      </c>
    </row>
    <row r="1358" spans="1:7" x14ac:dyDescent="0.35">
      <c r="A1358" s="2" t="s">
        <v>3833</v>
      </c>
      <c r="B1358" s="2" t="s">
        <v>3834</v>
      </c>
      <c r="D1358" t="s">
        <v>5756</v>
      </c>
      <c r="E1358" t="e">
        <v>#VALUE!</v>
      </c>
      <c r="F1358" t="s">
        <v>0</v>
      </c>
      <c r="G1358" s="1">
        <f>DATE(2022,3,14)</f>
        <v>44634</v>
      </c>
    </row>
    <row r="1359" spans="1:7" x14ac:dyDescent="0.35">
      <c r="A1359" s="2" t="s">
        <v>3835</v>
      </c>
      <c r="B1359" s="2" t="s">
        <v>3836</v>
      </c>
      <c r="D1359" t="s">
        <v>5756</v>
      </c>
      <c r="E1359" t="e">
        <v>#VALUE!</v>
      </c>
      <c r="F1359" t="s">
        <v>0</v>
      </c>
      <c r="G1359" s="1">
        <f>DATE(2022,10,3)</f>
        <v>44837</v>
      </c>
    </row>
    <row r="1360" spans="1:7" x14ac:dyDescent="0.35">
      <c r="A1360" s="2" t="s">
        <v>3837</v>
      </c>
      <c r="B1360" s="2" t="s">
        <v>3838</v>
      </c>
      <c r="D1360" t="s">
        <v>5756</v>
      </c>
      <c r="E1360" t="e">
        <v>#VALUE!</v>
      </c>
      <c r="F1360" t="s">
        <v>0</v>
      </c>
      <c r="G1360" s="1">
        <f>DATE(2022,10,28)</f>
        <v>44862</v>
      </c>
    </row>
    <row r="1361" spans="1:7" x14ac:dyDescent="0.35">
      <c r="A1361" s="2" t="s">
        <v>3839</v>
      </c>
      <c r="B1361" s="2" t="s">
        <v>3840</v>
      </c>
      <c r="D1361" t="s">
        <v>5756</v>
      </c>
      <c r="E1361" t="e">
        <v>#VALUE!</v>
      </c>
      <c r="F1361" t="s">
        <v>0</v>
      </c>
      <c r="G1361" s="1">
        <f>DATE(2022,5,6)</f>
        <v>44687</v>
      </c>
    </row>
    <row r="1362" spans="1:7" x14ac:dyDescent="0.35">
      <c r="A1362" s="2" t="s">
        <v>3841</v>
      </c>
      <c r="B1362" s="2" t="s">
        <v>3842</v>
      </c>
      <c r="D1362" t="s">
        <v>5756</v>
      </c>
      <c r="E1362" t="e">
        <v>#VALUE!</v>
      </c>
      <c r="F1362" t="s">
        <v>0</v>
      </c>
      <c r="G1362" s="1">
        <f>DATE(2023,2,27)</f>
        <v>44984</v>
      </c>
    </row>
    <row r="1363" spans="1:7" x14ac:dyDescent="0.35">
      <c r="A1363" s="2" t="s">
        <v>3843</v>
      </c>
      <c r="B1363" s="2" t="s">
        <v>3844</v>
      </c>
      <c r="D1363" t="s">
        <v>5756</v>
      </c>
      <c r="E1363" t="e">
        <v>#VALUE!</v>
      </c>
      <c r="F1363" t="s">
        <v>0</v>
      </c>
      <c r="G1363" s="1">
        <f>DATE(2022,8,9)</f>
        <v>44782</v>
      </c>
    </row>
    <row r="1364" spans="1:7" x14ac:dyDescent="0.35">
      <c r="A1364" s="2" t="s">
        <v>3845</v>
      </c>
      <c r="B1364" s="2" t="s">
        <v>3846</v>
      </c>
      <c r="D1364" t="s">
        <v>5756</v>
      </c>
      <c r="E1364" t="e">
        <v>#VALUE!</v>
      </c>
      <c r="F1364" t="s">
        <v>0</v>
      </c>
      <c r="G1364" s="1">
        <f>DATE(2022,8,9)</f>
        <v>44782</v>
      </c>
    </row>
    <row r="1365" spans="1:7" x14ac:dyDescent="0.35">
      <c r="A1365" s="2" t="s">
        <v>3847</v>
      </c>
      <c r="B1365" s="2" t="s">
        <v>3848</v>
      </c>
      <c r="D1365" t="s">
        <v>5756</v>
      </c>
      <c r="E1365" t="e">
        <v>#VALUE!</v>
      </c>
      <c r="F1365" t="s">
        <v>0</v>
      </c>
      <c r="G1365" s="1">
        <f>DATE(2023,6,13)</f>
        <v>45090</v>
      </c>
    </row>
    <row r="1366" spans="1:7" x14ac:dyDescent="0.35">
      <c r="A1366" s="2" t="s">
        <v>3849</v>
      </c>
      <c r="B1366" s="2" t="s">
        <v>3850</v>
      </c>
      <c r="D1366" t="s">
        <v>5756</v>
      </c>
      <c r="E1366" t="e">
        <v>#VALUE!</v>
      </c>
      <c r="F1366" t="s">
        <v>0</v>
      </c>
      <c r="G1366" s="1">
        <f>DATE(2023,7,7)</f>
        <v>45114</v>
      </c>
    </row>
    <row r="1367" spans="1:7" x14ac:dyDescent="0.35">
      <c r="A1367" s="2" t="s">
        <v>3851</v>
      </c>
      <c r="B1367" s="2" t="s">
        <v>3852</v>
      </c>
      <c r="D1367" t="s">
        <v>5756</v>
      </c>
      <c r="E1367" t="e">
        <v>#VALUE!</v>
      </c>
      <c r="F1367" t="s">
        <v>0</v>
      </c>
      <c r="G1367" s="1">
        <f>DATE(2023,2,9)</f>
        <v>44966</v>
      </c>
    </row>
    <row r="1368" spans="1:7" x14ac:dyDescent="0.35">
      <c r="A1368" s="2" t="s">
        <v>3853</v>
      </c>
      <c r="B1368" s="2" t="s">
        <v>3854</v>
      </c>
      <c r="D1368" t="s">
        <v>5756</v>
      </c>
      <c r="E1368" t="e">
        <v>#VALUE!</v>
      </c>
      <c r="F1368" t="s">
        <v>0</v>
      </c>
      <c r="G1368" s="1">
        <f>DATE(2022,8,9)</f>
        <v>44782</v>
      </c>
    </row>
    <row r="1369" spans="1:7" x14ac:dyDescent="0.35">
      <c r="A1369" s="2" t="s">
        <v>3855</v>
      </c>
      <c r="B1369" s="2" t="s">
        <v>3856</v>
      </c>
      <c r="D1369" t="s">
        <v>5756</v>
      </c>
      <c r="E1369" t="e">
        <v>#VALUE!</v>
      </c>
      <c r="F1369" t="s">
        <v>0</v>
      </c>
      <c r="G1369" s="1">
        <f>DATE(2022,8,9)</f>
        <v>44782</v>
      </c>
    </row>
    <row r="1370" spans="1:7" x14ac:dyDescent="0.35">
      <c r="A1370" s="2" t="s">
        <v>3857</v>
      </c>
      <c r="B1370" s="2" t="s">
        <v>3858</v>
      </c>
      <c r="D1370" t="s">
        <v>5756</v>
      </c>
      <c r="E1370" t="e">
        <v>#VALUE!</v>
      </c>
      <c r="F1370" t="s">
        <v>0</v>
      </c>
      <c r="G1370" s="1">
        <f>DATE(2022,7,12)</f>
        <v>44754</v>
      </c>
    </row>
    <row r="1371" spans="1:7" x14ac:dyDescent="0.35">
      <c r="A1371" s="2" t="s">
        <v>3859</v>
      </c>
      <c r="B1371" s="2" t="s">
        <v>3860</v>
      </c>
      <c r="D1371" t="s">
        <v>5756</v>
      </c>
      <c r="E1371" t="e">
        <v>#VALUE!</v>
      </c>
      <c r="F1371" t="s">
        <v>0</v>
      </c>
      <c r="G1371" s="1">
        <f>DATE(2023,6,6)</f>
        <v>45083</v>
      </c>
    </row>
    <row r="1372" spans="1:7" x14ac:dyDescent="0.35">
      <c r="A1372" s="2" t="s">
        <v>3861</v>
      </c>
      <c r="B1372" s="2" t="s">
        <v>3862</v>
      </c>
      <c r="D1372" t="s">
        <v>5756</v>
      </c>
      <c r="E1372" t="e">
        <v>#VALUE!</v>
      </c>
      <c r="F1372" t="s">
        <v>0</v>
      </c>
      <c r="G1372" s="1">
        <f>DATE(2022,8,16)</f>
        <v>44789</v>
      </c>
    </row>
    <row r="1373" spans="1:7" x14ac:dyDescent="0.35">
      <c r="A1373" s="2" t="s">
        <v>3863</v>
      </c>
      <c r="B1373" s="2" t="s">
        <v>3864</v>
      </c>
      <c r="D1373" t="s">
        <v>5756</v>
      </c>
      <c r="E1373" t="e">
        <v>#VALUE!</v>
      </c>
      <c r="F1373" t="s">
        <v>0</v>
      </c>
      <c r="G1373" s="1">
        <f>DATE(2022,8,19)</f>
        <v>44792</v>
      </c>
    </row>
    <row r="1374" spans="1:7" x14ac:dyDescent="0.35">
      <c r="A1374" s="2" t="s">
        <v>3865</v>
      </c>
      <c r="B1374" s="2" t="s">
        <v>3866</v>
      </c>
      <c r="D1374" t="s">
        <v>5756</v>
      </c>
      <c r="E1374" t="e">
        <v>#VALUE!</v>
      </c>
      <c r="F1374" t="s">
        <v>0</v>
      </c>
      <c r="G1374" s="1">
        <f>DATE(2022,11,30)</f>
        <v>44895</v>
      </c>
    </row>
    <row r="1375" spans="1:7" x14ac:dyDescent="0.35">
      <c r="A1375" s="2" t="s">
        <v>3867</v>
      </c>
      <c r="B1375" s="2" t="s">
        <v>3868</v>
      </c>
      <c r="D1375" t="s">
        <v>5756</v>
      </c>
      <c r="E1375" t="e">
        <v>#VALUE!</v>
      </c>
      <c r="F1375" t="s">
        <v>0</v>
      </c>
      <c r="G1375" s="1">
        <f>DATE(2022,8,29)</f>
        <v>44802</v>
      </c>
    </row>
    <row r="1376" spans="1:7" x14ac:dyDescent="0.35">
      <c r="A1376" s="2" t="s">
        <v>3869</v>
      </c>
      <c r="B1376" s="2" t="s">
        <v>3870</v>
      </c>
      <c r="D1376" t="s">
        <v>5756</v>
      </c>
      <c r="E1376" t="e">
        <v>#VALUE!</v>
      </c>
      <c r="F1376" t="s">
        <v>0</v>
      </c>
      <c r="G1376" s="1">
        <f>DATE(2022,9,15)</f>
        <v>44819</v>
      </c>
    </row>
    <row r="1377" spans="1:7" x14ac:dyDescent="0.35">
      <c r="A1377" s="2" t="s">
        <v>3871</v>
      </c>
      <c r="B1377" s="2" t="s">
        <v>3872</v>
      </c>
      <c r="D1377" t="s">
        <v>5756</v>
      </c>
      <c r="E1377" t="e">
        <v>#VALUE!</v>
      </c>
      <c r="F1377" t="s">
        <v>0</v>
      </c>
      <c r="G1377" s="1">
        <f>DATE(2022,10,28)</f>
        <v>44862</v>
      </c>
    </row>
    <row r="1378" spans="1:7" x14ac:dyDescent="0.35">
      <c r="A1378" s="2" t="s">
        <v>3873</v>
      </c>
      <c r="B1378" s="2" t="s">
        <v>3874</v>
      </c>
      <c r="D1378" t="s">
        <v>5756</v>
      </c>
      <c r="E1378" t="e">
        <v>#VALUE!</v>
      </c>
      <c r="F1378" t="s">
        <v>0</v>
      </c>
      <c r="G1378" s="1">
        <f>DATE(2022,12,19)</f>
        <v>44914</v>
      </c>
    </row>
    <row r="1379" spans="1:7" x14ac:dyDescent="0.35">
      <c r="A1379" s="2" t="s">
        <v>3875</v>
      </c>
      <c r="B1379" s="2" t="s">
        <v>3876</v>
      </c>
      <c r="D1379" t="s">
        <v>5756</v>
      </c>
      <c r="E1379" t="e">
        <v>#VALUE!</v>
      </c>
      <c r="F1379" t="s">
        <v>0</v>
      </c>
      <c r="G1379" s="1">
        <f>DATE(2022,11,17)</f>
        <v>44882</v>
      </c>
    </row>
    <row r="1380" spans="1:7" x14ac:dyDescent="0.35">
      <c r="A1380" s="2" t="s">
        <v>3877</v>
      </c>
      <c r="B1380" s="2" t="s">
        <v>3878</v>
      </c>
      <c r="D1380" t="s">
        <v>5756</v>
      </c>
      <c r="E1380" t="e">
        <v>#VALUE!</v>
      </c>
      <c r="F1380" t="s">
        <v>0</v>
      </c>
      <c r="G1380" s="1">
        <f>DATE(2023,10,12)</f>
        <v>45211</v>
      </c>
    </row>
    <row r="1381" spans="1:7" x14ac:dyDescent="0.35">
      <c r="A1381" s="2" t="s">
        <v>3879</v>
      </c>
      <c r="B1381" s="2" t="s">
        <v>3880</v>
      </c>
      <c r="D1381" t="s">
        <v>5756</v>
      </c>
      <c r="E1381" t="e">
        <v>#VALUE!</v>
      </c>
      <c r="F1381" t="s">
        <v>0</v>
      </c>
      <c r="G1381" s="1">
        <f>DATE(2022,9,30)</f>
        <v>44834</v>
      </c>
    </row>
    <row r="1382" spans="1:7" x14ac:dyDescent="0.35">
      <c r="A1382" s="2" t="s">
        <v>3881</v>
      </c>
      <c r="B1382" s="2" t="s">
        <v>3882</v>
      </c>
      <c r="D1382" t="s">
        <v>5756</v>
      </c>
      <c r="E1382" t="e">
        <v>#VALUE!</v>
      </c>
      <c r="F1382" t="s">
        <v>0</v>
      </c>
      <c r="G1382" s="1">
        <f>DATE(2022,10,28)</f>
        <v>44862</v>
      </c>
    </row>
    <row r="1383" spans="1:7" x14ac:dyDescent="0.35">
      <c r="A1383" s="2" t="s">
        <v>3883</v>
      </c>
      <c r="B1383" s="2" t="s">
        <v>3884</v>
      </c>
      <c r="D1383" t="s">
        <v>5756</v>
      </c>
      <c r="E1383" t="e">
        <v>#VALUE!</v>
      </c>
      <c r="F1383" t="s">
        <v>0</v>
      </c>
      <c r="G1383" s="1">
        <f>DATE(2022,12,14)</f>
        <v>44909</v>
      </c>
    </row>
    <row r="1384" spans="1:7" x14ac:dyDescent="0.35">
      <c r="A1384" s="2" t="s">
        <v>3885</v>
      </c>
      <c r="B1384" s="2" t="s">
        <v>3886</v>
      </c>
      <c r="D1384" t="s">
        <v>5756</v>
      </c>
      <c r="E1384" t="e">
        <v>#VALUE!</v>
      </c>
      <c r="F1384" t="s">
        <v>0</v>
      </c>
      <c r="G1384" s="1">
        <f>DATE(2023,12,20)</f>
        <v>45280</v>
      </c>
    </row>
    <row r="1385" spans="1:7" x14ac:dyDescent="0.35">
      <c r="A1385" s="2" t="s">
        <v>3887</v>
      </c>
      <c r="B1385" s="2" t="s">
        <v>3888</v>
      </c>
      <c r="D1385" t="s">
        <v>5756</v>
      </c>
      <c r="E1385" t="e">
        <v>#VALUE!</v>
      </c>
      <c r="F1385" t="s">
        <v>0</v>
      </c>
      <c r="G1385" s="1">
        <f>DATE(2023,2,22)</f>
        <v>44979</v>
      </c>
    </row>
    <row r="1386" spans="1:7" x14ac:dyDescent="0.35">
      <c r="A1386" s="2" t="s">
        <v>3889</v>
      </c>
      <c r="B1386" s="2" t="s">
        <v>3890</v>
      </c>
      <c r="D1386" t="s">
        <v>5756</v>
      </c>
      <c r="E1386" t="e">
        <v>#VALUE!</v>
      </c>
      <c r="F1386" t="s">
        <v>0</v>
      </c>
      <c r="G1386" s="1">
        <f>DATE(2022,11,2)</f>
        <v>44867</v>
      </c>
    </row>
    <row r="1387" spans="1:7" x14ac:dyDescent="0.35">
      <c r="A1387" s="2" t="s">
        <v>3891</v>
      </c>
      <c r="B1387" s="2" t="s">
        <v>3892</v>
      </c>
      <c r="D1387" t="s">
        <v>5756</v>
      </c>
      <c r="E1387" t="e">
        <v>#VALUE!</v>
      </c>
      <c r="F1387" t="s">
        <v>0</v>
      </c>
      <c r="G1387" s="1">
        <f>DATE(2022,11,8)</f>
        <v>44873</v>
      </c>
    </row>
    <row r="1388" spans="1:7" x14ac:dyDescent="0.35">
      <c r="A1388" s="2" t="s">
        <v>3893</v>
      </c>
      <c r="B1388" s="2" t="s">
        <v>3894</v>
      </c>
      <c r="D1388" t="s">
        <v>5756</v>
      </c>
      <c r="E1388" t="e">
        <v>#VALUE!</v>
      </c>
      <c r="F1388" t="s">
        <v>0</v>
      </c>
      <c r="G1388" s="1">
        <f>DATE(2023,9,1)</f>
        <v>45170</v>
      </c>
    </row>
    <row r="1389" spans="1:7" x14ac:dyDescent="0.35">
      <c r="A1389" s="2" t="s">
        <v>3895</v>
      </c>
      <c r="B1389" s="2" t="s">
        <v>3896</v>
      </c>
      <c r="D1389" t="s">
        <v>5756</v>
      </c>
      <c r="E1389" t="e">
        <v>#VALUE!</v>
      </c>
      <c r="F1389" t="s">
        <v>0</v>
      </c>
      <c r="G1389" s="1">
        <f>DATE(2023,3,22)</f>
        <v>45007</v>
      </c>
    </row>
    <row r="1390" spans="1:7" x14ac:dyDescent="0.35">
      <c r="A1390" s="2" t="s">
        <v>3897</v>
      </c>
      <c r="B1390" s="2" t="s">
        <v>3898</v>
      </c>
      <c r="D1390" t="s">
        <v>5756</v>
      </c>
      <c r="E1390" t="e">
        <v>#VALUE!</v>
      </c>
      <c r="F1390" t="s">
        <v>0</v>
      </c>
      <c r="G1390" s="1">
        <f>DATE(2023,3,17)</f>
        <v>45002</v>
      </c>
    </row>
    <row r="1391" spans="1:7" x14ac:dyDescent="0.35">
      <c r="A1391" s="2" t="s">
        <v>3899</v>
      </c>
      <c r="B1391" s="2" t="s">
        <v>3900</v>
      </c>
      <c r="D1391" t="s">
        <v>5756</v>
      </c>
      <c r="E1391" t="e">
        <v>#VALUE!</v>
      </c>
      <c r="F1391" t="s">
        <v>0</v>
      </c>
      <c r="G1391" s="1">
        <f>DATE(2023,3,6)</f>
        <v>44991</v>
      </c>
    </row>
    <row r="1392" spans="1:7" x14ac:dyDescent="0.35">
      <c r="A1392" s="2" t="s">
        <v>3901</v>
      </c>
      <c r="B1392" s="2" t="s">
        <v>3902</v>
      </c>
      <c r="D1392" t="s">
        <v>5756</v>
      </c>
      <c r="E1392" t="e">
        <v>#VALUE!</v>
      </c>
      <c r="F1392" t="s">
        <v>0</v>
      </c>
      <c r="G1392" s="1">
        <f>DATE(2022,12,15)</f>
        <v>44910</v>
      </c>
    </row>
    <row r="1393" spans="1:7" x14ac:dyDescent="0.35">
      <c r="A1393" s="2" t="s">
        <v>3903</v>
      </c>
      <c r="B1393" s="2" t="s">
        <v>3904</v>
      </c>
      <c r="D1393" t="s">
        <v>5756</v>
      </c>
      <c r="E1393" t="e">
        <v>#VALUE!</v>
      </c>
      <c r="F1393" t="s">
        <v>0</v>
      </c>
      <c r="G1393" s="1">
        <f>DATE(2022,12,22)</f>
        <v>44917</v>
      </c>
    </row>
    <row r="1394" spans="1:7" x14ac:dyDescent="0.35">
      <c r="A1394" s="2" t="s">
        <v>3905</v>
      </c>
      <c r="B1394" s="2" t="s">
        <v>3906</v>
      </c>
      <c r="D1394" t="s">
        <v>5756</v>
      </c>
      <c r="E1394" t="e">
        <v>#VALUE!</v>
      </c>
      <c r="F1394" t="s">
        <v>0</v>
      </c>
      <c r="G1394" s="1">
        <f>DATE(2023,4,12)</f>
        <v>45028</v>
      </c>
    </row>
    <row r="1395" spans="1:7" x14ac:dyDescent="0.35">
      <c r="A1395" s="2" t="s">
        <v>3907</v>
      </c>
      <c r="B1395" s="2" t="s">
        <v>3908</v>
      </c>
      <c r="D1395" t="s">
        <v>5756</v>
      </c>
      <c r="E1395" t="e">
        <v>#VALUE!</v>
      </c>
      <c r="F1395" t="s">
        <v>0</v>
      </c>
      <c r="G1395" s="1">
        <f>DATE(2023,2,23)</f>
        <v>44980</v>
      </c>
    </row>
    <row r="1396" spans="1:7" x14ac:dyDescent="0.35">
      <c r="A1396" s="2" t="s">
        <v>3909</v>
      </c>
      <c r="B1396" s="2" t="s">
        <v>3910</v>
      </c>
      <c r="C1396" s="2" t="s">
        <v>483</v>
      </c>
      <c r="D1396" t="s">
        <v>5891</v>
      </c>
      <c r="E1396" t="s">
        <v>7527</v>
      </c>
      <c r="F1396" t="s">
        <v>0</v>
      </c>
      <c r="G1396" s="1">
        <f>DATE(2023,2,23)</f>
        <v>44980</v>
      </c>
    </row>
    <row r="1397" spans="1:7" x14ac:dyDescent="0.35">
      <c r="A1397" s="2" t="s">
        <v>3911</v>
      </c>
      <c r="B1397" s="2" t="s">
        <v>3912</v>
      </c>
      <c r="D1397" t="s">
        <v>5756</v>
      </c>
      <c r="E1397" t="e">
        <v>#VALUE!</v>
      </c>
      <c r="F1397" t="s">
        <v>0</v>
      </c>
      <c r="G1397" s="1">
        <f>DATE(2023,3,1)</f>
        <v>44986</v>
      </c>
    </row>
    <row r="1398" spans="1:7" x14ac:dyDescent="0.35">
      <c r="A1398" s="2" t="s">
        <v>3913</v>
      </c>
      <c r="B1398" s="2" t="s">
        <v>1008</v>
      </c>
      <c r="C1398" s="2" t="s">
        <v>3914</v>
      </c>
      <c r="D1398" t="s">
        <v>6047</v>
      </c>
      <c r="E1398" t="s">
        <v>7684</v>
      </c>
      <c r="F1398" t="s">
        <v>0</v>
      </c>
      <c r="G1398" s="1">
        <f>DATE(2023,3,17)</f>
        <v>45002</v>
      </c>
    </row>
    <row r="1399" spans="1:7" x14ac:dyDescent="0.35">
      <c r="A1399" s="2" t="s">
        <v>3915</v>
      </c>
      <c r="B1399" s="2" t="s">
        <v>3916</v>
      </c>
      <c r="D1399" t="s">
        <v>5756</v>
      </c>
      <c r="E1399" t="e">
        <v>#VALUE!</v>
      </c>
      <c r="F1399" t="s">
        <v>0</v>
      </c>
      <c r="G1399" s="1">
        <f>DATE(2023,3,30)</f>
        <v>45015</v>
      </c>
    </row>
    <row r="1400" spans="1:7" x14ac:dyDescent="0.35">
      <c r="A1400" s="2" t="s">
        <v>3917</v>
      </c>
      <c r="B1400" s="2" t="s">
        <v>3918</v>
      </c>
      <c r="D1400" t="s">
        <v>5756</v>
      </c>
      <c r="E1400" t="e">
        <v>#VALUE!</v>
      </c>
      <c r="F1400" t="s">
        <v>0</v>
      </c>
      <c r="G1400" s="1">
        <f>DATE(2023,11,29)</f>
        <v>45259</v>
      </c>
    </row>
    <row r="1401" spans="1:7" x14ac:dyDescent="0.35">
      <c r="A1401" s="2" t="s">
        <v>3919</v>
      </c>
      <c r="B1401" s="2" t="s">
        <v>3920</v>
      </c>
      <c r="D1401" t="s">
        <v>5756</v>
      </c>
      <c r="E1401" t="e">
        <v>#VALUE!</v>
      </c>
      <c r="F1401" t="s">
        <v>0</v>
      </c>
      <c r="G1401" s="1">
        <f>DATE(2023,8,7)</f>
        <v>45145</v>
      </c>
    </row>
    <row r="1402" spans="1:7" x14ac:dyDescent="0.35">
      <c r="A1402" s="2" t="s">
        <v>3921</v>
      </c>
      <c r="B1402" s="2" t="s">
        <v>3922</v>
      </c>
      <c r="C1402" s="2" t="s">
        <v>3923</v>
      </c>
      <c r="D1402" t="s">
        <v>6853</v>
      </c>
      <c r="E1402" t="s">
        <v>8490</v>
      </c>
      <c r="F1402" t="s">
        <v>0</v>
      </c>
      <c r="G1402" s="1">
        <f>DATE(2023,3,27)</f>
        <v>45012</v>
      </c>
    </row>
    <row r="1403" spans="1:7" x14ac:dyDescent="0.35">
      <c r="A1403" s="2" t="s">
        <v>3924</v>
      </c>
      <c r="B1403" s="2" t="s">
        <v>3925</v>
      </c>
      <c r="C1403" s="2" t="s">
        <v>3926</v>
      </c>
      <c r="D1403" t="s">
        <v>6854</v>
      </c>
      <c r="E1403" t="s">
        <v>8491</v>
      </c>
      <c r="F1403" t="s">
        <v>0</v>
      </c>
      <c r="G1403" s="1">
        <f>DATE(2023,3,27)</f>
        <v>45012</v>
      </c>
    </row>
    <row r="1404" spans="1:7" x14ac:dyDescent="0.35">
      <c r="A1404" s="2" t="s">
        <v>3927</v>
      </c>
      <c r="B1404" s="2" t="s">
        <v>3928</v>
      </c>
      <c r="C1404" s="2" t="s">
        <v>3929</v>
      </c>
      <c r="D1404" t="s">
        <v>6855</v>
      </c>
      <c r="E1404" t="s">
        <v>8492</v>
      </c>
      <c r="F1404" t="s">
        <v>0</v>
      </c>
      <c r="G1404" s="1">
        <f>DATE(2023,3,27)</f>
        <v>45012</v>
      </c>
    </row>
    <row r="1405" spans="1:7" x14ac:dyDescent="0.35">
      <c r="A1405" s="2" t="s">
        <v>3930</v>
      </c>
      <c r="B1405" s="2" t="s">
        <v>3931</v>
      </c>
      <c r="C1405" s="2" t="s">
        <v>3932</v>
      </c>
      <c r="D1405" t="s">
        <v>6856</v>
      </c>
      <c r="E1405" t="s">
        <v>8493</v>
      </c>
      <c r="F1405" t="s">
        <v>0</v>
      </c>
      <c r="G1405" s="1">
        <f>DATE(2023,3,30)</f>
        <v>45015</v>
      </c>
    </row>
    <row r="1406" spans="1:7" x14ac:dyDescent="0.35">
      <c r="A1406" s="2" t="s">
        <v>3933</v>
      </c>
      <c r="B1406" s="2" t="s">
        <v>3934</v>
      </c>
      <c r="C1406" s="2" t="s">
        <v>3935</v>
      </c>
      <c r="D1406" t="s">
        <v>6857</v>
      </c>
      <c r="E1406" t="s">
        <v>8494</v>
      </c>
      <c r="F1406" t="s">
        <v>0</v>
      </c>
      <c r="G1406" s="1">
        <f>DATE(2023,4,25)</f>
        <v>45041</v>
      </c>
    </row>
    <row r="1407" spans="1:7" x14ac:dyDescent="0.35">
      <c r="A1407" s="2" t="s">
        <v>3936</v>
      </c>
      <c r="B1407" s="2" t="s">
        <v>3937</v>
      </c>
      <c r="C1407" s="2" t="s">
        <v>3938</v>
      </c>
      <c r="D1407" t="s">
        <v>6858</v>
      </c>
      <c r="E1407" t="s">
        <v>8495</v>
      </c>
      <c r="F1407" t="s">
        <v>0</v>
      </c>
      <c r="G1407" s="1">
        <f>DATE(2024,1,26)</f>
        <v>45317</v>
      </c>
    </row>
    <row r="1408" spans="1:7" x14ac:dyDescent="0.35">
      <c r="A1408" s="2" t="s">
        <v>3939</v>
      </c>
      <c r="B1408" s="2" t="s">
        <v>3940</v>
      </c>
      <c r="C1408" s="2" t="s">
        <v>3941</v>
      </c>
      <c r="D1408" t="s">
        <v>6859</v>
      </c>
      <c r="E1408" t="s">
        <v>8496</v>
      </c>
      <c r="F1408" t="s">
        <v>0</v>
      </c>
      <c r="G1408" s="1">
        <f>DATE(2023,4,12)</f>
        <v>45028</v>
      </c>
    </row>
    <row r="1409" spans="1:7" x14ac:dyDescent="0.35">
      <c r="A1409" s="2" t="s">
        <v>3942</v>
      </c>
      <c r="B1409" s="2" t="s">
        <v>3943</v>
      </c>
      <c r="C1409" s="2" t="s">
        <v>3944</v>
      </c>
      <c r="D1409" t="s">
        <v>6860</v>
      </c>
      <c r="E1409" t="s">
        <v>8497</v>
      </c>
      <c r="F1409" t="s">
        <v>0</v>
      </c>
      <c r="G1409" s="1">
        <f>DATE(2023,6,16)</f>
        <v>45093</v>
      </c>
    </row>
    <row r="1410" spans="1:7" x14ac:dyDescent="0.35">
      <c r="A1410" s="2" t="s">
        <v>3945</v>
      </c>
      <c r="B1410" s="2" t="s">
        <v>3946</v>
      </c>
      <c r="C1410" s="2" t="s">
        <v>3947</v>
      </c>
      <c r="D1410" t="s">
        <v>6861</v>
      </c>
      <c r="E1410" t="s">
        <v>8498</v>
      </c>
      <c r="F1410" t="s">
        <v>0</v>
      </c>
      <c r="G1410" s="1">
        <f>DATE(2023,6,16)</f>
        <v>45093</v>
      </c>
    </row>
    <row r="1411" spans="1:7" x14ac:dyDescent="0.35">
      <c r="A1411" s="2" t="s">
        <v>3948</v>
      </c>
      <c r="B1411" s="2" t="s">
        <v>3949</v>
      </c>
      <c r="C1411" s="2" t="s">
        <v>3950</v>
      </c>
      <c r="D1411" t="s">
        <v>6862</v>
      </c>
      <c r="E1411" t="s">
        <v>8499</v>
      </c>
      <c r="F1411" t="s">
        <v>0</v>
      </c>
      <c r="G1411" s="1">
        <f>DATE(2023,4,20)</f>
        <v>45036</v>
      </c>
    </row>
    <row r="1412" spans="1:7" x14ac:dyDescent="0.35">
      <c r="A1412" s="2" t="s">
        <v>3951</v>
      </c>
      <c r="B1412" s="2" t="s">
        <v>3952</v>
      </c>
      <c r="D1412" t="s">
        <v>5756</v>
      </c>
      <c r="E1412" t="e">
        <v>#VALUE!</v>
      </c>
      <c r="F1412" t="s">
        <v>0</v>
      </c>
      <c r="G1412" s="1">
        <f>DATE(2023,4,20)</f>
        <v>45036</v>
      </c>
    </row>
    <row r="1413" spans="1:7" x14ac:dyDescent="0.35">
      <c r="A1413" s="2" t="s">
        <v>3953</v>
      </c>
      <c r="B1413" s="2" t="s">
        <v>3954</v>
      </c>
      <c r="D1413" t="s">
        <v>5756</v>
      </c>
      <c r="E1413" t="e">
        <v>#VALUE!</v>
      </c>
      <c r="F1413" t="s">
        <v>0</v>
      </c>
      <c r="G1413" s="1">
        <f>DATE(2023,4,25)</f>
        <v>45041</v>
      </c>
    </row>
    <row r="1414" spans="1:7" x14ac:dyDescent="0.35">
      <c r="A1414" s="2" t="s">
        <v>3955</v>
      </c>
      <c r="B1414" s="2" t="s">
        <v>3956</v>
      </c>
      <c r="C1414" s="2" t="s">
        <v>3957</v>
      </c>
      <c r="D1414" t="s">
        <v>6863</v>
      </c>
      <c r="E1414" t="s">
        <v>8500</v>
      </c>
      <c r="F1414" t="s">
        <v>0</v>
      </c>
      <c r="G1414" s="1">
        <f>DATE(2023,5,2)</f>
        <v>45048</v>
      </c>
    </row>
    <row r="1415" spans="1:7" x14ac:dyDescent="0.35">
      <c r="A1415" s="2" t="s">
        <v>3958</v>
      </c>
      <c r="B1415" s="2" t="s">
        <v>3959</v>
      </c>
      <c r="D1415" t="s">
        <v>5756</v>
      </c>
      <c r="E1415" t="e">
        <v>#VALUE!</v>
      </c>
      <c r="F1415" t="s">
        <v>0</v>
      </c>
      <c r="G1415" s="1">
        <f>DATE(2024,1,5)</f>
        <v>45296</v>
      </c>
    </row>
    <row r="1416" spans="1:7" x14ac:dyDescent="0.35">
      <c r="A1416" s="2" t="s">
        <v>3960</v>
      </c>
      <c r="B1416" s="2" t="s">
        <v>3961</v>
      </c>
      <c r="C1416" s="2" t="s">
        <v>3962</v>
      </c>
      <c r="D1416" t="s">
        <v>6864</v>
      </c>
      <c r="E1416" t="s">
        <v>8501</v>
      </c>
      <c r="F1416" t="s">
        <v>0</v>
      </c>
      <c r="G1416" s="1">
        <f>DATE(2023,5,2)</f>
        <v>45048</v>
      </c>
    </row>
    <row r="1417" spans="1:7" x14ac:dyDescent="0.35">
      <c r="A1417" s="2" t="s">
        <v>3963</v>
      </c>
      <c r="B1417" s="2" t="s">
        <v>3964</v>
      </c>
      <c r="C1417" s="2" t="s">
        <v>3965</v>
      </c>
      <c r="D1417" t="s">
        <v>6865</v>
      </c>
      <c r="E1417" t="s">
        <v>8502</v>
      </c>
      <c r="F1417" t="s">
        <v>0</v>
      </c>
      <c r="G1417" s="1">
        <f>DATE(2023,5,4)</f>
        <v>45050</v>
      </c>
    </row>
    <row r="1418" spans="1:7" x14ac:dyDescent="0.35">
      <c r="A1418" s="2" t="s">
        <v>3966</v>
      </c>
      <c r="B1418" s="2" t="s">
        <v>3967</v>
      </c>
      <c r="C1418" s="2" t="s">
        <v>3968</v>
      </c>
      <c r="D1418" t="s">
        <v>6866</v>
      </c>
      <c r="E1418" t="s">
        <v>8503</v>
      </c>
      <c r="F1418" t="s">
        <v>0</v>
      </c>
      <c r="G1418" s="1">
        <f>DATE(2023,5,9)</f>
        <v>45055</v>
      </c>
    </row>
    <row r="1419" spans="1:7" x14ac:dyDescent="0.35">
      <c r="A1419" s="2" t="s">
        <v>3969</v>
      </c>
      <c r="B1419" s="2" t="s">
        <v>3970</v>
      </c>
      <c r="D1419" t="s">
        <v>5756</v>
      </c>
      <c r="E1419" t="e">
        <v>#VALUE!</v>
      </c>
      <c r="F1419" t="s">
        <v>0</v>
      </c>
      <c r="G1419" s="1">
        <f>DATE(2023,6,16)</f>
        <v>45093</v>
      </c>
    </row>
    <row r="1420" spans="1:7" x14ac:dyDescent="0.35">
      <c r="A1420" s="2" t="s">
        <v>3971</v>
      </c>
      <c r="B1420" s="2" t="s">
        <v>3972</v>
      </c>
      <c r="C1420" s="2" t="s">
        <v>3973</v>
      </c>
      <c r="D1420" t="s">
        <v>6867</v>
      </c>
      <c r="E1420" t="s">
        <v>8504</v>
      </c>
      <c r="F1420" t="s">
        <v>0</v>
      </c>
      <c r="G1420" s="1">
        <f>DATE(2023,5,12)</f>
        <v>45058</v>
      </c>
    </row>
    <row r="1421" spans="1:7" x14ac:dyDescent="0.35">
      <c r="A1421" s="2" t="s">
        <v>3974</v>
      </c>
      <c r="B1421" s="2" t="s">
        <v>3975</v>
      </c>
      <c r="C1421" s="2" t="s">
        <v>3976</v>
      </c>
      <c r="D1421" t="s">
        <v>6868</v>
      </c>
      <c r="E1421" t="s">
        <v>8505</v>
      </c>
      <c r="F1421" t="s">
        <v>0</v>
      </c>
      <c r="G1421" s="1">
        <f>DATE(2023,5,16)</f>
        <v>45062</v>
      </c>
    </row>
    <row r="1422" spans="1:7" x14ac:dyDescent="0.35">
      <c r="A1422" s="2" t="s">
        <v>3977</v>
      </c>
      <c r="B1422" s="2" t="s">
        <v>3978</v>
      </c>
      <c r="C1422" s="2" t="s">
        <v>3979</v>
      </c>
      <c r="D1422" t="s">
        <v>6869</v>
      </c>
      <c r="E1422" t="s">
        <v>8506</v>
      </c>
      <c r="F1422" t="s">
        <v>0</v>
      </c>
      <c r="G1422" s="1">
        <f>DATE(2023,5,16)</f>
        <v>45062</v>
      </c>
    </row>
    <row r="1423" spans="1:7" x14ac:dyDescent="0.35">
      <c r="A1423" s="2" t="s">
        <v>3980</v>
      </c>
      <c r="B1423" s="2" t="s">
        <v>3981</v>
      </c>
      <c r="C1423" s="2" t="s">
        <v>3982</v>
      </c>
      <c r="D1423" t="s">
        <v>6870</v>
      </c>
      <c r="E1423" t="s">
        <v>8507</v>
      </c>
      <c r="F1423" t="s">
        <v>0</v>
      </c>
      <c r="G1423" s="1">
        <f>DATE(2023,5,16)</f>
        <v>45062</v>
      </c>
    </row>
    <row r="1424" spans="1:7" x14ac:dyDescent="0.35">
      <c r="A1424" s="2" t="s">
        <v>3983</v>
      </c>
      <c r="B1424" s="2" t="s">
        <v>3984</v>
      </c>
      <c r="C1424" s="2" t="s">
        <v>3985</v>
      </c>
      <c r="D1424" t="s">
        <v>6871</v>
      </c>
      <c r="E1424" t="s">
        <v>8508</v>
      </c>
      <c r="F1424" t="s">
        <v>0</v>
      </c>
      <c r="G1424" s="1">
        <f>DATE(2023,6,21)</f>
        <v>45098</v>
      </c>
    </row>
    <row r="1425" spans="1:7" x14ac:dyDescent="0.35">
      <c r="A1425" s="2" t="s">
        <v>3986</v>
      </c>
      <c r="B1425" s="2" t="s">
        <v>3987</v>
      </c>
      <c r="C1425" s="2" t="s">
        <v>670</v>
      </c>
      <c r="D1425" t="s">
        <v>5948</v>
      </c>
      <c r="E1425" t="s">
        <v>7584</v>
      </c>
      <c r="F1425" t="s">
        <v>0</v>
      </c>
      <c r="G1425" s="1">
        <f>DATE(2023,5,16)</f>
        <v>45062</v>
      </c>
    </row>
    <row r="1426" spans="1:7" x14ac:dyDescent="0.35">
      <c r="A1426" s="2" t="s">
        <v>3988</v>
      </c>
      <c r="B1426" s="2" t="s">
        <v>3989</v>
      </c>
      <c r="C1426" s="2" t="s">
        <v>3990</v>
      </c>
      <c r="D1426" t="s">
        <v>6872</v>
      </c>
      <c r="E1426" t="s">
        <v>8509</v>
      </c>
      <c r="F1426" t="s">
        <v>0</v>
      </c>
      <c r="G1426" s="1">
        <f>DATE(2023,5,17)</f>
        <v>45063</v>
      </c>
    </row>
    <row r="1427" spans="1:7" x14ac:dyDescent="0.35">
      <c r="A1427" s="2" t="s">
        <v>3991</v>
      </c>
      <c r="B1427" s="2" t="s">
        <v>3992</v>
      </c>
      <c r="C1427" s="2" t="s">
        <v>3993</v>
      </c>
      <c r="D1427" t="s">
        <v>6873</v>
      </c>
      <c r="E1427" t="s">
        <v>8510</v>
      </c>
      <c r="F1427" t="s">
        <v>0</v>
      </c>
      <c r="G1427" s="1">
        <f>DATE(2023,5,17)</f>
        <v>45063</v>
      </c>
    </row>
    <row r="1428" spans="1:7" x14ac:dyDescent="0.35">
      <c r="A1428" s="2" t="s">
        <v>3994</v>
      </c>
      <c r="B1428" s="2" t="s">
        <v>3995</v>
      </c>
      <c r="C1428" s="2" t="s">
        <v>3996</v>
      </c>
      <c r="D1428" t="s">
        <v>6874</v>
      </c>
      <c r="E1428" t="s">
        <v>8511</v>
      </c>
      <c r="F1428" t="s">
        <v>0</v>
      </c>
      <c r="G1428" s="1">
        <f>DATE(2023,5,17)</f>
        <v>45063</v>
      </c>
    </row>
    <row r="1429" spans="1:7" x14ac:dyDescent="0.35">
      <c r="A1429" s="2" t="s">
        <v>3997</v>
      </c>
      <c r="B1429" s="2" t="s">
        <v>3998</v>
      </c>
      <c r="C1429" s="2" t="s">
        <v>3999</v>
      </c>
      <c r="D1429" t="s">
        <v>6875</v>
      </c>
      <c r="E1429" t="s">
        <v>8512</v>
      </c>
      <c r="F1429" t="s">
        <v>0</v>
      </c>
      <c r="G1429" s="1">
        <f>DATE(2023,5,17)</f>
        <v>45063</v>
      </c>
    </row>
    <row r="1430" spans="1:7" x14ac:dyDescent="0.35">
      <c r="A1430" s="2" t="s">
        <v>4000</v>
      </c>
      <c r="B1430" s="2" t="s">
        <v>4001</v>
      </c>
      <c r="C1430" s="2" t="s">
        <v>4002</v>
      </c>
      <c r="D1430" t="s">
        <v>6876</v>
      </c>
      <c r="E1430" t="s">
        <v>8513</v>
      </c>
      <c r="F1430" t="s">
        <v>0</v>
      </c>
      <c r="G1430" s="1">
        <f>DATE(2023,5,19)</f>
        <v>45065</v>
      </c>
    </row>
    <row r="1431" spans="1:7" x14ac:dyDescent="0.35">
      <c r="A1431" s="2" t="s">
        <v>4003</v>
      </c>
      <c r="B1431" s="2" t="s">
        <v>4004</v>
      </c>
      <c r="C1431" s="2" t="s">
        <v>4005</v>
      </c>
      <c r="D1431" t="s">
        <v>6877</v>
      </c>
      <c r="E1431" t="s">
        <v>8514</v>
      </c>
      <c r="F1431" t="s">
        <v>0</v>
      </c>
      <c r="G1431" s="1">
        <f>DATE(2023,5,17)</f>
        <v>45063</v>
      </c>
    </row>
    <row r="1432" spans="1:7" x14ac:dyDescent="0.35">
      <c r="A1432" s="2" t="s">
        <v>4006</v>
      </c>
      <c r="B1432" s="2" t="s">
        <v>4007</v>
      </c>
      <c r="C1432" s="2" t="s">
        <v>4008</v>
      </c>
      <c r="D1432" t="s">
        <v>6878</v>
      </c>
      <c r="E1432" t="s">
        <v>8515</v>
      </c>
      <c r="F1432" t="s">
        <v>0</v>
      </c>
      <c r="G1432" s="1">
        <f>DATE(2023,5,17)</f>
        <v>45063</v>
      </c>
    </row>
    <row r="1433" spans="1:7" x14ac:dyDescent="0.35">
      <c r="A1433" s="2" t="s">
        <v>4009</v>
      </c>
      <c r="B1433" s="2" t="s">
        <v>4010</v>
      </c>
      <c r="C1433" s="2" t="s">
        <v>4011</v>
      </c>
      <c r="D1433" t="s">
        <v>6879</v>
      </c>
      <c r="E1433" t="s">
        <v>8516</v>
      </c>
      <c r="F1433" t="s">
        <v>0</v>
      </c>
      <c r="G1433" s="1">
        <f>DATE(2023,5,30)</f>
        <v>45076</v>
      </c>
    </row>
    <row r="1434" spans="1:7" x14ac:dyDescent="0.35">
      <c r="A1434" s="2" t="s">
        <v>4012</v>
      </c>
      <c r="B1434" s="2" t="s">
        <v>4013</v>
      </c>
      <c r="C1434" s="2" t="s">
        <v>4014</v>
      </c>
      <c r="D1434" t="s">
        <v>6880</v>
      </c>
      <c r="E1434" t="s">
        <v>8517</v>
      </c>
      <c r="F1434" t="s">
        <v>0</v>
      </c>
      <c r="G1434" s="1">
        <f>DATE(2023,5,23)</f>
        <v>45069</v>
      </c>
    </row>
    <row r="1435" spans="1:7" x14ac:dyDescent="0.35">
      <c r="A1435" s="2" t="s">
        <v>4015</v>
      </c>
      <c r="B1435" s="2" t="s">
        <v>4016</v>
      </c>
      <c r="C1435" s="2" t="s">
        <v>4017</v>
      </c>
      <c r="D1435" t="s">
        <v>6881</v>
      </c>
      <c r="E1435" t="s">
        <v>8518</v>
      </c>
      <c r="F1435" t="s">
        <v>0</v>
      </c>
      <c r="G1435" s="1">
        <f>DATE(2023,5,30)</f>
        <v>45076</v>
      </c>
    </row>
    <row r="1436" spans="1:7" x14ac:dyDescent="0.35">
      <c r="A1436" s="2" t="s">
        <v>4018</v>
      </c>
      <c r="B1436" s="2" t="s">
        <v>4019</v>
      </c>
      <c r="C1436" s="2" t="s">
        <v>4020</v>
      </c>
      <c r="D1436" t="s">
        <v>6882</v>
      </c>
      <c r="E1436" t="s">
        <v>8519</v>
      </c>
      <c r="F1436" t="s">
        <v>0</v>
      </c>
      <c r="G1436" s="1">
        <f>DATE(2023,5,30)</f>
        <v>45076</v>
      </c>
    </row>
    <row r="1437" spans="1:7" x14ac:dyDescent="0.35">
      <c r="A1437" s="2" t="s">
        <v>4021</v>
      </c>
      <c r="B1437" s="2" t="s">
        <v>4022</v>
      </c>
      <c r="C1437" s="2" t="s">
        <v>4023</v>
      </c>
      <c r="D1437" t="s">
        <v>6883</v>
      </c>
      <c r="E1437" t="s">
        <v>8520</v>
      </c>
      <c r="F1437" t="s">
        <v>0</v>
      </c>
      <c r="G1437" s="1">
        <f>DATE(2024,1,5)</f>
        <v>45296</v>
      </c>
    </row>
    <row r="1438" spans="1:7" x14ac:dyDescent="0.35">
      <c r="A1438" s="2" t="s">
        <v>4024</v>
      </c>
      <c r="B1438" s="2" t="s">
        <v>4025</v>
      </c>
      <c r="C1438" s="2" t="s">
        <v>4026</v>
      </c>
      <c r="D1438" t="s">
        <v>6884</v>
      </c>
      <c r="E1438" t="s">
        <v>8521</v>
      </c>
      <c r="F1438" t="s">
        <v>0</v>
      </c>
      <c r="G1438" s="1">
        <f>DATE(2023,7,6)</f>
        <v>45113</v>
      </c>
    </row>
    <row r="1439" spans="1:7" x14ac:dyDescent="0.35">
      <c r="A1439" s="2" t="s">
        <v>4027</v>
      </c>
      <c r="B1439" s="2" t="s">
        <v>4028</v>
      </c>
      <c r="C1439" s="2" t="s">
        <v>363</v>
      </c>
      <c r="D1439" t="s">
        <v>5853</v>
      </c>
      <c r="E1439" t="s">
        <v>7489</v>
      </c>
      <c r="F1439" t="s">
        <v>0</v>
      </c>
      <c r="G1439" s="1">
        <f>DATE(2024,1,16)</f>
        <v>45307</v>
      </c>
    </row>
    <row r="1440" spans="1:7" x14ac:dyDescent="0.35">
      <c r="A1440" s="2" t="s">
        <v>4029</v>
      </c>
      <c r="B1440" s="2" t="s">
        <v>4030</v>
      </c>
      <c r="C1440" s="2" t="s">
        <v>4031</v>
      </c>
      <c r="D1440" t="s">
        <v>6885</v>
      </c>
      <c r="E1440" t="s">
        <v>8522</v>
      </c>
      <c r="F1440" t="s">
        <v>0</v>
      </c>
      <c r="G1440" s="1">
        <f>DATE(2023,9,22)</f>
        <v>45191</v>
      </c>
    </row>
    <row r="1441" spans="1:7" x14ac:dyDescent="0.35">
      <c r="A1441" s="2" t="s">
        <v>4032</v>
      </c>
      <c r="B1441" s="2" t="s">
        <v>4033</v>
      </c>
      <c r="C1441" s="2" t="s">
        <v>4034</v>
      </c>
      <c r="D1441" t="s">
        <v>6886</v>
      </c>
      <c r="E1441" t="s">
        <v>8523</v>
      </c>
      <c r="F1441" t="s">
        <v>0</v>
      </c>
      <c r="G1441" s="1">
        <f>DATE(2023,7,20)</f>
        <v>45127</v>
      </c>
    </row>
    <row r="1442" spans="1:7" x14ac:dyDescent="0.35">
      <c r="A1442" s="2" t="s">
        <v>4035</v>
      </c>
      <c r="B1442" s="2" t="s">
        <v>4036</v>
      </c>
      <c r="C1442" s="2" t="s">
        <v>4037</v>
      </c>
      <c r="D1442" t="s">
        <v>6887</v>
      </c>
      <c r="E1442" t="s">
        <v>8524</v>
      </c>
      <c r="F1442" t="s">
        <v>0</v>
      </c>
      <c r="G1442" s="1">
        <f>DATE(2023,12,18)</f>
        <v>45278</v>
      </c>
    </row>
    <row r="1443" spans="1:7" x14ac:dyDescent="0.35">
      <c r="A1443" s="2" t="s">
        <v>4038</v>
      </c>
      <c r="B1443" s="2" t="s">
        <v>4039</v>
      </c>
      <c r="C1443" s="2" t="s">
        <v>4040</v>
      </c>
      <c r="D1443" t="s">
        <v>6888</v>
      </c>
      <c r="E1443" t="s">
        <v>8525</v>
      </c>
      <c r="F1443" t="s">
        <v>0</v>
      </c>
      <c r="G1443" s="1">
        <f>DATE(2023,12,18)</f>
        <v>45278</v>
      </c>
    </row>
    <row r="1444" spans="1:7" x14ac:dyDescent="0.35">
      <c r="A1444" s="2" t="s">
        <v>4041</v>
      </c>
      <c r="B1444" s="2" t="s">
        <v>4042</v>
      </c>
      <c r="C1444" s="2" t="s">
        <v>4043</v>
      </c>
      <c r="D1444" t="s">
        <v>6889</v>
      </c>
      <c r="E1444" t="s">
        <v>8526</v>
      </c>
      <c r="F1444" t="s">
        <v>0</v>
      </c>
      <c r="G1444" s="1">
        <f t="shared" ref="G1444:G1451" si="9">DATE(2023,7,20)</f>
        <v>45127</v>
      </c>
    </row>
    <row r="1445" spans="1:7" x14ac:dyDescent="0.35">
      <c r="A1445" s="2" t="s">
        <v>4044</v>
      </c>
      <c r="B1445" s="2" t="s">
        <v>4045</v>
      </c>
      <c r="C1445" s="2" t="s">
        <v>4046</v>
      </c>
      <c r="D1445" t="s">
        <v>6890</v>
      </c>
      <c r="E1445" t="s">
        <v>8527</v>
      </c>
      <c r="F1445" t="s">
        <v>0</v>
      </c>
      <c r="G1445" s="1">
        <f t="shared" si="9"/>
        <v>45127</v>
      </c>
    </row>
    <row r="1446" spans="1:7" x14ac:dyDescent="0.35">
      <c r="A1446" s="2" t="s">
        <v>4047</v>
      </c>
      <c r="B1446" s="2" t="s">
        <v>4048</v>
      </c>
      <c r="C1446" s="2" t="s">
        <v>4049</v>
      </c>
      <c r="D1446" t="s">
        <v>6891</v>
      </c>
      <c r="E1446" t="s">
        <v>8528</v>
      </c>
      <c r="F1446" t="s">
        <v>0</v>
      </c>
      <c r="G1446" s="1">
        <f t="shared" si="9"/>
        <v>45127</v>
      </c>
    </row>
    <row r="1447" spans="1:7" x14ac:dyDescent="0.35">
      <c r="A1447" s="2" t="s">
        <v>4050</v>
      </c>
      <c r="B1447" s="2" t="s">
        <v>4051</v>
      </c>
      <c r="C1447" s="2" t="s">
        <v>4052</v>
      </c>
      <c r="D1447" t="s">
        <v>6892</v>
      </c>
      <c r="E1447" t="s">
        <v>8529</v>
      </c>
      <c r="F1447" t="s">
        <v>0</v>
      </c>
      <c r="G1447" s="1">
        <f t="shared" si="9"/>
        <v>45127</v>
      </c>
    </row>
    <row r="1448" spans="1:7" x14ac:dyDescent="0.35">
      <c r="A1448" s="2" t="s">
        <v>4053</v>
      </c>
      <c r="B1448" s="2" t="s">
        <v>4054</v>
      </c>
      <c r="C1448" s="2" t="s">
        <v>1328</v>
      </c>
      <c r="D1448" t="s">
        <v>6140</v>
      </c>
      <c r="E1448" t="s">
        <v>7777</v>
      </c>
      <c r="F1448" t="s">
        <v>0</v>
      </c>
      <c r="G1448" s="1">
        <f t="shared" si="9"/>
        <v>45127</v>
      </c>
    </row>
    <row r="1449" spans="1:7" x14ac:dyDescent="0.35">
      <c r="A1449" s="2" t="s">
        <v>4055</v>
      </c>
      <c r="B1449" s="2" t="s">
        <v>4056</v>
      </c>
      <c r="C1449" s="2" t="s">
        <v>4057</v>
      </c>
      <c r="D1449" t="s">
        <v>6893</v>
      </c>
      <c r="E1449" t="s">
        <v>8530</v>
      </c>
      <c r="F1449" t="s">
        <v>0</v>
      </c>
      <c r="G1449" s="1">
        <f t="shared" si="9"/>
        <v>45127</v>
      </c>
    </row>
    <row r="1450" spans="1:7" x14ac:dyDescent="0.35">
      <c r="A1450" s="2" t="s">
        <v>4058</v>
      </c>
      <c r="B1450" s="2" t="s">
        <v>4059</v>
      </c>
      <c r="C1450" s="2" t="s">
        <v>4060</v>
      </c>
      <c r="D1450" t="s">
        <v>6894</v>
      </c>
      <c r="E1450" t="s">
        <v>8531</v>
      </c>
      <c r="F1450" t="s">
        <v>0</v>
      </c>
      <c r="G1450" s="1">
        <f t="shared" si="9"/>
        <v>45127</v>
      </c>
    </row>
    <row r="1451" spans="1:7" x14ac:dyDescent="0.35">
      <c r="A1451" s="2" t="s">
        <v>4061</v>
      </c>
      <c r="B1451" s="2" t="s">
        <v>4062</v>
      </c>
      <c r="C1451" s="2" t="s">
        <v>4063</v>
      </c>
      <c r="D1451" t="s">
        <v>6895</v>
      </c>
      <c r="E1451" t="s">
        <v>8532</v>
      </c>
      <c r="F1451" t="s">
        <v>0</v>
      </c>
      <c r="G1451" s="1">
        <f t="shared" si="9"/>
        <v>45127</v>
      </c>
    </row>
    <row r="1452" spans="1:7" x14ac:dyDescent="0.35">
      <c r="A1452" s="2" t="s">
        <v>4064</v>
      </c>
      <c r="B1452" s="2" t="s">
        <v>4065</v>
      </c>
      <c r="C1452" s="2" t="s">
        <v>4066</v>
      </c>
      <c r="D1452" t="s">
        <v>6896</v>
      </c>
      <c r="E1452" t="s">
        <v>8533</v>
      </c>
      <c r="F1452" t="s">
        <v>0</v>
      </c>
      <c r="G1452" s="1">
        <f>DATE(2023,12,18)</f>
        <v>45278</v>
      </c>
    </row>
    <row r="1453" spans="1:7" x14ac:dyDescent="0.35">
      <c r="A1453" s="2" t="s">
        <v>4067</v>
      </c>
      <c r="B1453" s="2" t="s">
        <v>4068</v>
      </c>
      <c r="C1453" s="2" t="s">
        <v>4069</v>
      </c>
      <c r="D1453" t="s">
        <v>6887</v>
      </c>
      <c r="E1453" t="s">
        <v>8524</v>
      </c>
      <c r="F1453" t="s">
        <v>0</v>
      </c>
      <c r="G1453" s="1">
        <f>DATE(2023,12,18)</f>
        <v>45278</v>
      </c>
    </row>
    <row r="1454" spans="1:7" x14ac:dyDescent="0.35">
      <c r="A1454" s="2" t="s">
        <v>4070</v>
      </c>
      <c r="B1454" s="2" t="s">
        <v>4071</v>
      </c>
      <c r="C1454" s="2" t="s">
        <v>4072</v>
      </c>
      <c r="D1454" t="s">
        <v>6897</v>
      </c>
      <c r="E1454" t="s">
        <v>8534</v>
      </c>
      <c r="F1454" t="s">
        <v>0</v>
      </c>
      <c r="G1454" s="1">
        <f>DATE(2023,7,20)</f>
        <v>45127</v>
      </c>
    </row>
    <row r="1455" spans="1:7" x14ac:dyDescent="0.35">
      <c r="A1455" s="2" t="s">
        <v>4073</v>
      </c>
      <c r="B1455" s="2" t="s">
        <v>4074</v>
      </c>
      <c r="D1455" t="s">
        <v>5756</v>
      </c>
      <c r="E1455" t="e">
        <v>#VALUE!</v>
      </c>
      <c r="F1455" t="s">
        <v>0</v>
      </c>
      <c r="G1455" s="1">
        <f>DATE(2023,7,17)</f>
        <v>45124</v>
      </c>
    </row>
    <row r="1456" spans="1:7" x14ac:dyDescent="0.35">
      <c r="A1456" s="2" t="s">
        <v>4075</v>
      </c>
      <c r="B1456" s="2" t="s">
        <v>4076</v>
      </c>
      <c r="C1456" s="2" t="s">
        <v>4077</v>
      </c>
      <c r="D1456" t="s">
        <v>6898</v>
      </c>
      <c r="E1456" t="s">
        <v>8535</v>
      </c>
      <c r="F1456" t="s">
        <v>0</v>
      </c>
      <c r="G1456" s="1">
        <f>DATE(2023,7,17)</f>
        <v>45124</v>
      </c>
    </row>
    <row r="1457" spans="1:7" x14ac:dyDescent="0.35">
      <c r="A1457" s="2" t="s">
        <v>4078</v>
      </c>
      <c r="B1457" s="2" t="s">
        <v>4079</v>
      </c>
      <c r="C1457" s="2" t="s">
        <v>4080</v>
      </c>
      <c r="D1457" t="s">
        <v>6899</v>
      </c>
      <c r="E1457" t="s">
        <v>8536</v>
      </c>
      <c r="F1457" t="s">
        <v>0</v>
      </c>
      <c r="G1457" s="1">
        <f>DATE(2023,6,9)</f>
        <v>45086</v>
      </c>
    </row>
    <row r="1458" spans="1:7" x14ac:dyDescent="0.35">
      <c r="A1458" s="2" t="s">
        <v>4081</v>
      </c>
      <c r="B1458" s="2" t="s">
        <v>4082</v>
      </c>
      <c r="C1458" s="2" t="s">
        <v>1669</v>
      </c>
      <c r="D1458" t="s">
        <v>6237</v>
      </c>
      <c r="E1458" t="s">
        <v>7874</v>
      </c>
      <c r="F1458" t="s">
        <v>0</v>
      </c>
      <c r="G1458" s="1">
        <f>DATE(2023,11,24)</f>
        <v>45254</v>
      </c>
    </row>
    <row r="1459" spans="1:7" x14ac:dyDescent="0.35">
      <c r="A1459" s="2" t="s">
        <v>4083</v>
      </c>
      <c r="B1459" s="2" t="s">
        <v>4084</v>
      </c>
      <c r="C1459" s="2" t="s">
        <v>4085</v>
      </c>
      <c r="D1459" t="s">
        <v>6900</v>
      </c>
      <c r="E1459" t="s">
        <v>8537</v>
      </c>
      <c r="F1459" t="s">
        <v>0</v>
      </c>
      <c r="G1459" s="1">
        <f>DATE(2023,12,1)</f>
        <v>45261</v>
      </c>
    </row>
    <row r="1460" spans="1:7" x14ac:dyDescent="0.35">
      <c r="A1460" s="2" t="s">
        <v>4086</v>
      </c>
      <c r="B1460" s="2" t="s">
        <v>4087</v>
      </c>
      <c r="C1460" s="2" t="s">
        <v>4088</v>
      </c>
      <c r="D1460" t="s">
        <v>6901</v>
      </c>
      <c r="E1460" t="s">
        <v>8538</v>
      </c>
      <c r="F1460" t="s">
        <v>0</v>
      </c>
      <c r="G1460" s="1">
        <f>DATE(2023,8,2)</f>
        <v>45140</v>
      </c>
    </row>
    <row r="1461" spans="1:7" x14ac:dyDescent="0.35">
      <c r="A1461" s="2" t="s">
        <v>4089</v>
      </c>
      <c r="B1461" s="2" t="s">
        <v>4090</v>
      </c>
      <c r="C1461" s="2" t="s">
        <v>4091</v>
      </c>
      <c r="D1461" t="s">
        <v>6902</v>
      </c>
      <c r="E1461" t="s">
        <v>8539</v>
      </c>
      <c r="F1461" t="s">
        <v>0</v>
      </c>
      <c r="G1461" s="1">
        <f>DATE(2023,6,12)</f>
        <v>45089</v>
      </c>
    </row>
    <row r="1462" spans="1:7" x14ac:dyDescent="0.35">
      <c r="A1462" s="2" t="s">
        <v>4092</v>
      </c>
      <c r="B1462" s="2" t="s">
        <v>4093</v>
      </c>
      <c r="C1462" s="2" t="s">
        <v>4094</v>
      </c>
      <c r="D1462" t="s">
        <v>6903</v>
      </c>
      <c r="E1462" t="s">
        <v>8540</v>
      </c>
      <c r="F1462" t="s">
        <v>0</v>
      </c>
      <c r="G1462" s="1">
        <f>DATE(2023,6,14)</f>
        <v>45091</v>
      </c>
    </row>
    <row r="1463" spans="1:7" x14ac:dyDescent="0.35">
      <c r="A1463" s="2" t="s">
        <v>4095</v>
      </c>
      <c r="B1463" s="2" t="s">
        <v>4096</v>
      </c>
      <c r="D1463" t="s">
        <v>5756</v>
      </c>
      <c r="E1463" t="e">
        <v>#VALUE!</v>
      </c>
      <c r="F1463" t="s">
        <v>0</v>
      </c>
      <c r="G1463" s="1">
        <f>DATE(2023,6,14)</f>
        <v>45091</v>
      </c>
    </row>
    <row r="1464" spans="1:7" x14ac:dyDescent="0.35">
      <c r="A1464" s="2" t="s">
        <v>4097</v>
      </c>
      <c r="B1464" s="2" t="s">
        <v>4098</v>
      </c>
      <c r="C1464" s="2" t="s">
        <v>4099</v>
      </c>
      <c r="D1464" t="s">
        <v>6904</v>
      </c>
      <c r="E1464" t="s">
        <v>8541</v>
      </c>
      <c r="F1464" t="s">
        <v>0</v>
      </c>
      <c r="G1464" s="1">
        <f>DATE(2023,12,18)</f>
        <v>45278</v>
      </c>
    </row>
    <row r="1465" spans="1:7" x14ac:dyDescent="0.35">
      <c r="A1465" s="2" t="s">
        <v>4100</v>
      </c>
      <c r="B1465" s="2" t="s">
        <v>4101</v>
      </c>
      <c r="C1465" s="2" t="s">
        <v>4102</v>
      </c>
      <c r="D1465" t="s">
        <v>6905</v>
      </c>
      <c r="E1465" t="s">
        <v>8542</v>
      </c>
      <c r="F1465" t="s">
        <v>0</v>
      </c>
      <c r="G1465" s="1">
        <f>DATE(2023,6,20)</f>
        <v>45097</v>
      </c>
    </row>
    <row r="1466" spans="1:7" x14ac:dyDescent="0.35">
      <c r="A1466" s="2" t="s">
        <v>4103</v>
      </c>
      <c r="B1466" s="2" t="s">
        <v>4104</v>
      </c>
      <c r="C1466" s="2" t="s">
        <v>4105</v>
      </c>
      <c r="D1466" t="s">
        <v>6906</v>
      </c>
      <c r="E1466" t="s">
        <v>8543</v>
      </c>
      <c r="F1466" t="s">
        <v>0</v>
      </c>
      <c r="G1466" s="1">
        <f>DATE(2023,6,21)</f>
        <v>45098</v>
      </c>
    </row>
    <row r="1467" spans="1:7" x14ac:dyDescent="0.35">
      <c r="A1467" s="2" t="s">
        <v>4106</v>
      </c>
      <c r="B1467" s="2" t="s">
        <v>4107</v>
      </c>
      <c r="C1467" s="2" t="s">
        <v>4108</v>
      </c>
      <c r="D1467" t="s">
        <v>6907</v>
      </c>
      <c r="E1467" t="s">
        <v>8544</v>
      </c>
      <c r="F1467" t="s">
        <v>0</v>
      </c>
      <c r="G1467" s="1">
        <f>DATE(2023,6,28)</f>
        <v>45105</v>
      </c>
    </row>
    <row r="1468" spans="1:7" x14ac:dyDescent="0.35">
      <c r="A1468" s="2" t="s">
        <v>4109</v>
      </c>
      <c r="B1468" s="2" t="s">
        <v>4110</v>
      </c>
      <c r="C1468" s="2" t="s">
        <v>4111</v>
      </c>
      <c r="D1468" t="s">
        <v>6908</v>
      </c>
      <c r="E1468" t="s">
        <v>8545</v>
      </c>
      <c r="F1468" t="s">
        <v>0</v>
      </c>
      <c r="G1468" s="1">
        <f>DATE(2023,6,28)</f>
        <v>45105</v>
      </c>
    </row>
    <row r="1469" spans="1:7" x14ac:dyDescent="0.35">
      <c r="A1469" s="2" t="s">
        <v>4112</v>
      </c>
      <c r="B1469" s="2" t="s">
        <v>4113</v>
      </c>
      <c r="C1469" s="2" t="s">
        <v>4114</v>
      </c>
      <c r="D1469" t="s">
        <v>6909</v>
      </c>
      <c r="E1469" t="s">
        <v>8546</v>
      </c>
      <c r="F1469" t="s">
        <v>0</v>
      </c>
      <c r="G1469" s="1">
        <f>DATE(2023,6,29)</f>
        <v>45106</v>
      </c>
    </row>
    <row r="1470" spans="1:7" x14ac:dyDescent="0.35">
      <c r="A1470" s="2" t="s">
        <v>4115</v>
      </c>
      <c r="B1470" s="2" t="s">
        <v>4116</v>
      </c>
      <c r="C1470" s="2" t="s">
        <v>4117</v>
      </c>
      <c r="D1470" t="s">
        <v>6910</v>
      </c>
      <c r="E1470" t="s">
        <v>8547</v>
      </c>
      <c r="F1470" t="s">
        <v>0</v>
      </c>
      <c r="G1470" s="1">
        <f>DATE(2023,7,5)</f>
        <v>45112</v>
      </c>
    </row>
    <row r="1471" spans="1:7" x14ac:dyDescent="0.35">
      <c r="A1471" s="2" t="s">
        <v>4118</v>
      </c>
      <c r="B1471" s="2" t="s">
        <v>4119</v>
      </c>
      <c r="C1471" s="2" t="s">
        <v>4120</v>
      </c>
      <c r="D1471" t="s">
        <v>6911</v>
      </c>
      <c r="E1471" t="s">
        <v>8548</v>
      </c>
      <c r="F1471" t="s">
        <v>0</v>
      </c>
      <c r="G1471" s="1">
        <f>DATE(2023,7,7)</f>
        <v>45114</v>
      </c>
    </row>
    <row r="1472" spans="1:7" x14ac:dyDescent="0.35">
      <c r="A1472" s="2" t="s">
        <v>4121</v>
      </c>
      <c r="B1472" s="2" t="s">
        <v>4122</v>
      </c>
      <c r="C1472" s="2" t="s">
        <v>4123</v>
      </c>
      <c r="D1472" t="s">
        <v>6912</v>
      </c>
      <c r="E1472" t="s">
        <v>8549</v>
      </c>
      <c r="F1472" t="s">
        <v>0</v>
      </c>
      <c r="G1472" s="1">
        <f>DATE(2023,7,17)</f>
        <v>45124</v>
      </c>
    </row>
    <row r="1473" spans="1:7" x14ac:dyDescent="0.35">
      <c r="A1473" s="2" t="s">
        <v>4124</v>
      </c>
      <c r="B1473" s="2" t="s">
        <v>4125</v>
      </c>
      <c r="D1473" t="s">
        <v>5756</v>
      </c>
      <c r="E1473" t="e">
        <v>#VALUE!</v>
      </c>
      <c r="F1473" t="s">
        <v>0</v>
      </c>
      <c r="G1473" s="1">
        <f>DATE(2023,7,17)</f>
        <v>45124</v>
      </c>
    </row>
    <row r="1474" spans="1:7" x14ac:dyDescent="0.35">
      <c r="A1474" s="2" t="s">
        <v>4126</v>
      </c>
      <c r="B1474" s="2" t="s">
        <v>4127</v>
      </c>
      <c r="C1474" s="2" t="s">
        <v>4128</v>
      </c>
      <c r="D1474" t="s">
        <v>6913</v>
      </c>
      <c r="E1474" t="s">
        <v>8550</v>
      </c>
      <c r="F1474" t="s">
        <v>0</v>
      </c>
      <c r="G1474" s="1">
        <f>DATE(2023,7,17)</f>
        <v>45124</v>
      </c>
    </row>
    <row r="1475" spans="1:7" x14ac:dyDescent="0.35">
      <c r="A1475" s="2" t="s">
        <v>4129</v>
      </c>
      <c r="B1475" s="2" t="s">
        <v>4130</v>
      </c>
      <c r="C1475" s="2" t="s">
        <v>4131</v>
      </c>
      <c r="D1475" t="s">
        <v>6914</v>
      </c>
      <c r="E1475" t="s">
        <v>8551</v>
      </c>
      <c r="F1475" t="s">
        <v>0</v>
      </c>
      <c r="G1475" s="1">
        <f>DATE(2023,7,24)</f>
        <v>45131</v>
      </c>
    </row>
    <row r="1476" spans="1:7" x14ac:dyDescent="0.35">
      <c r="A1476" s="2" t="s">
        <v>4132</v>
      </c>
      <c r="B1476" s="2" t="s">
        <v>4133</v>
      </c>
      <c r="C1476" s="2" t="s">
        <v>4134</v>
      </c>
      <c r="D1476" t="s">
        <v>6915</v>
      </c>
      <c r="E1476" t="s">
        <v>8552</v>
      </c>
      <c r="F1476" t="s">
        <v>0</v>
      </c>
      <c r="G1476" s="1">
        <f>DATE(2023,7,24)</f>
        <v>45131</v>
      </c>
    </row>
    <row r="1477" spans="1:7" x14ac:dyDescent="0.35">
      <c r="A1477" s="2" t="s">
        <v>4135</v>
      </c>
      <c r="B1477" s="2" t="s">
        <v>4136</v>
      </c>
      <c r="D1477" t="s">
        <v>5756</v>
      </c>
      <c r="E1477" t="e">
        <v>#VALUE!</v>
      </c>
      <c r="F1477" t="s">
        <v>0</v>
      </c>
      <c r="G1477" s="1">
        <f>DATE(2024,1,4)</f>
        <v>45295</v>
      </c>
    </row>
    <row r="1478" spans="1:7" x14ac:dyDescent="0.35">
      <c r="A1478" s="2" t="s">
        <v>4137</v>
      </c>
      <c r="B1478" s="2" t="s">
        <v>4138</v>
      </c>
      <c r="C1478" s="2" t="s">
        <v>4139</v>
      </c>
      <c r="D1478" t="s">
        <v>6916</v>
      </c>
      <c r="E1478" t="s">
        <v>8553</v>
      </c>
      <c r="F1478" t="s">
        <v>0</v>
      </c>
      <c r="G1478" s="1">
        <f>DATE(2023,7,28)</f>
        <v>45135</v>
      </c>
    </row>
    <row r="1479" spans="1:7" x14ac:dyDescent="0.35">
      <c r="A1479" s="2" t="s">
        <v>4140</v>
      </c>
      <c r="B1479" s="2" t="s">
        <v>4141</v>
      </c>
      <c r="C1479" s="2" t="s">
        <v>4142</v>
      </c>
      <c r="D1479" t="s">
        <v>6917</v>
      </c>
      <c r="E1479" t="s">
        <v>8554</v>
      </c>
      <c r="F1479" t="s">
        <v>0</v>
      </c>
      <c r="G1479" s="1">
        <f>DATE(2023,10,7)</f>
        <v>45206</v>
      </c>
    </row>
    <row r="1480" spans="1:7" x14ac:dyDescent="0.35">
      <c r="A1480" s="2" t="s">
        <v>4143</v>
      </c>
      <c r="B1480" s="2" t="s">
        <v>4144</v>
      </c>
      <c r="C1480" s="2" t="s">
        <v>4145</v>
      </c>
      <c r="D1480" t="s">
        <v>6918</v>
      </c>
      <c r="E1480" t="s">
        <v>8555</v>
      </c>
      <c r="F1480" t="s">
        <v>0</v>
      </c>
      <c r="G1480" s="1">
        <f>DATE(2023,12,29)</f>
        <v>45289</v>
      </c>
    </row>
    <row r="1481" spans="1:7" x14ac:dyDescent="0.35">
      <c r="A1481" s="2" t="s">
        <v>4146</v>
      </c>
      <c r="B1481" s="2" t="s">
        <v>4147</v>
      </c>
      <c r="C1481" s="2" t="s">
        <v>4148</v>
      </c>
      <c r="D1481" t="s">
        <v>6919</v>
      </c>
      <c r="E1481" t="s">
        <v>8556</v>
      </c>
      <c r="F1481" t="s">
        <v>0</v>
      </c>
      <c r="G1481" s="1">
        <f t="shared" ref="G1481:G1486" si="10">DATE(2023,8,5)</f>
        <v>45143</v>
      </c>
    </row>
    <row r="1482" spans="1:7" x14ac:dyDescent="0.35">
      <c r="A1482" s="2" t="s">
        <v>4149</v>
      </c>
      <c r="B1482" s="2" t="s">
        <v>4150</v>
      </c>
      <c r="C1482" s="2" t="s">
        <v>4151</v>
      </c>
      <c r="D1482" t="s">
        <v>6920</v>
      </c>
      <c r="E1482" t="s">
        <v>8557</v>
      </c>
      <c r="F1482" t="s">
        <v>0</v>
      </c>
      <c r="G1482" s="1">
        <f t="shared" si="10"/>
        <v>45143</v>
      </c>
    </row>
    <row r="1483" spans="1:7" x14ac:dyDescent="0.35">
      <c r="A1483" s="2" t="s">
        <v>4152</v>
      </c>
      <c r="B1483" s="2" t="s">
        <v>4153</v>
      </c>
      <c r="C1483" s="2" t="s">
        <v>4154</v>
      </c>
      <c r="D1483" t="s">
        <v>6921</v>
      </c>
      <c r="E1483" t="s">
        <v>8558</v>
      </c>
      <c r="F1483" t="s">
        <v>0</v>
      </c>
      <c r="G1483" s="1">
        <f t="shared" si="10"/>
        <v>45143</v>
      </c>
    </row>
    <row r="1484" spans="1:7" x14ac:dyDescent="0.35">
      <c r="A1484" s="2" t="s">
        <v>4155</v>
      </c>
      <c r="B1484" s="2" t="s">
        <v>4156</v>
      </c>
      <c r="C1484" s="2" t="s">
        <v>4157</v>
      </c>
      <c r="D1484" t="s">
        <v>6922</v>
      </c>
      <c r="E1484" t="s">
        <v>8559</v>
      </c>
      <c r="F1484" t="s">
        <v>0</v>
      </c>
      <c r="G1484" s="1">
        <f t="shared" si="10"/>
        <v>45143</v>
      </c>
    </row>
    <row r="1485" spans="1:7" x14ac:dyDescent="0.35">
      <c r="A1485" s="2" t="s">
        <v>4158</v>
      </c>
      <c r="B1485" s="2" t="s">
        <v>4159</v>
      </c>
      <c r="C1485" s="2" t="s">
        <v>4160</v>
      </c>
      <c r="D1485" t="s">
        <v>6923</v>
      </c>
      <c r="E1485" t="s">
        <v>8560</v>
      </c>
      <c r="F1485" t="s">
        <v>0</v>
      </c>
      <c r="G1485" s="1">
        <f t="shared" si="10"/>
        <v>45143</v>
      </c>
    </row>
    <row r="1486" spans="1:7" x14ac:dyDescent="0.35">
      <c r="A1486" s="2" t="s">
        <v>4161</v>
      </c>
      <c r="B1486" s="2" t="s">
        <v>4162</v>
      </c>
      <c r="C1486" s="2" t="s">
        <v>4163</v>
      </c>
      <c r="D1486" t="s">
        <v>6924</v>
      </c>
      <c r="E1486" t="s">
        <v>8561</v>
      </c>
      <c r="F1486" t="s">
        <v>0</v>
      </c>
      <c r="G1486" s="1">
        <f t="shared" si="10"/>
        <v>45143</v>
      </c>
    </row>
    <row r="1487" spans="1:7" x14ac:dyDescent="0.35">
      <c r="A1487" s="2" t="s">
        <v>4164</v>
      </c>
      <c r="B1487" s="2" t="s">
        <v>4165</v>
      </c>
      <c r="C1487" s="2" t="s">
        <v>4166</v>
      </c>
      <c r="D1487" t="s">
        <v>6925</v>
      </c>
      <c r="E1487" t="s">
        <v>8562</v>
      </c>
      <c r="F1487" t="s">
        <v>0</v>
      </c>
      <c r="G1487" s="1">
        <f>DATE(2023,12,18)</f>
        <v>45278</v>
      </c>
    </row>
    <row r="1488" spans="1:7" x14ac:dyDescent="0.35">
      <c r="A1488" s="2" t="s">
        <v>4167</v>
      </c>
      <c r="B1488" s="2" t="s">
        <v>4168</v>
      </c>
      <c r="C1488" s="2" t="s">
        <v>4169</v>
      </c>
      <c r="D1488" t="s">
        <v>6926</v>
      </c>
      <c r="E1488" t="s">
        <v>8563</v>
      </c>
      <c r="F1488" t="s">
        <v>0</v>
      </c>
      <c r="G1488" s="1">
        <f>DATE(2023,9,29)</f>
        <v>45198</v>
      </c>
    </row>
    <row r="1489" spans="1:7" x14ac:dyDescent="0.35">
      <c r="A1489" s="2" t="s">
        <v>4170</v>
      </c>
      <c r="B1489" s="2" t="s">
        <v>4171</v>
      </c>
      <c r="C1489" s="2" t="s">
        <v>4172</v>
      </c>
      <c r="D1489" t="s">
        <v>6927</v>
      </c>
      <c r="E1489" t="s">
        <v>8564</v>
      </c>
      <c r="F1489" t="s">
        <v>0</v>
      </c>
      <c r="G1489" s="1">
        <f>DATE(2023,11,29)</f>
        <v>45259</v>
      </c>
    </row>
    <row r="1490" spans="1:7" x14ac:dyDescent="0.35">
      <c r="A1490" s="2" t="s">
        <v>4173</v>
      </c>
      <c r="B1490" s="2" t="s">
        <v>4174</v>
      </c>
      <c r="C1490" s="2" t="s">
        <v>4175</v>
      </c>
      <c r="D1490" t="s">
        <v>6928</v>
      </c>
      <c r="E1490" t="s">
        <v>8565</v>
      </c>
      <c r="F1490" t="s">
        <v>0</v>
      </c>
      <c r="G1490" s="1">
        <f t="shared" ref="G1490:G1497" si="11">DATE(2023,8,5)</f>
        <v>45143</v>
      </c>
    </row>
    <row r="1491" spans="1:7" x14ac:dyDescent="0.35">
      <c r="A1491" s="2" t="s">
        <v>4176</v>
      </c>
      <c r="B1491" s="2" t="s">
        <v>4177</v>
      </c>
      <c r="C1491" s="2" t="s">
        <v>4178</v>
      </c>
      <c r="D1491" t="s">
        <v>6929</v>
      </c>
      <c r="E1491" t="s">
        <v>8566</v>
      </c>
      <c r="F1491" t="s">
        <v>0</v>
      </c>
      <c r="G1491" s="1">
        <f t="shared" si="11"/>
        <v>45143</v>
      </c>
    </row>
    <row r="1492" spans="1:7" x14ac:dyDescent="0.35">
      <c r="A1492" s="2" t="s">
        <v>4179</v>
      </c>
      <c r="B1492" s="2" t="s">
        <v>4180</v>
      </c>
      <c r="C1492" s="2" t="s">
        <v>4181</v>
      </c>
      <c r="D1492" t="s">
        <v>6930</v>
      </c>
      <c r="E1492" t="s">
        <v>8567</v>
      </c>
      <c r="F1492" t="s">
        <v>0</v>
      </c>
      <c r="G1492" s="1">
        <f t="shared" si="11"/>
        <v>45143</v>
      </c>
    </row>
    <row r="1493" spans="1:7" x14ac:dyDescent="0.35">
      <c r="A1493" s="2" t="s">
        <v>4182</v>
      </c>
      <c r="B1493" s="2" t="s">
        <v>4183</v>
      </c>
      <c r="C1493" s="2" t="s">
        <v>4184</v>
      </c>
      <c r="D1493" t="s">
        <v>6931</v>
      </c>
      <c r="E1493" t="s">
        <v>8568</v>
      </c>
      <c r="F1493" t="s">
        <v>0</v>
      </c>
      <c r="G1493" s="1">
        <f t="shared" si="11"/>
        <v>45143</v>
      </c>
    </row>
    <row r="1494" spans="1:7" x14ac:dyDescent="0.35">
      <c r="A1494" s="2" t="s">
        <v>4185</v>
      </c>
      <c r="B1494" s="2" t="s">
        <v>4186</v>
      </c>
      <c r="C1494" s="2" t="s">
        <v>4187</v>
      </c>
      <c r="D1494" t="s">
        <v>6449</v>
      </c>
      <c r="E1494" t="s">
        <v>8086</v>
      </c>
      <c r="F1494" t="s">
        <v>0</v>
      </c>
      <c r="G1494" s="1">
        <f t="shared" si="11"/>
        <v>45143</v>
      </c>
    </row>
    <row r="1495" spans="1:7" x14ac:dyDescent="0.35">
      <c r="A1495" s="2" t="s">
        <v>4188</v>
      </c>
      <c r="B1495" s="2" t="s">
        <v>4189</v>
      </c>
      <c r="C1495" s="2" t="s">
        <v>4190</v>
      </c>
      <c r="D1495" t="s">
        <v>6932</v>
      </c>
      <c r="E1495" t="s">
        <v>8569</v>
      </c>
      <c r="F1495" t="s">
        <v>0</v>
      </c>
      <c r="G1495" s="1">
        <f t="shared" si="11"/>
        <v>45143</v>
      </c>
    </row>
    <row r="1496" spans="1:7" x14ac:dyDescent="0.35">
      <c r="A1496" s="2" t="s">
        <v>4191</v>
      </c>
      <c r="B1496" s="2" t="s">
        <v>4192</v>
      </c>
      <c r="C1496" s="2" t="s">
        <v>4193</v>
      </c>
      <c r="D1496" t="s">
        <v>6933</v>
      </c>
      <c r="E1496" t="s">
        <v>8570</v>
      </c>
      <c r="F1496" t="s">
        <v>0</v>
      </c>
      <c r="G1496" s="1">
        <f t="shared" si="11"/>
        <v>45143</v>
      </c>
    </row>
    <row r="1497" spans="1:7" x14ac:dyDescent="0.35">
      <c r="A1497" s="2" t="s">
        <v>4194</v>
      </c>
      <c r="B1497" s="2" t="s">
        <v>4195</v>
      </c>
      <c r="C1497" s="2" t="s">
        <v>4196</v>
      </c>
      <c r="D1497" t="s">
        <v>6934</v>
      </c>
      <c r="E1497" t="s">
        <v>8571</v>
      </c>
      <c r="F1497" t="s">
        <v>0</v>
      </c>
      <c r="G1497" s="1">
        <f t="shared" si="11"/>
        <v>45143</v>
      </c>
    </row>
    <row r="1498" spans="1:7" x14ac:dyDescent="0.35">
      <c r="A1498" s="2" t="s">
        <v>4197</v>
      </c>
      <c r="B1498" s="2" t="s">
        <v>4198</v>
      </c>
      <c r="C1498" s="2" t="s">
        <v>4199</v>
      </c>
      <c r="D1498" t="s">
        <v>6935</v>
      </c>
      <c r="E1498" t="s">
        <v>8572</v>
      </c>
      <c r="F1498" t="s">
        <v>0</v>
      </c>
      <c r="G1498" s="1">
        <f>DATE(2023,9,13)</f>
        <v>45182</v>
      </c>
    </row>
    <row r="1499" spans="1:7" x14ac:dyDescent="0.35">
      <c r="A1499" s="2" t="s">
        <v>4200</v>
      </c>
      <c r="B1499" s="2" t="s">
        <v>4201</v>
      </c>
      <c r="C1499" s="2" t="s">
        <v>4202</v>
      </c>
      <c r="D1499" t="s">
        <v>6936</v>
      </c>
      <c r="E1499" t="s">
        <v>8573</v>
      </c>
      <c r="F1499" t="s">
        <v>0</v>
      </c>
      <c r="G1499" s="1">
        <f>DATE(2023,8,5)</f>
        <v>45143</v>
      </c>
    </row>
    <row r="1500" spans="1:7" x14ac:dyDescent="0.35">
      <c r="A1500" s="2" t="s">
        <v>4203</v>
      </c>
      <c r="B1500" s="2" t="s">
        <v>4204</v>
      </c>
      <c r="C1500" s="2" t="s">
        <v>4205</v>
      </c>
      <c r="D1500" t="s">
        <v>6937</v>
      </c>
      <c r="E1500" t="s">
        <v>8574</v>
      </c>
      <c r="F1500" t="s">
        <v>0</v>
      </c>
      <c r="G1500" s="1">
        <f>DATE(2023,8,5)</f>
        <v>45143</v>
      </c>
    </row>
    <row r="1501" spans="1:7" x14ac:dyDescent="0.35">
      <c r="A1501" s="2" t="s">
        <v>4206</v>
      </c>
      <c r="B1501" s="2" t="s">
        <v>4207</v>
      </c>
      <c r="C1501" s="2" t="s">
        <v>4208</v>
      </c>
      <c r="D1501" t="s">
        <v>6938</v>
      </c>
      <c r="E1501" t="s">
        <v>8575</v>
      </c>
      <c r="F1501" t="s">
        <v>0</v>
      </c>
      <c r="G1501" s="1">
        <f>DATE(2023,9,13)</f>
        <v>45182</v>
      </c>
    </row>
    <row r="1502" spans="1:7" x14ac:dyDescent="0.35">
      <c r="A1502" s="2" t="s">
        <v>4209</v>
      </c>
      <c r="B1502" s="2" t="s">
        <v>4210</v>
      </c>
      <c r="C1502" s="2" t="s">
        <v>4211</v>
      </c>
      <c r="D1502" t="s">
        <v>6939</v>
      </c>
      <c r="E1502" t="s">
        <v>8576</v>
      </c>
      <c r="F1502" t="s">
        <v>0</v>
      </c>
      <c r="G1502" s="1">
        <f>DATE(2023,8,5)</f>
        <v>45143</v>
      </c>
    </row>
    <row r="1503" spans="1:7" x14ac:dyDescent="0.35">
      <c r="A1503" s="2" t="s">
        <v>4212</v>
      </c>
      <c r="B1503" s="2" t="s">
        <v>4213</v>
      </c>
      <c r="C1503" s="2" t="s">
        <v>4214</v>
      </c>
      <c r="D1503" t="s">
        <v>6940</v>
      </c>
      <c r="E1503" t="s">
        <v>8577</v>
      </c>
      <c r="F1503" t="s">
        <v>0</v>
      </c>
      <c r="G1503" s="1">
        <f>DATE(2023,8,5)</f>
        <v>45143</v>
      </c>
    </row>
    <row r="1504" spans="1:7" x14ac:dyDescent="0.35">
      <c r="A1504" s="2" t="s">
        <v>4215</v>
      </c>
      <c r="B1504" s="2" t="s">
        <v>4216</v>
      </c>
      <c r="C1504" s="2" t="s">
        <v>4217</v>
      </c>
      <c r="D1504" t="s">
        <v>6941</v>
      </c>
      <c r="E1504" t="s">
        <v>8578</v>
      </c>
      <c r="F1504" t="s">
        <v>0</v>
      </c>
      <c r="G1504" s="1">
        <f>DATE(2023,8,5)</f>
        <v>45143</v>
      </c>
    </row>
    <row r="1505" spans="1:7" x14ac:dyDescent="0.35">
      <c r="A1505" s="2" t="s">
        <v>4218</v>
      </c>
      <c r="B1505" s="2" t="s">
        <v>4219</v>
      </c>
      <c r="C1505" s="2" t="s">
        <v>4220</v>
      </c>
      <c r="D1505" t="s">
        <v>6942</v>
      </c>
      <c r="E1505" t="s">
        <v>8579</v>
      </c>
      <c r="F1505" t="s">
        <v>0</v>
      </c>
      <c r="G1505" s="1">
        <f>DATE(2023,8,5)</f>
        <v>45143</v>
      </c>
    </row>
    <row r="1506" spans="1:7" x14ac:dyDescent="0.35">
      <c r="A1506" s="2" t="s">
        <v>4221</v>
      </c>
      <c r="B1506" s="2" t="s">
        <v>4222</v>
      </c>
      <c r="C1506" s="2" t="s">
        <v>4223</v>
      </c>
      <c r="D1506" t="s">
        <v>6943</v>
      </c>
      <c r="E1506" t="s">
        <v>8580</v>
      </c>
      <c r="F1506" t="s">
        <v>0</v>
      </c>
      <c r="G1506" s="1">
        <f>DATE(2023,8,5)</f>
        <v>45143</v>
      </c>
    </row>
    <row r="1507" spans="1:7" x14ac:dyDescent="0.35">
      <c r="A1507" s="2" t="s">
        <v>4224</v>
      </c>
      <c r="B1507" s="2" t="s">
        <v>4225</v>
      </c>
      <c r="C1507" s="2" t="s">
        <v>4226</v>
      </c>
      <c r="D1507" t="s">
        <v>6944</v>
      </c>
      <c r="E1507" t="s">
        <v>8581</v>
      </c>
      <c r="F1507" t="s">
        <v>0</v>
      </c>
      <c r="G1507" s="1">
        <f>DATE(2023,12,18)</f>
        <v>45278</v>
      </c>
    </row>
    <row r="1508" spans="1:7" x14ac:dyDescent="0.35">
      <c r="A1508" s="2" t="s">
        <v>4227</v>
      </c>
      <c r="B1508" s="2" t="s">
        <v>4228</v>
      </c>
      <c r="C1508" s="2" t="s">
        <v>4229</v>
      </c>
      <c r="D1508" t="s">
        <v>6945</v>
      </c>
      <c r="E1508" t="s">
        <v>8582</v>
      </c>
      <c r="F1508" t="s">
        <v>0</v>
      </c>
      <c r="G1508" s="1">
        <f>DATE(2023,9,13)</f>
        <v>45182</v>
      </c>
    </row>
    <row r="1509" spans="1:7" x14ac:dyDescent="0.35">
      <c r="A1509" s="2" t="s">
        <v>4230</v>
      </c>
      <c r="B1509" s="2" t="s">
        <v>4231</v>
      </c>
      <c r="C1509" s="2" t="s">
        <v>4232</v>
      </c>
      <c r="D1509" t="s">
        <v>6946</v>
      </c>
      <c r="E1509" t="s">
        <v>8583</v>
      </c>
      <c r="F1509" t="s">
        <v>0</v>
      </c>
      <c r="G1509" s="1">
        <f>DATE(2023,8,5)</f>
        <v>45143</v>
      </c>
    </row>
    <row r="1510" spans="1:7" x14ac:dyDescent="0.35">
      <c r="A1510" s="2" t="s">
        <v>4233</v>
      </c>
      <c r="B1510" s="2" t="s">
        <v>4234</v>
      </c>
      <c r="C1510" s="2" t="s">
        <v>4235</v>
      </c>
      <c r="D1510" t="s">
        <v>6947</v>
      </c>
      <c r="E1510" t="s">
        <v>8584</v>
      </c>
      <c r="F1510" t="s">
        <v>0</v>
      </c>
      <c r="G1510" s="1">
        <f>DATE(2023,12,12)</f>
        <v>45272</v>
      </c>
    </row>
    <row r="1511" spans="1:7" x14ac:dyDescent="0.35">
      <c r="A1511" s="2" t="s">
        <v>4236</v>
      </c>
      <c r="B1511" s="2" t="s">
        <v>4237</v>
      </c>
      <c r="C1511" s="2" t="s">
        <v>4238</v>
      </c>
      <c r="D1511" t="s">
        <v>6948</v>
      </c>
      <c r="E1511" t="s">
        <v>8585</v>
      </c>
      <c r="F1511" t="s">
        <v>0</v>
      </c>
      <c r="G1511" s="1">
        <f>DATE(2023,12,18)</f>
        <v>45278</v>
      </c>
    </row>
    <row r="1512" spans="1:7" x14ac:dyDescent="0.35">
      <c r="A1512" s="2" t="s">
        <v>4239</v>
      </c>
      <c r="B1512" s="2" t="s">
        <v>4240</v>
      </c>
      <c r="C1512" s="2" t="s">
        <v>4241</v>
      </c>
      <c r="D1512" t="s">
        <v>6949</v>
      </c>
      <c r="E1512" t="s">
        <v>8586</v>
      </c>
      <c r="F1512" t="s">
        <v>0</v>
      </c>
      <c r="G1512" s="1">
        <f>DATE(2023,8,5)</f>
        <v>45143</v>
      </c>
    </row>
    <row r="1513" spans="1:7" x14ac:dyDescent="0.35">
      <c r="A1513" s="2" t="s">
        <v>4242</v>
      </c>
      <c r="B1513" s="2" t="s">
        <v>4243</v>
      </c>
      <c r="C1513" s="2" t="s">
        <v>4244</v>
      </c>
      <c r="D1513" t="s">
        <v>6950</v>
      </c>
      <c r="E1513" t="s">
        <v>8587</v>
      </c>
      <c r="F1513" t="s">
        <v>0</v>
      </c>
      <c r="G1513" s="1">
        <f>DATE(2023,8,30)</f>
        <v>45168</v>
      </c>
    </row>
    <row r="1514" spans="1:7" x14ac:dyDescent="0.35">
      <c r="A1514" s="2" t="s">
        <v>4245</v>
      </c>
      <c r="B1514" s="2" t="s">
        <v>4246</v>
      </c>
      <c r="C1514" s="2" t="s">
        <v>4247</v>
      </c>
      <c r="D1514" t="s">
        <v>6951</v>
      </c>
      <c r="E1514" t="s">
        <v>8588</v>
      </c>
      <c r="F1514" t="s">
        <v>0</v>
      </c>
      <c r="G1514" s="1">
        <f t="shared" ref="G1514:G1520" si="12">DATE(2023,8,5)</f>
        <v>45143</v>
      </c>
    </row>
    <row r="1515" spans="1:7" x14ac:dyDescent="0.35">
      <c r="A1515" s="2" t="s">
        <v>4248</v>
      </c>
      <c r="B1515" s="2" t="s">
        <v>4249</v>
      </c>
      <c r="C1515" s="2" t="s">
        <v>4250</v>
      </c>
      <c r="D1515" t="s">
        <v>6952</v>
      </c>
      <c r="E1515" t="s">
        <v>8589</v>
      </c>
      <c r="F1515" t="s">
        <v>0</v>
      </c>
      <c r="G1515" s="1">
        <f t="shared" si="12"/>
        <v>45143</v>
      </c>
    </row>
    <row r="1516" spans="1:7" x14ac:dyDescent="0.35">
      <c r="A1516" s="2" t="s">
        <v>4251</v>
      </c>
      <c r="B1516" s="2" t="s">
        <v>4252</v>
      </c>
      <c r="C1516" s="2" t="s">
        <v>4253</v>
      </c>
      <c r="D1516" t="s">
        <v>6953</v>
      </c>
      <c r="E1516" t="s">
        <v>8590</v>
      </c>
      <c r="F1516" t="s">
        <v>0</v>
      </c>
      <c r="G1516" s="1">
        <f t="shared" si="12"/>
        <v>45143</v>
      </c>
    </row>
    <row r="1517" spans="1:7" x14ac:dyDescent="0.35">
      <c r="A1517" s="2" t="s">
        <v>4254</v>
      </c>
      <c r="B1517" s="2" t="s">
        <v>4255</v>
      </c>
      <c r="C1517" s="2" t="s">
        <v>4256</v>
      </c>
      <c r="D1517" t="s">
        <v>6954</v>
      </c>
      <c r="E1517" t="s">
        <v>8591</v>
      </c>
      <c r="F1517" t="s">
        <v>0</v>
      </c>
      <c r="G1517" s="1">
        <f t="shared" si="12"/>
        <v>45143</v>
      </c>
    </row>
    <row r="1518" spans="1:7" x14ac:dyDescent="0.35">
      <c r="A1518" s="2" t="s">
        <v>4257</v>
      </c>
      <c r="B1518" s="2" t="s">
        <v>4258</v>
      </c>
      <c r="C1518" s="2" t="s">
        <v>4259</v>
      </c>
      <c r="D1518" t="s">
        <v>6955</v>
      </c>
      <c r="E1518" t="s">
        <v>8592</v>
      </c>
      <c r="F1518" t="s">
        <v>0</v>
      </c>
      <c r="G1518" s="1">
        <f t="shared" si="12"/>
        <v>45143</v>
      </c>
    </row>
    <row r="1519" spans="1:7" x14ac:dyDescent="0.35">
      <c r="A1519" s="2" t="s">
        <v>4260</v>
      </c>
      <c r="B1519" s="2" t="s">
        <v>4261</v>
      </c>
      <c r="C1519" s="2" t="s">
        <v>4262</v>
      </c>
      <c r="D1519" t="s">
        <v>6956</v>
      </c>
      <c r="E1519" t="s">
        <v>8593</v>
      </c>
      <c r="F1519" t="s">
        <v>0</v>
      </c>
      <c r="G1519" s="1">
        <f t="shared" si="12"/>
        <v>45143</v>
      </c>
    </row>
    <row r="1520" spans="1:7" x14ac:dyDescent="0.35">
      <c r="A1520" s="2" t="s">
        <v>4263</v>
      </c>
      <c r="B1520" s="2" t="s">
        <v>4264</v>
      </c>
      <c r="C1520" s="2" t="s">
        <v>4265</v>
      </c>
      <c r="D1520" t="s">
        <v>6957</v>
      </c>
      <c r="E1520" t="s">
        <v>8594</v>
      </c>
      <c r="F1520" t="s">
        <v>0</v>
      </c>
      <c r="G1520" s="1">
        <f t="shared" si="12"/>
        <v>45143</v>
      </c>
    </row>
    <row r="1521" spans="1:7" x14ac:dyDescent="0.35">
      <c r="A1521" s="2" t="s">
        <v>4266</v>
      </c>
      <c r="B1521" s="2" t="s">
        <v>4267</v>
      </c>
      <c r="C1521" s="2" t="s">
        <v>4268</v>
      </c>
      <c r="D1521" t="s">
        <v>6958</v>
      </c>
      <c r="E1521" t="s">
        <v>8595</v>
      </c>
      <c r="F1521" t="s">
        <v>0</v>
      </c>
      <c r="G1521" s="1">
        <f>DATE(2023,9,28)</f>
        <v>45197</v>
      </c>
    </row>
    <row r="1522" spans="1:7" x14ac:dyDescent="0.35">
      <c r="A1522" s="2" t="s">
        <v>4269</v>
      </c>
      <c r="B1522" s="2" t="s">
        <v>4270</v>
      </c>
      <c r="C1522" s="2" t="s">
        <v>4271</v>
      </c>
      <c r="D1522" t="s">
        <v>6959</v>
      </c>
      <c r="E1522" t="s">
        <v>8596</v>
      </c>
      <c r="F1522" t="s">
        <v>0</v>
      </c>
      <c r="G1522" s="1">
        <f t="shared" ref="G1522:G1529" si="13">DATE(2023,8,5)</f>
        <v>45143</v>
      </c>
    </row>
    <row r="1523" spans="1:7" x14ac:dyDescent="0.35">
      <c r="A1523" s="2" t="s">
        <v>4272</v>
      </c>
      <c r="B1523" s="2" t="s">
        <v>4273</v>
      </c>
      <c r="C1523" s="2" t="s">
        <v>4274</v>
      </c>
      <c r="D1523" t="s">
        <v>6960</v>
      </c>
      <c r="E1523" t="s">
        <v>8597</v>
      </c>
      <c r="F1523" t="s">
        <v>0</v>
      </c>
      <c r="G1523" s="1">
        <f t="shared" si="13"/>
        <v>45143</v>
      </c>
    </row>
    <row r="1524" spans="1:7" x14ac:dyDescent="0.35">
      <c r="A1524" s="2" t="s">
        <v>4275</v>
      </c>
      <c r="B1524" s="2" t="s">
        <v>4276</v>
      </c>
      <c r="C1524" s="2" t="s">
        <v>4277</v>
      </c>
      <c r="D1524" t="s">
        <v>6961</v>
      </c>
      <c r="E1524" t="s">
        <v>8598</v>
      </c>
      <c r="F1524" t="s">
        <v>0</v>
      </c>
      <c r="G1524" s="1">
        <f t="shared" si="13"/>
        <v>45143</v>
      </c>
    </row>
    <row r="1525" spans="1:7" x14ac:dyDescent="0.35">
      <c r="A1525" s="2" t="s">
        <v>4278</v>
      </c>
      <c r="B1525" s="2" t="s">
        <v>4279</v>
      </c>
      <c r="C1525" s="2" t="s">
        <v>4280</v>
      </c>
      <c r="D1525" t="s">
        <v>6962</v>
      </c>
      <c r="E1525" t="s">
        <v>8599</v>
      </c>
      <c r="F1525" t="s">
        <v>0</v>
      </c>
      <c r="G1525" s="1">
        <f t="shared" si="13"/>
        <v>45143</v>
      </c>
    </row>
    <row r="1526" spans="1:7" x14ac:dyDescent="0.35">
      <c r="A1526" s="2" t="s">
        <v>4281</v>
      </c>
      <c r="B1526" s="2" t="s">
        <v>4282</v>
      </c>
      <c r="C1526" s="2" t="s">
        <v>644</v>
      </c>
      <c r="D1526" t="s">
        <v>5940</v>
      </c>
      <c r="E1526" t="s">
        <v>7576</v>
      </c>
      <c r="F1526" t="s">
        <v>0</v>
      </c>
      <c r="G1526" s="1">
        <f t="shared" si="13"/>
        <v>45143</v>
      </c>
    </row>
    <row r="1527" spans="1:7" x14ac:dyDescent="0.35">
      <c r="A1527" s="2" t="s">
        <v>4283</v>
      </c>
      <c r="B1527" s="2" t="s">
        <v>4284</v>
      </c>
      <c r="C1527" s="2" t="s">
        <v>4285</v>
      </c>
      <c r="D1527" t="s">
        <v>6963</v>
      </c>
      <c r="E1527" t="s">
        <v>8600</v>
      </c>
      <c r="F1527" t="s">
        <v>0</v>
      </c>
      <c r="G1527" s="1">
        <f t="shared" si="13"/>
        <v>45143</v>
      </c>
    </row>
    <row r="1528" spans="1:7" x14ac:dyDescent="0.35">
      <c r="A1528" s="2" t="s">
        <v>4286</v>
      </c>
      <c r="B1528" s="2" t="s">
        <v>4287</v>
      </c>
      <c r="C1528" s="2" t="s">
        <v>4288</v>
      </c>
      <c r="D1528" t="s">
        <v>6964</v>
      </c>
      <c r="E1528" t="s">
        <v>8601</v>
      </c>
      <c r="F1528" t="s">
        <v>0</v>
      </c>
      <c r="G1528" s="1">
        <f t="shared" si="13"/>
        <v>45143</v>
      </c>
    </row>
    <row r="1529" spans="1:7" x14ac:dyDescent="0.35">
      <c r="A1529" s="2" t="s">
        <v>4289</v>
      </c>
      <c r="B1529" s="2" t="s">
        <v>4290</v>
      </c>
      <c r="C1529" s="2" t="s">
        <v>4291</v>
      </c>
      <c r="D1529" t="s">
        <v>6965</v>
      </c>
      <c r="E1529" t="s">
        <v>8602</v>
      </c>
      <c r="F1529" t="s">
        <v>0</v>
      </c>
      <c r="G1529" s="1">
        <f t="shared" si="13"/>
        <v>45143</v>
      </c>
    </row>
    <row r="1530" spans="1:7" x14ac:dyDescent="0.35">
      <c r="A1530" s="2" t="s">
        <v>4292</v>
      </c>
      <c r="B1530" s="2" t="s">
        <v>4293</v>
      </c>
      <c r="C1530" s="2" t="s">
        <v>4294</v>
      </c>
      <c r="D1530" t="s">
        <v>6966</v>
      </c>
      <c r="E1530" t="s">
        <v>8603</v>
      </c>
      <c r="F1530" t="s">
        <v>0</v>
      </c>
      <c r="G1530" s="1">
        <f>DATE(2024,1,23)</f>
        <v>45314</v>
      </c>
    </row>
    <row r="1531" spans="1:7" x14ac:dyDescent="0.35">
      <c r="A1531" s="2" t="s">
        <v>4295</v>
      </c>
      <c r="B1531" s="2" t="s">
        <v>4296</v>
      </c>
      <c r="C1531" s="2" t="s">
        <v>4297</v>
      </c>
      <c r="D1531" t="s">
        <v>6967</v>
      </c>
      <c r="E1531" t="s">
        <v>8604</v>
      </c>
      <c r="F1531" t="s">
        <v>0</v>
      </c>
      <c r="G1531" s="1">
        <f t="shared" ref="G1531:G1547" si="14">DATE(2024,1,11)</f>
        <v>45302</v>
      </c>
    </row>
    <row r="1532" spans="1:7" x14ac:dyDescent="0.35">
      <c r="A1532" s="2" t="s">
        <v>4298</v>
      </c>
      <c r="B1532" s="2" t="s">
        <v>4299</v>
      </c>
      <c r="C1532" s="2" t="s">
        <v>4300</v>
      </c>
      <c r="D1532" t="s">
        <v>6968</v>
      </c>
      <c r="E1532" t="s">
        <v>8605</v>
      </c>
      <c r="F1532" t="s">
        <v>0</v>
      </c>
      <c r="G1532" s="1">
        <f t="shared" si="14"/>
        <v>45302</v>
      </c>
    </row>
    <row r="1533" spans="1:7" x14ac:dyDescent="0.35">
      <c r="A1533" s="2" t="s">
        <v>4301</v>
      </c>
      <c r="B1533" s="2" t="s">
        <v>4302</v>
      </c>
      <c r="C1533" s="2" t="s">
        <v>1388</v>
      </c>
      <c r="D1533" t="s">
        <v>6156</v>
      </c>
      <c r="E1533" t="s">
        <v>7793</v>
      </c>
      <c r="F1533" t="s">
        <v>0</v>
      </c>
      <c r="G1533" s="1">
        <f t="shared" si="14"/>
        <v>45302</v>
      </c>
    </row>
    <row r="1534" spans="1:7" x14ac:dyDescent="0.35">
      <c r="A1534" s="2" t="s">
        <v>4303</v>
      </c>
      <c r="B1534" s="2" t="s">
        <v>4304</v>
      </c>
      <c r="C1534" s="2" t="s">
        <v>4305</v>
      </c>
      <c r="D1534" t="s">
        <v>6969</v>
      </c>
      <c r="E1534" t="s">
        <v>8606</v>
      </c>
      <c r="F1534" t="s">
        <v>0</v>
      </c>
      <c r="G1534" s="1">
        <f t="shared" si="14"/>
        <v>45302</v>
      </c>
    </row>
    <row r="1535" spans="1:7" x14ac:dyDescent="0.35">
      <c r="A1535" s="2" t="s">
        <v>4306</v>
      </c>
      <c r="B1535" s="2" t="s">
        <v>4307</v>
      </c>
      <c r="C1535" s="2" t="s">
        <v>4308</v>
      </c>
      <c r="D1535" t="s">
        <v>6970</v>
      </c>
      <c r="E1535" t="s">
        <v>8607</v>
      </c>
      <c r="F1535" t="s">
        <v>0</v>
      </c>
      <c r="G1535" s="1">
        <f t="shared" si="14"/>
        <v>45302</v>
      </c>
    </row>
    <row r="1536" spans="1:7" x14ac:dyDescent="0.35">
      <c r="A1536" s="2" t="s">
        <v>4309</v>
      </c>
      <c r="B1536" s="2" t="s">
        <v>4310</v>
      </c>
      <c r="C1536" s="2" t="s">
        <v>4311</v>
      </c>
      <c r="D1536" t="s">
        <v>6971</v>
      </c>
      <c r="E1536" t="s">
        <v>8608</v>
      </c>
      <c r="F1536" t="s">
        <v>0</v>
      </c>
      <c r="G1536" s="1">
        <f t="shared" si="14"/>
        <v>45302</v>
      </c>
    </row>
    <row r="1537" spans="1:7" x14ac:dyDescent="0.35">
      <c r="A1537" s="2" t="s">
        <v>4312</v>
      </c>
      <c r="B1537" s="2" t="s">
        <v>4313</v>
      </c>
      <c r="C1537" s="2" t="s">
        <v>4314</v>
      </c>
      <c r="D1537" t="s">
        <v>6729</v>
      </c>
      <c r="E1537" t="s">
        <v>8366</v>
      </c>
      <c r="F1537" t="s">
        <v>0</v>
      </c>
      <c r="G1537" s="1">
        <f t="shared" si="14"/>
        <v>45302</v>
      </c>
    </row>
    <row r="1538" spans="1:7" x14ac:dyDescent="0.35">
      <c r="A1538" s="2" t="s">
        <v>4315</v>
      </c>
      <c r="B1538" s="2" t="s">
        <v>4316</v>
      </c>
      <c r="C1538" s="2" t="s">
        <v>4317</v>
      </c>
      <c r="D1538" t="s">
        <v>6972</v>
      </c>
      <c r="E1538" t="s">
        <v>8609</v>
      </c>
      <c r="F1538" t="s">
        <v>0</v>
      </c>
      <c r="G1538" s="1">
        <f t="shared" si="14"/>
        <v>45302</v>
      </c>
    </row>
    <row r="1539" spans="1:7" x14ac:dyDescent="0.35">
      <c r="A1539" s="2" t="s">
        <v>4318</v>
      </c>
      <c r="B1539" s="2" t="s">
        <v>4319</v>
      </c>
      <c r="C1539" s="2" t="s">
        <v>4320</v>
      </c>
      <c r="D1539" t="s">
        <v>6973</v>
      </c>
      <c r="E1539" t="s">
        <v>8610</v>
      </c>
      <c r="F1539" t="s">
        <v>0</v>
      </c>
      <c r="G1539" s="1">
        <f t="shared" si="14"/>
        <v>45302</v>
      </c>
    </row>
    <row r="1540" spans="1:7" x14ac:dyDescent="0.35">
      <c r="A1540" s="2" t="s">
        <v>4321</v>
      </c>
      <c r="B1540" s="2" t="s">
        <v>4322</v>
      </c>
      <c r="C1540" s="2" t="s">
        <v>4323</v>
      </c>
      <c r="D1540" t="s">
        <v>6974</v>
      </c>
      <c r="E1540" t="s">
        <v>8611</v>
      </c>
      <c r="F1540" t="s">
        <v>0</v>
      </c>
      <c r="G1540" s="1">
        <f t="shared" si="14"/>
        <v>45302</v>
      </c>
    </row>
    <row r="1541" spans="1:7" x14ac:dyDescent="0.35">
      <c r="A1541" s="2" t="s">
        <v>4324</v>
      </c>
      <c r="B1541" s="2" t="s">
        <v>4325</v>
      </c>
      <c r="C1541" s="2" t="s">
        <v>4326</v>
      </c>
      <c r="D1541" t="s">
        <v>6975</v>
      </c>
      <c r="E1541" t="s">
        <v>8612</v>
      </c>
      <c r="F1541" t="s">
        <v>0</v>
      </c>
      <c r="G1541" s="1">
        <f t="shared" si="14"/>
        <v>45302</v>
      </c>
    </row>
    <row r="1542" spans="1:7" x14ac:dyDescent="0.35">
      <c r="A1542" s="2" t="s">
        <v>4327</v>
      </c>
      <c r="B1542" s="2" t="s">
        <v>4328</v>
      </c>
      <c r="C1542" s="2" t="s">
        <v>4329</v>
      </c>
      <c r="D1542" t="s">
        <v>6976</v>
      </c>
      <c r="E1542" t="s">
        <v>8613</v>
      </c>
      <c r="F1542" t="s">
        <v>0</v>
      </c>
      <c r="G1542" s="1">
        <f t="shared" si="14"/>
        <v>45302</v>
      </c>
    </row>
    <row r="1543" spans="1:7" x14ac:dyDescent="0.35">
      <c r="A1543" s="2" t="s">
        <v>4330</v>
      </c>
      <c r="B1543" s="2" t="s">
        <v>4331</v>
      </c>
      <c r="C1543" s="2" t="s">
        <v>4332</v>
      </c>
      <c r="D1543" t="s">
        <v>6977</v>
      </c>
      <c r="E1543" t="s">
        <v>8614</v>
      </c>
      <c r="F1543" t="s">
        <v>0</v>
      </c>
      <c r="G1543" s="1">
        <f t="shared" si="14"/>
        <v>45302</v>
      </c>
    </row>
    <row r="1544" spans="1:7" x14ac:dyDescent="0.35">
      <c r="A1544" s="2" t="s">
        <v>4333</v>
      </c>
      <c r="B1544" s="2" t="s">
        <v>4334</v>
      </c>
      <c r="C1544" s="2" t="s">
        <v>2668</v>
      </c>
      <c r="D1544" t="s">
        <v>6546</v>
      </c>
      <c r="E1544" t="s">
        <v>8183</v>
      </c>
      <c r="F1544" t="s">
        <v>0</v>
      </c>
      <c r="G1544" s="1">
        <f t="shared" si="14"/>
        <v>45302</v>
      </c>
    </row>
    <row r="1545" spans="1:7" x14ac:dyDescent="0.35">
      <c r="A1545" s="2" t="s">
        <v>4335</v>
      </c>
      <c r="B1545" s="2" t="s">
        <v>4336</v>
      </c>
      <c r="C1545" s="2" t="s">
        <v>4337</v>
      </c>
      <c r="D1545" t="s">
        <v>6978</v>
      </c>
      <c r="E1545" t="s">
        <v>8615</v>
      </c>
      <c r="F1545" t="s">
        <v>0</v>
      </c>
      <c r="G1545" s="1">
        <f t="shared" si="14"/>
        <v>45302</v>
      </c>
    </row>
    <row r="1546" spans="1:7" x14ac:dyDescent="0.35">
      <c r="A1546" s="2" t="s">
        <v>4338</v>
      </c>
      <c r="B1546" s="2" t="s">
        <v>4339</v>
      </c>
      <c r="C1546" s="2" t="s">
        <v>4340</v>
      </c>
      <c r="D1546" t="s">
        <v>6979</v>
      </c>
      <c r="E1546" t="s">
        <v>8616</v>
      </c>
      <c r="F1546" t="s">
        <v>0</v>
      </c>
      <c r="G1546" s="1">
        <f t="shared" si="14"/>
        <v>45302</v>
      </c>
    </row>
    <row r="1547" spans="1:7" x14ac:dyDescent="0.35">
      <c r="A1547" s="2" t="s">
        <v>4341</v>
      </c>
      <c r="B1547" s="2" t="s">
        <v>4342</v>
      </c>
      <c r="C1547" s="2" t="s">
        <v>4343</v>
      </c>
      <c r="D1547" t="s">
        <v>6980</v>
      </c>
      <c r="E1547" t="s">
        <v>8617</v>
      </c>
      <c r="F1547" t="s">
        <v>0</v>
      </c>
      <c r="G1547" s="1">
        <f t="shared" si="14"/>
        <v>45302</v>
      </c>
    </row>
    <row r="1548" spans="1:7" x14ac:dyDescent="0.35">
      <c r="A1548" s="2" t="s">
        <v>4344</v>
      </c>
      <c r="B1548" s="2" t="s">
        <v>4345</v>
      </c>
      <c r="C1548" s="2" t="s">
        <v>4346</v>
      </c>
      <c r="D1548" t="s">
        <v>6981</v>
      </c>
      <c r="E1548" t="s">
        <v>8618</v>
      </c>
      <c r="F1548" t="s">
        <v>0</v>
      </c>
      <c r="G1548" s="1">
        <f>DATE(2024,1,22)</f>
        <v>45313</v>
      </c>
    </row>
    <row r="1549" spans="1:7" x14ac:dyDescent="0.35">
      <c r="A1549" s="2" t="s">
        <v>4347</v>
      </c>
      <c r="B1549" s="2" t="s">
        <v>4348</v>
      </c>
      <c r="C1549" s="2" t="s">
        <v>4349</v>
      </c>
      <c r="D1549" t="s">
        <v>6982</v>
      </c>
      <c r="E1549" t="s">
        <v>8619</v>
      </c>
      <c r="F1549" t="s">
        <v>0</v>
      </c>
      <c r="G1549" s="1">
        <f t="shared" ref="G1549:G1569" si="15">DATE(2024,1,11)</f>
        <v>45302</v>
      </c>
    </row>
    <row r="1550" spans="1:7" x14ac:dyDescent="0.35">
      <c r="A1550" s="2" t="s">
        <v>4350</v>
      </c>
      <c r="B1550" s="2" t="s">
        <v>4351</v>
      </c>
      <c r="C1550" s="2" t="s">
        <v>4352</v>
      </c>
      <c r="D1550" t="s">
        <v>6983</v>
      </c>
      <c r="E1550" t="s">
        <v>8620</v>
      </c>
      <c r="F1550" t="s">
        <v>0</v>
      </c>
      <c r="G1550" s="1">
        <f t="shared" si="15"/>
        <v>45302</v>
      </c>
    </row>
    <row r="1551" spans="1:7" x14ac:dyDescent="0.35">
      <c r="A1551" s="2" t="s">
        <v>4353</v>
      </c>
      <c r="B1551" s="2" t="s">
        <v>4354</v>
      </c>
      <c r="C1551" s="2" t="s">
        <v>4352</v>
      </c>
      <c r="D1551" t="s">
        <v>6983</v>
      </c>
      <c r="E1551" t="s">
        <v>8620</v>
      </c>
      <c r="F1551" t="s">
        <v>0</v>
      </c>
      <c r="G1551" s="1">
        <f t="shared" si="15"/>
        <v>45302</v>
      </c>
    </row>
    <row r="1552" spans="1:7" x14ac:dyDescent="0.35">
      <c r="A1552" s="2" t="s">
        <v>4355</v>
      </c>
      <c r="B1552" s="2" t="s">
        <v>4356</v>
      </c>
      <c r="C1552" s="2" t="s">
        <v>4357</v>
      </c>
      <c r="D1552" t="s">
        <v>6984</v>
      </c>
      <c r="E1552" t="s">
        <v>8621</v>
      </c>
      <c r="F1552" t="s">
        <v>0</v>
      </c>
      <c r="G1552" s="1">
        <f t="shared" si="15"/>
        <v>45302</v>
      </c>
    </row>
    <row r="1553" spans="1:7" x14ac:dyDescent="0.35">
      <c r="A1553" s="2" t="s">
        <v>4358</v>
      </c>
      <c r="B1553" s="2" t="s">
        <v>4359</v>
      </c>
      <c r="C1553" s="2" t="s">
        <v>4360</v>
      </c>
      <c r="D1553" t="s">
        <v>6985</v>
      </c>
      <c r="E1553" t="s">
        <v>8622</v>
      </c>
      <c r="F1553" t="s">
        <v>0</v>
      </c>
      <c r="G1553" s="1">
        <f t="shared" si="15"/>
        <v>45302</v>
      </c>
    </row>
    <row r="1554" spans="1:7" x14ac:dyDescent="0.35">
      <c r="A1554" s="2" t="s">
        <v>4361</v>
      </c>
      <c r="B1554" s="2" t="s">
        <v>4362</v>
      </c>
      <c r="C1554" s="2" t="s">
        <v>4363</v>
      </c>
      <c r="D1554" t="s">
        <v>6986</v>
      </c>
      <c r="E1554" t="s">
        <v>8623</v>
      </c>
      <c r="F1554" t="s">
        <v>0</v>
      </c>
      <c r="G1554" s="1">
        <f t="shared" si="15"/>
        <v>45302</v>
      </c>
    </row>
    <row r="1555" spans="1:7" x14ac:dyDescent="0.35">
      <c r="A1555" s="2" t="s">
        <v>4364</v>
      </c>
      <c r="B1555" s="2" t="s">
        <v>4365</v>
      </c>
      <c r="C1555" s="2" t="s">
        <v>4366</v>
      </c>
      <c r="D1555" t="s">
        <v>6987</v>
      </c>
      <c r="E1555" t="s">
        <v>8624</v>
      </c>
      <c r="F1555" t="s">
        <v>0</v>
      </c>
      <c r="G1555" s="1">
        <f t="shared" si="15"/>
        <v>45302</v>
      </c>
    </row>
    <row r="1556" spans="1:7" x14ac:dyDescent="0.35">
      <c r="A1556" s="2" t="s">
        <v>4367</v>
      </c>
      <c r="B1556" s="2" t="s">
        <v>4368</v>
      </c>
      <c r="C1556" s="2" t="s">
        <v>4369</v>
      </c>
      <c r="D1556" t="s">
        <v>6988</v>
      </c>
      <c r="E1556" t="s">
        <v>8625</v>
      </c>
      <c r="F1556" t="s">
        <v>0</v>
      </c>
      <c r="G1556" s="1">
        <f t="shared" si="15"/>
        <v>45302</v>
      </c>
    </row>
    <row r="1557" spans="1:7" x14ac:dyDescent="0.35">
      <c r="A1557" s="2" t="s">
        <v>4370</v>
      </c>
      <c r="B1557" s="2" t="s">
        <v>4371</v>
      </c>
      <c r="C1557" s="2" t="s">
        <v>4372</v>
      </c>
      <c r="D1557" t="s">
        <v>6989</v>
      </c>
      <c r="E1557" t="s">
        <v>8626</v>
      </c>
      <c r="F1557" t="s">
        <v>0</v>
      </c>
      <c r="G1557" s="1">
        <f t="shared" si="15"/>
        <v>45302</v>
      </c>
    </row>
    <row r="1558" spans="1:7" x14ac:dyDescent="0.35">
      <c r="A1558" s="2" t="s">
        <v>4373</v>
      </c>
      <c r="B1558" s="2" t="s">
        <v>4374</v>
      </c>
      <c r="C1558" s="2" t="s">
        <v>4375</v>
      </c>
      <c r="D1558" t="s">
        <v>6990</v>
      </c>
      <c r="E1558" t="s">
        <v>8627</v>
      </c>
      <c r="F1558" t="s">
        <v>0</v>
      </c>
      <c r="G1558" s="1">
        <f t="shared" si="15"/>
        <v>45302</v>
      </c>
    </row>
    <row r="1559" spans="1:7" x14ac:dyDescent="0.35">
      <c r="A1559" s="2" t="s">
        <v>4376</v>
      </c>
      <c r="B1559" s="2" t="s">
        <v>4377</v>
      </c>
      <c r="C1559" s="2" t="s">
        <v>4378</v>
      </c>
      <c r="D1559" t="s">
        <v>6991</v>
      </c>
      <c r="E1559" t="s">
        <v>8628</v>
      </c>
      <c r="F1559" t="s">
        <v>0</v>
      </c>
      <c r="G1559" s="1">
        <f t="shared" si="15"/>
        <v>45302</v>
      </c>
    </row>
    <row r="1560" spans="1:7" x14ac:dyDescent="0.35">
      <c r="A1560" s="2" t="s">
        <v>4379</v>
      </c>
      <c r="B1560" s="2" t="s">
        <v>4380</v>
      </c>
      <c r="C1560" s="2" t="s">
        <v>4381</v>
      </c>
      <c r="D1560" t="s">
        <v>6992</v>
      </c>
      <c r="E1560" t="s">
        <v>8629</v>
      </c>
      <c r="F1560" t="s">
        <v>0</v>
      </c>
      <c r="G1560" s="1">
        <f t="shared" si="15"/>
        <v>45302</v>
      </c>
    </row>
    <row r="1561" spans="1:7" x14ac:dyDescent="0.35">
      <c r="A1561" s="2" t="s">
        <v>4382</v>
      </c>
      <c r="B1561" s="2" t="s">
        <v>4383</v>
      </c>
      <c r="C1561" s="2" t="s">
        <v>4384</v>
      </c>
      <c r="D1561" t="s">
        <v>6993</v>
      </c>
      <c r="E1561" t="s">
        <v>8630</v>
      </c>
      <c r="F1561" t="s">
        <v>0</v>
      </c>
      <c r="G1561" s="1">
        <f t="shared" si="15"/>
        <v>45302</v>
      </c>
    </row>
    <row r="1562" spans="1:7" x14ac:dyDescent="0.35">
      <c r="A1562" s="2" t="s">
        <v>4385</v>
      </c>
      <c r="B1562" s="2" t="s">
        <v>4386</v>
      </c>
      <c r="C1562" s="2" t="s">
        <v>4387</v>
      </c>
      <c r="D1562" t="s">
        <v>6994</v>
      </c>
      <c r="E1562" t="s">
        <v>8631</v>
      </c>
      <c r="F1562" t="s">
        <v>0</v>
      </c>
      <c r="G1562" s="1">
        <f t="shared" si="15"/>
        <v>45302</v>
      </c>
    </row>
    <row r="1563" spans="1:7" x14ac:dyDescent="0.35">
      <c r="A1563" s="2" t="s">
        <v>4388</v>
      </c>
      <c r="B1563" s="2" t="s">
        <v>4389</v>
      </c>
      <c r="C1563" s="2" t="s">
        <v>4390</v>
      </c>
      <c r="D1563" t="s">
        <v>6995</v>
      </c>
      <c r="E1563" t="s">
        <v>8632</v>
      </c>
      <c r="F1563" t="s">
        <v>0</v>
      </c>
      <c r="G1563" s="1">
        <f t="shared" si="15"/>
        <v>45302</v>
      </c>
    </row>
    <row r="1564" spans="1:7" x14ac:dyDescent="0.35">
      <c r="A1564" s="2" t="s">
        <v>4391</v>
      </c>
      <c r="B1564" s="2" t="s">
        <v>4392</v>
      </c>
      <c r="C1564" s="2" t="s">
        <v>4393</v>
      </c>
      <c r="D1564" t="s">
        <v>6996</v>
      </c>
      <c r="E1564" t="s">
        <v>8633</v>
      </c>
      <c r="F1564" t="s">
        <v>0</v>
      </c>
      <c r="G1564" s="1">
        <f t="shared" si="15"/>
        <v>45302</v>
      </c>
    </row>
    <row r="1565" spans="1:7" x14ac:dyDescent="0.35">
      <c r="A1565" s="2" t="s">
        <v>4394</v>
      </c>
      <c r="B1565" s="2" t="s">
        <v>4395</v>
      </c>
      <c r="C1565" s="2" t="s">
        <v>4396</v>
      </c>
      <c r="D1565" t="s">
        <v>6997</v>
      </c>
      <c r="E1565" t="s">
        <v>8634</v>
      </c>
      <c r="F1565" t="s">
        <v>0</v>
      </c>
      <c r="G1565" s="1">
        <f t="shared" si="15"/>
        <v>45302</v>
      </c>
    </row>
    <row r="1566" spans="1:7" x14ac:dyDescent="0.35">
      <c r="A1566" s="2" t="s">
        <v>4397</v>
      </c>
      <c r="B1566" s="2" t="s">
        <v>4398</v>
      </c>
      <c r="C1566" s="2" t="s">
        <v>4399</v>
      </c>
      <c r="D1566" t="s">
        <v>6998</v>
      </c>
      <c r="E1566" t="s">
        <v>8635</v>
      </c>
      <c r="F1566" t="s">
        <v>0</v>
      </c>
      <c r="G1566" s="1">
        <f t="shared" si="15"/>
        <v>45302</v>
      </c>
    </row>
    <row r="1567" spans="1:7" x14ac:dyDescent="0.35">
      <c r="A1567" s="2" t="s">
        <v>4400</v>
      </c>
      <c r="B1567" s="2" t="s">
        <v>4401</v>
      </c>
      <c r="C1567" s="2" t="s">
        <v>2668</v>
      </c>
      <c r="D1567" t="s">
        <v>6546</v>
      </c>
      <c r="E1567" t="s">
        <v>8183</v>
      </c>
      <c r="F1567" t="s">
        <v>0</v>
      </c>
      <c r="G1567" s="1">
        <f t="shared" si="15"/>
        <v>45302</v>
      </c>
    </row>
    <row r="1568" spans="1:7" x14ac:dyDescent="0.35">
      <c r="A1568" s="2" t="s">
        <v>4402</v>
      </c>
      <c r="B1568" s="2" t="s">
        <v>4403</v>
      </c>
      <c r="C1568" s="2" t="s">
        <v>4404</v>
      </c>
      <c r="D1568" t="s">
        <v>6999</v>
      </c>
      <c r="E1568" t="s">
        <v>8636</v>
      </c>
      <c r="F1568" t="s">
        <v>0</v>
      </c>
      <c r="G1568" s="1">
        <f t="shared" si="15"/>
        <v>45302</v>
      </c>
    </row>
    <row r="1569" spans="1:7" x14ac:dyDescent="0.35">
      <c r="A1569" s="2" t="s">
        <v>4405</v>
      </c>
      <c r="B1569" s="2" t="s">
        <v>4406</v>
      </c>
      <c r="C1569" s="2" t="s">
        <v>4407</v>
      </c>
      <c r="D1569" t="s">
        <v>7000</v>
      </c>
      <c r="E1569" t="s">
        <v>8637</v>
      </c>
      <c r="F1569" t="s">
        <v>0</v>
      </c>
      <c r="G1569" s="1">
        <f t="shared" si="15"/>
        <v>45302</v>
      </c>
    </row>
    <row r="1570" spans="1:7" x14ac:dyDescent="0.35">
      <c r="A1570" s="2" t="s">
        <v>4408</v>
      </c>
      <c r="B1570" s="2" t="s">
        <v>4409</v>
      </c>
      <c r="C1570" s="2" t="s">
        <v>4410</v>
      </c>
      <c r="D1570" t="s">
        <v>7001</v>
      </c>
      <c r="E1570" t="s">
        <v>8638</v>
      </c>
      <c r="F1570" t="s">
        <v>0</v>
      </c>
      <c r="G1570" s="1">
        <f t="shared" ref="G1570:G1575" si="16">DATE(2024,1,13)</f>
        <v>45304</v>
      </c>
    </row>
    <row r="1571" spans="1:7" x14ac:dyDescent="0.35">
      <c r="A1571" s="2" t="s">
        <v>4411</v>
      </c>
      <c r="B1571" s="2" t="s">
        <v>4412</v>
      </c>
      <c r="C1571" s="2" t="s">
        <v>4413</v>
      </c>
      <c r="D1571" t="s">
        <v>7002</v>
      </c>
      <c r="E1571" t="s">
        <v>8639</v>
      </c>
      <c r="F1571" t="s">
        <v>0</v>
      </c>
      <c r="G1571" s="1">
        <f t="shared" si="16"/>
        <v>45304</v>
      </c>
    </row>
    <row r="1572" spans="1:7" x14ac:dyDescent="0.35">
      <c r="A1572" s="2" t="s">
        <v>4414</v>
      </c>
      <c r="B1572" s="2" t="s">
        <v>4415</v>
      </c>
      <c r="C1572" s="2" t="s">
        <v>4416</v>
      </c>
      <c r="D1572" t="s">
        <v>7003</v>
      </c>
      <c r="E1572" t="s">
        <v>8640</v>
      </c>
      <c r="F1572" t="s">
        <v>0</v>
      </c>
      <c r="G1572" s="1">
        <f t="shared" si="16"/>
        <v>45304</v>
      </c>
    </row>
    <row r="1573" spans="1:7" x14ac:dyDescent="0.35">
      <c r="A1573" s="2" t="s">
        <v>4417</v>
      </c>
      <c r="B1573" s="2" t="s">
        <v>4418</v>
      </c>
      <c r="C1573" s="2" t="s">
        <v>4419</v>
      </c>
      <c r="D1573" t="s">
        <v>7004</v>
      </c>
      <c r="E1573" t="s">
        <v>8641</v>
      </c>
      <c r="F1573" t="s">
        <v>0</v>
      </c>
      <c r="G1573" s="1">
        <f t="shared" si="16"/>
        <v>45304</v>
      </c>
    </row>
    <row r="1574" spans="1:7" x14ac:dyDescent="0.35">
      <c r="A1574" s="2" t="s">
        <v>4420</v>
      </c>
      <c r="B1574" s="2" t="s">
        <v>4421</v>
      </c>
      <c r="D1574" t="s">
        <v>5756</v>
      </c>
      <c r="E1574" t="e">
        <v>#VALUE!</v>
      </c>
      <c r="F1574" t="s">
        <v>0</v>
      </c>
      <c r="G1574" s="1">
        <f t="shared" si="16"/>
        <v>45304</v>
      </c>
    </row>
    <row r="1575" spans="1:7" x14ac:dyDescent="0.35">
      <c r="A1575" s="2" t="s">
        <v>4422</v>
      </c>
      <c r="B1575" s="2" t="s">
        <v>4423</v>
      </c>
      <c r="C1575" s="2" t="s">
        <v>4424</v>
      </c>
      <c r="D1575" t="s">
        <v>7005</v>
      </c>
      <c r="E1575" t="s">
        <v>8642</v>
      </c>
      <c r="F1575" t="s">
        <v>0</v>
      </c>
      <c r="G1575" s="1">
        <f t="shared" si="16"/>
        <v>45304</v>
      </c>
    </row>
    <row r="1576" spans="1:7" x14ac:dyDescent="0.35">
      <c r="A1576" s="2" t="s">
        <v>4425</v>
      </c>
      <c r="B1576" s="2" t="s">
        <v>4426</v>
      </c>
      <c r="C1576" s="2" t="s">
        <v>4427</v>
      </c>
      <c r="D1576" t="s">
        <v>7006</v>
      </c>
      <c r="E1576" t="s">
        <v>8643</v>
      </c>
      <c r="F1576" t="s">
        <v>0</v>
      </c>
      <c r="G1576" s="1">
        <f>DATE(2024,1,15)</f>
        <v>45306</v>
      </c>
    </row>
    <row r="1577" spans="1:7" x14ac:dyDescent="0.35">
      <c r="A1577" s="2" t="s">
        <v>4428</v>
      </c>
      <c r="B1577" s="2" t="s">
        <v>4354</v>
      </c>
      <c r="C1577" s="2" t="s">
        <v>4352</v>
      </c>
      <c r="D1577" t="s">
        <v>6983</v>
      </c>
      <c r="E1577" t="s">
        <v>8620</v>
      </c>
      <c r="F1577" t="s">
        <v>0</v>
      </c>
      <c r="G1577" s="1">
        <f>DATE(2024,1,22)</f>
        <v>45313</v>
      </c>
    </row>
    <row r="1578" spans="1:7" x14ac:dyDescent="0.35">
      <c r="A1578" s="2" t="s">
        <v>4429</v>
      </c>
      <c r="B1578" s="2" t="s">
        <v>4430</v>
      </c>
      <c r="C1578" s="2" t="s">
        <v>4431</v>
      </c>
      <c r="D1578" t="s">
        <v>7007</v>
      </c>
      <c r="E1578" t="s">
        <v>8644</v>
      </c>
      <c r="F1578" t="s">
        <v>0</v>
      </c>
      <c r="G1578" s="1">
        <f>DATE(2024,1,22)</f>
        <v>45313</v>
      </c>
    </row>
    <row r="1579" spans="1:7" x14ac:dyDescent="0.35">
      <c r="A1579" s="2" t="s">
        <v>4432</v>
      </c>
      <c r="B1579" s="2" t="s">
        <v>4433</v>
      </c>
      <c r="C1579" s="2" t="s">
        <v>4060</v>
      </c>
      <c r="D1579" t="s">
        <v>6894</v>
      </c>
      <c r="E1579" t="s">
        <v>8531</v>
      </c>
      <c r="F1579" t="s">
        <v>0</v>
      </c>
      <c r="G1579" s="1">
        <f>DATE(2024,1,23)</f>
        <v>45314</v>
      </c>
    </row>
    <row r="1580" spans="1:7" x14ac:dyDescent="0.35">
      <c r="A1580" s="2" t="s">
        <v>4434</v>
      </c>
      <c r="B1580" s="2" t="s">
        <v>4435</v>
      </c>
      <c r="D1580" t="s">
        <v>5756</v>
      </c>
      <c r="E1580" t="e">
        <v>#VALUE!</v>
      </c>
      <c r="F1580" t="s">
        <v>0</v>
      </c>
      <c r="G1580" s="1">
        <f>DATE(2024,1,25)</f>
        <v>45316</v>
      </c>
    </row>
    <row r="1581" spans="1:7" x14ac:dyDescent="0.35">
      <c r="A1581" s="2" t="s">
        <v>4436</v>
      </c>
      <c r="B1581" s="2" t="s">
        <v>4437</v>
      </c>
      <c r="C1581" s="2" t="s">
        <v>4438</v>
      </c>
      <c r="D1581" t="s">
        <v>7008</v>
      </c>
      <c r="E1581" t="s">
        <v>8645</v>
      </c>
      <c r="F1581" t="s">
        <v>0</v>
      </c>
      <c r="G1581" s="1">
        <f>DATE(2024,1,26)</f>
        <v>45317</v>
      </c>
    </row>
    <row r="1582" spans="1:7" x14ac:dyDescent="0.35">
      <c r="A1582" s="2" t="s">
        <v>4439</v>
      </c>
      <c r="B1582" s="2" t="s">
        <v>4440</v>
      </c>
      <c r="C1582" s="2" t="s">
        <v>4441</v>
      </c>
      <c r="D1582" t="s">
        <v>7009</v>
      </c>
      <c r="E1582" t="s">
        <v>8646</v>
      </c>
      <c r="F1582" t="s">
        <v>0</v>
      </c>
      <c r="G1582" s="1">
        <f>DATE(2024,1,26)</f>
        <v>45317</v>
      </c>
    </row>
    <row r="1583" spans="1:7" x14ac:dyDescent="0.35">
      <c r="A1583" s="2" t="s">
        <v>4442</v>
      </c>
      <c r="B1583" s="2" t="s">
        <v>4443</v>
      </c>
      <c r="C1583" s="2" t="s">
        <v>4444</v>
      </c>
      <c r="D1583" t="s">
        <v>7010</v>
      </c>
      <c r="E1583" t="s">
        <v>8647</v>
      </c>
      <c r="F1583" t="s">
        <v>0</v>
      </c>
      <c r="G1583" s="1">
        <f>DATE(2024,1,30)</f>
        <v>45321</v>
      </c>
    </row>
    <row r="1584" spans="1:7" x14ac:dyDescent="0.35">
      <c r="A1584" s="2" t="s">
        <v>4445</v>
      </c>
      <c r="B1584" s="2" t="s">
        <v>4446</v>
      </c>
      <c r="D1584" t="s">
        <v>5756</v>
      </c>
      <c r="E1584" t="e">
        <v>#VALUE!</v>
      </c>
      <c r="F1584" t="s">
        <v>0</v>
      </c>
      <c r="G1584" s="1">
        <f>DATE(2024,4,9)</f>
        <v>45391</v>
      </c>
    </row>
    <row r="1585" spans="1:7" x14ac:dyDescent="0.35">
      <c r="A1585" s="2" t="s">
        <v>4447</v>
      </c>
      <c r="B1585" s="2" t="s">
        <v>4448</v>
      </c>
      <c r="C1585" s="2" t="s">
        <v>4449</v>
      </c>
      <c r="D1585" t="s">
        <v>7011</v>
      </c>
      <c r="E1585" t="s">
        <v>8648</v>
      </c>
      <c r="F1585" t="s">
        <v>0</v>
      </c>
      <c r="G1585" s="1">
        <f>DATE(2024,4,17)</f>
        <v>45399</v>
      </c>
    </row>
    <row r="1586" spans="1:7" x14ac:dyDescent="0.35">
      <c r="A1586" s="2" t="s">
        <v>4450</v>
      </c>
      <c r="B1586" s="2" t="s">
        <v>4451</v>
      </c>
      <c r="C1586" s="2" t="s">
        <v>4452</v>
      </c>
      <c r="D1586" t="s">
        <v>7012</v>
      </c>
      <c r="E1586" t="s">
        <v>8649</v>
      </c>
      <c r="F1586" t="s">
        <v>0</v>
      </c>
      <c r="G1586" s="1">
        <f>DATE(2024,5,28)</f>
        <v>45440</v>
      </c>
    </row>
    <row r="1587" spans="1:7" x14ac:dyDescent="0.35">
      <c r="A1587" s="2" t="s">
        <v>4453</v>
      </c>
      <c r="B1587" s="2" t="s">
        <v>4454</v>
      </c>
      <c r="C1587" s="2" t="s">
        <v>4455</v>
      </c>
      <c r="D1587" t="s">
        <v>7013</v>
      </c>
      <c r="E1587" t="s">
        <v>8650</v>
      </c>
      <c r="F1587" t="s">
        <v>0</v>
      </c>
      <c r="G1587" s="1">
        <f>DATE(2024,4,23)</f>
        <v>45405</v>
      </c>
    </row>
    <row r="1588" spans="1:7" x14ac:dyDescent="0.35">
      <c r="A1588" s="2" t="s">
        <v>4456</v>
      </c>
      <c r="B1588" s="2" t="s">
        <v>4457</v>
      </c>
      <c r="C1588" s="2" t="s">
        <v>4458</v>
      </c>
      <c r="D1588" t="s">
        <v>7014</v>
      </c>
      <c r="E1588" t="e">
        <v>#VALUE!</v>
      </c>
      <c r="F1588" t="s">
        <v>0</v>
      </c>
      <c r="G1588" s="1">
        <f>DATE(2024,5,27)</f>
        <v>45439</v>
      </c>
    </row>
    <row r="1589" spans="1:7" x14ac:dyDescent="0.35">
      <c r="A1589" s="2" t="s">
        <v>4459</v>
      </c>
      <c r="B1589" s="2" t="s">
        <v>4460</v>
      </c>
      <c r="C1589" s="2" t="s">
        <v>4461</v>
      </c>
      <c r="D1589" t="s">
        <v>7015</v>
      </c>
      <c r="E1589" t="s">
        <v>8651</v>
      </c>
      <c r="F1589" t="s">
        <v>0</v>
      </c>
      <c r="G1589" s="1">
        <f>DATE(2024,6,10)</f>
        <v>45453</v>
      </c>
    </row>
    <row r="1590" spans="1:7" x14ac:dyDescent="0.35">
      <c r="A1590" s="2" t="s">
        <v>4462</v>
      </c>
      <c r="B1590" s="2" t="s">
        <v>4463</v>
      </c>
      <c r="C1590" s="2" t="s">
        <v>4464</v>
      </c>
      <c r="D1590" t="s">
        <v>7016</v>
      </c>
      <c r="E1590" t="s">
        <v>8652</v>
      </c>
      <c r="F1590" t="s">
        <v>0</v>
      </c>
      <c r="G1590" s="1">
        <f>DATE(2024,7,16)</f>
        <v>45489</v>
      </c>
    </row>
    <row r="1591" spans="1:7" x14ac:dyDescent="0.35">
      <c r="A1591" s="2" t="s">
        <v>4465</v>
      </c>
      <c r="B1591" s="2" t="s">
        <v>4466</v>
      </c>
      <c r="C1591" s="2" t="s">
        <v>4467</v>
      </c>
      <c r="D1591" t="s">
        <v>7017</v>
      </c>
      <c r="E1591" t="s">
        <v>8653</v>
      </c>
      <c r="F1591" t="s">
        <v>0</v>
      </c>
      <c r="G1591" s="1">
        <f t="shared" ref="G1591:G1599" si="17">DATE(2024,7,22)</f>
        <v>45495</v>
      </c>
    </row>
    <row r="1592" spans="1:7" x14ac:dyDescent="0.35">
      <c r="A1592" s="2" t="s">
        <v>4468</v>
      </c>
      <c r="B1592" s="2" t="s">
        <v>4469</v>
      </c>
      <c r="C1592" s="2" t="s">
        <v>4470</v>
      </c>
      <c r="D1592" t="s">
        <v>7018</v>
      </c>
      <c r="E1592" t="s">
        <v>8654</v>
      </c>
      <c r="F1592" t="s">
        <v>0</v>
      </c>
      <c r="G1592" s="1">
        <f t="shared" si="17"/>
        <v>45495</v>
      </c>
    </row>
    <row r="1593" spans="1:7" x14ac:dyDescent="0.35">
      <c r="A1593" s="2" t="s">
        <v>4471</v>
      </c>
      <c r="B1593" s="2" t="s">
        <v>4472</v>
      </c>
      <c r="C1593" s="2" t="s">
        <v>4473</v>
      </c>
      <c r="D1593" t="s">
        <v>7000</v>
      </c>
      <c r="E1593" t="s">
        <v>8637</v>
      </c>
      <c r="F1593" t="s">
        <v>0</v>
      </c>
      <c r="G1593" s="1">
        <f t="shared" si="17"/>
        <v>45495</v>
      </c>
    </row>
    <row r="1594" spans="1:7" x14ac:dyDescent="0.35">
      <c r="A1594" s="2" t="s">
        <v>4474</v>
      </c>
      <c r="B1594" s="2" t="s">
        <v>4475</v>
      </c>
      <c r="C1594" s="2" t="s">
        <v>4476</v>
      </c>
      <c r="D1594" t="s">
        <v>7019</v>
      </c>
      <c r="E1594" t="s">
        <v>8655</v>
      </c>
      <c r="F1594" t="s">
        <v>0</v>
      </c>
      <c r="G1594" s="1">
        <f t="shared" si="17"/>
        <v>45495</v>
      </c>
    </row>
    <row r="1595" spans="1:7" x14ac:dyDescent="0.35">
      <c r="A1595" s="2" t="s">
        <v>4477</v>
      </c>
      <c r="B1595" s="2" t="s">
        <v>4478</v>
      </c>
      <c r="C1595" s="2" t="s">
        <v>4479</v>
      </c>
      <c r="D1595" t="s">
        <v>7020</v>
      </c>
      <c r="E1595" t="e">
        <v>#VALUE!</v>
      </c>
      <c r="F1595" t="s">
        <v>0</v>
      </c>
      <c r="G1595" s="1">
        <f t="shared" si="17"/>
        <v>45495</v>
      </c>
    </row>
    <row r="1596" spans="1:7" x14ac:dyDescent="0.35">
      <c r="A1596" s="2" t="s">
        <v>4480</v>
      </c>
      <c r="B1596" s="2" t="s">
        <v>4481</v>
      </c>
      <c r="C1596" s="2" t="s">
        <v>4482</v>
      </c>
      <c r="D1596" t="s">
        <v>7021</v>
      </c>
      <c r="E1596" t="s">
        <v>8656</v>
      </c>
      <c r="F1596" t="s">
        <v>0</v>
      </c>
      <c r="G1596" s="1">
        <f t="shared" si="17"/>
        <v>45495</v>
      </c>
    </row>
    <row r="1597" spans="1:7" x14ac:dyDescent="0.35">
      <c r="A1597" s="2" t="s">
        <v>4483</v>
      </c>
      <c r="B1597" s="2" t="s">
        <v>4484</v>
      </c>
      <c r="C1597" s="2" t="s">
        <v>4485</v>
      </c>
      <c r="D1597" t="s">
        <v>6835</v>
      </c>
      <c r="E1597" t="s">
        <v>8472</v>
      </c>
      <c r="F1597" t="s">
        <v>0</v>
      </c>
      <c r="G1597" s="1">
        <f t="shared" si="17"/>
        <v>45495</v>
      </c>
    </row>
    <row r="1598" spans="1:7" x14ac:dyDescent="0.35">
      <c r="A1598" s="2" t="s">
        <v>4486</v>
      </c>
      <c r="B1598" s="2" t="s">
        <v>4487</v>
      </c>
      <c r="C1598" s="2" t="s">
        <v>4488</v>
      </c>
      <c r="D1598" t="s">
        <v>7022</v>
      </c>
      <c r="E1598" t="s">
        <v>8657</v>
      </c>
      <c r="F1598" t="s">
        <v>0</v>
      </c>
      <c r="G1598" s="1">
        <f t="shared" si="17"/>
        <v>45495</v>
      </c>
    </row>
    <row r="1599" spans="1:7" x14ac:dyDescent="0.35">
      <c r="A1599" s="2" t="s">
        <v>4489</v>
      </c>
      <c r="B1599" s="2" t="s">
        <v>4490</v>
      </c>
      <c r="C1599" s="2" t="s">
        <v>4491</v>
      </c>
      <c r="D1599" t="s">
        <v>7023</v>
      </c>
      <c r="E1599" t="s">
        <v>8658</v>
      </c>
      <c r="F1599" t="s">
        <v>0</v>
      </c>
      <c r="G1599" s="1">
        <f t="shared" si="17"/>
        <v>45495</v>
      </c>
    </row>
    <row r="1600" spans="1:7" x14ac:dyDescent="0.35">
      <c r="A1600" s="2" t="s">
        <v>4492</v>
      </c>
      <c r="B1600" s="2" t="s">
        <v>4493</v>
      </c>
      <c r="C1600" s="2" t="s">
        <v>4494</v>
      </c>
      <c r="D1600" t="s">
        <v>7024</v>
      </c>
      <c r="E1600" t="s">
        <v>8659</v>
      </c>
      <c r="F1600" t="s">
        <v>0</v>
      </c>
      <c r="G1600" s="1">
        <f t="shared" ref="G1600:G1607" si="18">DATE(2024,7,23)</f>
        <v>45496</v>
      </c>
    </row>
    <row r="1601" spans="1:7" x14ac:dyDescent="0.35">
      <c r="A1601" s="2" t="s">
        <v>4495</v>
      </c>
      <c r="B1601" s="2" t="s">
        <v>4496</v>
      </c>
      <c r="C1601" s="2" t="s">
        <v>4497</v>
      </c>
      <c r="D1601" t="s">
        <v>7025</v>
      </c>
      <c r="E1601" t="s">
        <v>8660</v>
      </c>
      <c r="F1601" t="s">
        <v>0</v>
      </c>
      <c r="G1601" s="1">
        <f t="shared" si="18"/>
        <v>45496</v>
      </c>
    </row>
    <row r="1602" spans="1:7" x14ac:dyDescent="0.35">
      <c r="A1602" s="2" t="s">
        <v>4498</v>
      </c>
      <c r="B1602" s="2" t="s">
        <v>4499</v>
      </c>
      <c r="C1602" s="2" t="s">
        <v>4500</v>
      </c>
      <c r="D1602" t="s">
        <v>7026</v>
      </c>
      <c r="E1602" t="s">
        <v>8661</v>
      </c>
      <c r="F1602" t="s">
        <v>0</v>
      </c>
      <c r="G1602" s="1">
        <f t="shared" si="18"/>
        <v>45496</v>
      </c>
    </row>
    <row r="1603" spans="1:7" x14ac:dyDescent="0.35">
      <c r="A1603" s="2" t="s">
        <v>4501</v>
      </c>
      <c r="B1603" s="2" t="s">
        <v>4472</v>
      </c>
      <c r="C1603" s="2" t="s">
        <v>4502</v>
      </c>
      <c r="D1603" t="s">
        <v>6616</v>
      </c>
      <c r="E1603" t="s">
        <v>8253</v>
      </c>
      <c r="F1603" t="s">
        <v>0</v>
      </c>
      <c r="G1603" s="1">
        <f t="shared" si="18"/>
        <v>45496</v>
      </c>
    </row>
    <row r="1604" spans="1:7" x14ac:dyDescent="0.35">
      <c r="A1604" s="2" t="s">
        <v>4503</v>
      </c>
      <c r="B1604" s="2" t="s">
        <v>4504</v>
      </c>
      <c r="C1604" s="2" t="s">
        <v>4505</v>
      </c>
      <c r="D1604" t="s">
        <v>7027</v>
      </c>
      <c r="E1604" t="s">
        <v>8662</v>
      </c>
      <c r="F1604" t="s">
        <v>0</v>
      </c>
      <c r="G1604" s="1">
        <f t="shared" si="18"/>
        <v>45496</v>
      </c>
    </row>
    <row r="1605" spans="1:7" x14ac:dyDescent="0.35">
      <c r="A1605" s="2" t="s">
        <v>4506</v>
      </c>
      <c r="B1605" s="2" t="s">
        <v>4507</v>
      </c>
      <c r="C1605" s="2" t="s">
        <v>4508</v>
      </c>
      <c r="D1605" t="s">
        <v>7028</v>
      </c>
      <c r="E1605" t="s">
        <v>8663</v>
      </c>
      <c r="F1605" t="s">
        <v>0</v>
      </c>
      <c r="G1605" s="1">
        <f t="shared" si="18"/>
        <v>45496</v>
      </c>
    </row>
    <row r="1606" spans="1:7" x14ac:dyDescent="0.35">
      <c r="A1606" s="2" t="s">
        <v>4509</v>
      </c>
      <c r="B1606" s="2" t="s">
        <v>4469</v>
      </c>
      <c r="C1606" s="2" t="s">
        <v>4510</v>
      </c>
      <c r="D1606" t="s">
        <v>7018</v>
      </c>
      <c r="E1606" t="s">
        <v>8654</v>
      </c>
      <c r="F1606" t="s">
        <v>0</v>
      </c>
      <c r="G1606" s="1">
        <f t="shared" si="18"/>
        <v>45496</v>
      </c>
    </row>
    <row r="1607" spans="1:7" x14ac:dyDescent="0.35">
      <c r="A1607" s="2" t="s">
        <v>4511</v>
      </c>
      <c r="B1607" s="2" t="s">
        <v>4512</v>
      </c>
      <c r="C1607" s="2" t="s">
        <v>4513</v>
      </c>
      <c r="D1607" t="s">
        <v>7029</v>
      </c>
      <c r="E1607" t="s">
        <v>8664</v>
      </c>
      <c r="F1607" t="s">
        <v>0</v>
      </c>
      <c r="G1607" s="1">
        <f t="shared" si="18"/>
        <v>45496</v>
      </c>
    </row>
    <row r="1608" spans="1:7" x14ac:dyDescent="0.35">
      <c r="A1608" s="2" t="s">
        <v>4514</v>
      </c>
      <c r="B1608" s="2" t="s">
        <v>4515</v>
      </c>
      <c r="C1608" s="2" t="s">
        <v>4516</v>
      </c>
      <c r="D1608" t="s">
        <v>7030</v>
      </c>
      <c r="E1608" t="s">
        <v>8665</v>
      </c>
      <c r="F1608" t="s">
        <v>0</v>
      </c>
      <c r="G1608" s="1">
        <f>DATE(2024,10,3)</f>
        <v>45568</v>
      </c>
    </row>
    <row r="1609" spans="1:7" x14ac:dyDescent="0.35">
      <c r="A1609" s="2" t="s">
        <v>4517</v>
      </c>
      <c r="B1609" s="2" t="s">
        <v>4518</v>
      </c>
      <c r="C1609" s="2" t="s">
        <v>4519</v>
      </c>
      <c r="D1609" t="s">
        <v>7031</v>
      </c>
      <c r="E1609" t="s">
        <v>8666</v>
      </c>
      <c r="F1609" t="s">
        <v>0</v>
      </c>
      <c r="G1609" s="1">
        <f>DATE(2024,10,9)</f>
        <v>45574</v>
      </c>
    </row>
    <row r="1610" spans="1:7" x14ac:dyDescent="0.35">
      <c r="A1610" s="2" t="s">
        <v>4520</v>
      </c>
      <c r="B1610" s="2" t="s">
        <v>4521</v>
      </c>
      <c r="C1610" s="2" t="s">
        <v>4522</v>
      </c>
      <c r="D1610" t="s">
        <v>7032</v>
      </c>
      <c r="E1610" t="s">
        <v>8667</v>
      </c>
      <c r="F1610" t="s">
        <v>0</v>
      </c>
      <c r="G1610" s="1">
        <f>DATE(2024,10,11)</f>
        <v>45576</v>
      </c>
    </row>
    <row r="1611" spans="1:7" x14ac:dyDescent="0.35">
      <c r="A1611" s="2" t="s">
        <v>4523</v>
      </c>
      <c r="B1611" s="2" t="s">
        <v>4524</v>
      </c>
      <c r="C1611" s="2" t="s">
        <v>4525</v>
      </c>
      <c r="D1611" t="s">
        <v>7033</v>
      </c>
      <c r="E1611" t="s">
        <v>8668</v>
      </c>
      <c r="F1611" t="s">
        <v>0</v>
      </c>
      <c r="G1611" s="1">
        <f>DATE(2024,10,23)</f>
        <v>45588</v>
      </c>
    </row>
    <row r="1612" spans="1:7" x14ac:dyDescent="0.35">
      <c r="A1612" s="2" t="s">
        <v>4526</v>
      </c>
      <c r="B1612" s="2" t="s">
        <v>4527</v>
      </c>
      <c r="C1612" s="2" t="s">
        <v>4528</v>
      </c>
      <c r="D1612" t="s">
        <v>7034</v>
      </c>
      <c r="E1612" t="s">
        <v>8669</v>
      </c>
      <c r="F1612" t="s">
        <v>0</v>
      </c>
      <c r="G1612" s="1">
        <f>DATE(2024,10,24)</f>
        <v>45589</v>
      </c>
    </row>
    <row r="1613" spans="1:7" x14ac:dyDescent="0.35">
      <c r="A1613" s="2" t="s">
        <v>4529</v>
      </c>
      <c r="B1613" s="2" t="s">
        <v>4530</v>
      </c>
      <c r="C1613" s="2" t="s">
        <v>4531</v>
      </c>
      <c r="D1613" t="s">
        <v>7035</v>
      </c>
      <c r="E1613" t="s">
        <v>8670</v>
      </c>
      <c r="F1613" t="s">
        <v>0</v>
      </c>
      <c r="G1613" s="1">
        <f>DATE(2024,11,21)</f>
        <v>45617</v>
      </c>
    </row>
    <row r="1614" spans="1:7" x14ac:dyDescent="0.35">
      <c r="A1614" s="2" t="s">
        <v>4532</v>
      </c>
      <c r="B1614" s="2" t="s">
        <v>4533</v>
      </c>
      <c r="C1614" s="2" t="s">
        <v>4534</v>
      </c>
      <c r="D1614" t="s">
        <v>7036</v>
      </c>
      <c r="E1614" t="e">
        <v>#VALUE!</v>
      </c>
      <c r="F1614" t="s">
        <v>0</v>
      </c>
      <c r="G1614" s="1">
        <f>DATE(2024,12,11)</f>
        <v>45637</v>
      </c>
    </row>
    <row r="1615" spans="1:7" x14ac:dyDescent="0.35">
      <c r="A1615" s="2" t="s">
        <v>4535</v>
      </c>
      <c r="B1615" s="2" t="s">
        <v>4536</v>
      </c>
      <c r="C1615" s="2" t="s">
        <v>4537</v>
      </c>
      <c r="D1615" t="s">
        <v>7037</v>
      </c>
      <c r="E1615" t="s">
        <v>8671</v>
      </c>
      <c r="F1615" t="s">
        <v>0</v>
      </c>
      <c r="G1615" s="1">
        <f>DATE(2024,12,18)</f>
        <v>45644</v>
      </c>
    </row>
    <row r="1616" spans="1:7" x14ac:dyDescent="0.35">
      <c r="A1616" s="2" t="s">
        <v>4538</v>
      </c>
      <c r="B1616" s="2" t="s">
        <v>4539</v>
      </c>
      <c r="C1616" s="2" t="s">
        <v>4540</v>
      </c>
      <c r="D1616" t="s">
        <v>7038</v>
      </c>
      <c r="E1616" t="s">
        <v>8672</v>
      </c>
      <c r="F1616" t="s">
        <v>0</v>
      </c>
      <c r="G1616" s="1">
        <f>DATE(2024,12,20)</f>
        <v>45646</v>
      </c>
    </row>
    <row r="1617" spans="1:7" x14ac:dyDescent="0.35">
      <c r="A1617" s="2" t="s">
        <v>4541</v>
      </c>
      <c r="B1617" s="2" t="s">
        <v>4542</v>
      </c>
      <c r="C1617" s="2" t="s">
        <v>4543</v>
      </c>
      <c r="D1617" t="s">
        <v>7039</v>
      </c>
      <c r="E1617" t="s">
        <v>8673</v>
      </c>
      <c r="F1617" t="s">
        <v>0</v>
      </c>
      <c r="G1617" s="1">
        <f>DATE(2024,12,20)</f>
        <v>45646</v>
      </c>
    </row>
    <row r="1618" spans="1:7" x14ac:dyDescent="0.35">
      <c r="A1618" s="2" t="s">
        <v>4544</v>
      </c>
      <c r="B1618" s="2" t="s">
        <v>4545</v>
      </c>
      <c r="C1618" s="2" t="s">
        <v>4546</v>
      </c>
      <c r="D1618" t="s">
        <v>7040</v>
      </c>
      <c r="E1618" t="s">
        <v>8674</v>
      </c>
      <c r="F1618" t="s">
        <v>0</v>
      </c>
      <c r="G1618" s="1">
        <f>DATE(2025,1,9)</f>
        <v>45666</v>
      </c>
    </row>
    <row r="1619" spans="1:7" x14ac:dyDescent="0.35">
      <c r="A1619" s="2" t="s">
        <v>4547</v>
      </c>
      <c r="B1619" s="2" t="s">
        <v>4548</v>
      </c>
      <c r="C1619" s="2" t="s">
        <v>4549</v>
      </c>
      <c r="D1619" t="s">
        <v>7041</v>
      </c>
      <c r="E1619" t="s">
        <v>8675</v>
      </c>
      <c r="F1619" t="s">
        <v>0</v>
      </c>
      <c r="G1619" s="1">
        <f>DATE(2025,1,10)</f>
        <v>45667</v>
      </c>
    </row>
    <row r="1620" spans="1:7" x14ac:dyDescent="0.35">
      <c r="A1620" s="2" t="s">
        <v>4550</v>
      </c>
      <c r="B1620" s="2" t="s">
        <v>4551</v>
      </c>
      <c r="C1620" s="2" t="s">
        <v>4552</v>
      </c>
      <c r="D1620" t="s">
        <v>7042</v>
      </c>
      <c r="E1620" t="s">
        <v>8676</v>
      </c>
      <c r="F1620" t="s">
        <v>0</v>
      </c>
      <c r="G1620" s="1">
        <f>DATE(2025,1,29)</f>
        <v>45686</v>
      </c>
    </row>
    <row r="1621" spans="1:7" x14ac:dyDescent="0.35">
      <c r="A1621" s="2" t="s">
        <v>4553</v>
      </c>
      <c r="B1621" s="2" t="s">
        <v>4554</v>
      </c>
      <c r="C1621" s="2" t="s">
        <v>4555</v>
      </c>
      <c r="D1621" t="s">
        <v>4555</v>
      </c>
      <c r="E1621" t="s">
        <v>8677</v>
      </c>
      <c r="F1621" t="s">
        <v>0</v>
      </c>
      <c r="G1621" s="1">
        <f>DATE(2025,1,30)</f>
        <v>45687</v>
      </c>
    </row>
    <row r="1622" spans="1:7" x14ac:dyDescent="0.35">
      <c r="A1622" s="2" t="s">
        <v>4556</v>
      </c>
      <c r="B1622" s="2" t="s">
        <v>4557</v>
      </c>
      <c r="C1622" s="2" t="s">
        <v>4558</v>
      </c>
      <c r="D1622" t="s">
        <v>7043</v>
      </c>
      <c r="E1622" t="s">
        <v>8678</v>
      </c>
      <c r="F1622" t="s">
        <v>0</v>
      </c>
      <c r="G1622" s="1">
        <f>DATE(2025,2,5)</f>
        <v>45693</v>
      </c>
    </row>
    <row r="1623" spans="1:7" x14ac:dyDescent="0.35">
      <c r="A1623" s="2" t="s">
        <v>4559</v>
      </c>
      <c r="B1623" s="2" t="s">
        <v>4560</v>
      </c>
      <c r="C1623" s="2" t="s">
        <v>4561</v>
      </c>
      <c r="D1623" t="s">
        <v>7044</v>
      </c>
      <c r="E1623" t="s">
        <v>8679</v>
      </c>
      <c r="F1623" t="s">
        <v>0</v>
      </c>
      <c r="G1623" s="1">
        <f>DATE(2025,2,5)</f>
        <v>45693</v>
      </c>
    </row>
    <row r="1624" spans="1:7" x14ac:dyDescent="0.35">
      <c r="A1624" s="2" t="s">
        <v>4562</v>
      </c>
      <c r="B1624" s="2" t="s">
        <v>4563</v>
      </c>
      <c r="C1624" s="2" t="s">
        <v>4564</v>
      </c>
      <c r="D1624" t="s">
        <v>7045</v>
      </c>
      <c r="E1624" t="s">
        <v>8680</v>
      </c>
      <c r="F1624" t="s">
        <v>0</v>
      </c>
      <c r="G1624" s="1">
        <f>DATE(2025,2,7)</f>
        <v>45695</v>
      </c>
    </row>
    <row r="1625" spans="1:7" x14ac:dyDescent="0.35">
      <c r="A1625" s="2" t="s">
        <v>4565</v>
      </c>
      <c r="B1625" s="2" t="s">
        <v>4566</v>
      </c>
      <c r="C1625" s="2" t="s">
        <v>4567</v>
      </c>
      <c r="D1625" t="s">
        <v>7046</v>
      </c>
      <c r="E1625" t="s">
        <v>8681</v>
      </c>
      <c r="F1625" t="s">
        <v>0</v>
      </c>
      <c r="G1625" s="1">
        <f>DATE(2025,2,7)</f>
        <v>45695</v>
      </c>
    </row>
    <row r="1626" spans="1:7" x14ac:dyDescent="0.35">
      <c r="A1626" s="2" t="s">
        <v>4568</v>
      </c>
      <c r="B1626" s="2" t="s">
        <v>4569</v>
      </c>
      <c r="C1626" s="2" t="s">
        <v>4570</v>
      </c>
      <c r="D1626" t="s">
        <v>7047</v>
      </c>
      <c r="E1626" t="s">
        <v>8682</v>
      </c>
      <c r="F1626" t="s">
        <v>0</v>
      </c>
      <c r="G1626" s="1">
        <f>DATE(2025,2,7)</f>
        <v>45695</v>
      </c>
    </row>
    <row r="1627" spans="1:7" x14ac:dyDescent="0.35">
      <c r="A1627" s="2" t="s">
        <v>4571</v>
      </c>
      <c r="B1627" s="2" t="s">
        <v>4572</v>
      </c>
      <c r="C1627" s="2" t="s">
        <v>4573</v>
      </c>
      <c r="D1627" t="s">
        <v>7048</v>
      </c>
      <c r="E1627" t="e">
        <v>#VALUE!</v>
      </c>
      <c r="F1627" t="s">
        <v>0</v>
      </c>
      <c r="G1627" s="1">
        <f>DATE(2025,2,11)</f>
        <v>45699</v>
      </c>
    </row>
    <row r="1628" spans="1:7" x14ac:dyDescent="0.35">
      <c r="A1628" s="2" t="s">
        <v>4574</v>
      </c>
      <c r="B1628" s="2" t="s">
        <v>4575</v>
      </c>
      <c r="C1628" s="2" t="s">
        <v>4576</v>
      </c>
      <c r="D1628" t="s">
        <v>7049</v>
      </c>
      <c r="E1628" t="s">
        <v>8683</v>
      </c>
      <c r="F1628" t="s">
        <v>0</v>
      </c>
      <c r="G1628" s="1">
        <f>DATE(2024,5,7)</f>
        <v>45419</v>
      </c>
    </row>
    <row r="1629" spans="1:7" x14ac:dyDescent="0.35">
      <c r="A1629" s="2" t="s">
        <v>4577</v>
      </c>
      <c r="B1629" s="2" t="s">
        <v>4578</v>
      </c>
      <c r="D1629" t="s">
        <v>5756</v>
      </c>
      <c r="E1629" t="e">
        <v>#VALUE!</v>
      </c>
      <c r="F1629" t="s">
        <v>0</v>
      </c>
      <c r="G1629" s="1">
        <f>DATE(2024,3,27)</f>
        <v>45378</v>
      </c>
    </row>
    <row r="1630" spans="1:7" x14ac:dyDescent="0.35">
      <c r="A1630" s="2" t="s">
        <v>4579</v>
      </c>
      <c r="B1630" s="2" t="s">
        <v>4580</v>
      </c>
      <c r="C1630" s="2" t="s">
        <v>4581</v>
      </c>
      <c r="D1630" t="s">
        <v>7050</v>
      </c>
      <c r="E1630" t="s">
        <v>8684</v>
      </c>
      <c r="F1630" t="s">
        <v>0</v>
      </c>
      <c r="G1630" s="1">
        <f>DATE(2024,6,7)</f>
        <v>45450</v>
      </c>
    </row>
    <row r="1631" spans="1:7" x14ac:dyDescent="0.35">
      <c r="A1631" s="2" t="s">
        <v>4582</v>
      </c>
      <c r="B1631" s="2" t="s">
        <v>4583</v>
      </c>
      <c r="C1631" s="2" t="s">
        <v>4584</v>
      </c>
      <c r="D1631" t="s">
        <v>7051</v>
      </c>
      <c r="E1631" t="s">
        <v>8685</v>
      </c>
      <c r="F1631" t="s">
        <v>0</v>
      </c>
      <c r="G1631" s="1">
        <f>DATE(2024,7,9)</f>
        <v>45482</v>
      </c>
    </row>
    <row r="1632" spans="1:7" x14ac:dyDescent="0.35">
      <c r="A1632" s="2" t="s">
        <v>4585</v>
      </c>
      <c r="B1632" s="2" t="s">
        <v>4586</v>
      </c>
      <c r="C1632" s="2" t="s">
        <v>4587</v>
      </c>
      <c r="D1632" t="s">
        <v>7052</v>
      </c>
      <c r="E1632" t="s">
        <v>8686</v>
      </c>
      <c r="F1632" t="s">
        <v>0</v>
      </c>
      <c r="G1632" s="1">
        <f>DATE(2024,9,2)</f>
        <v>45537</v>
      </c>
    </row>
    <row r="1633" spans="1:7" x14ac:dyDescent="0.35">
      <c r="A1633" s="2" t="s">
        <v>4588</v>
      </c>
      <c r="B1633" s="2" t="s">
        <v>4589</v>
      </c>
      <c r="C1633" s="2" t="s">
        <v>4590</v>
      </c>
      <c r="D1633" t="s">
        <v>7053</v>
      </c>
      <c r="E1633" t="s">
        <v>8687</v>
      </c>
      <c r="F1633" t="s">
        <v>0</v>
      </c>
      <c r="G1633" s="1">
        <f>DATE(2024,9,11)</f>
        <v>45546</v>
      </c>
    </row>
    <row r="1634" spans="1:7" x14ac:dyDescent="0.35">
      <c r="A1634" s="2" t="s">
        <v>4591</v>
      </c>
      <c r="B1634" s="2" t="s">
        <v>4592</v>
      </c>
      <c r="C1634" s="2" t="s">
        <v>4593</v>
      </c>
      <c r="D1634" t="s">
        <v>7054</v>
      </c>
      <c r="E1634" t="e">
        <v>#VALUE!</v>
      </c>
      <c r="F1634" t="s">
        <v>0</v>
      </c>
      <c r="G1634" s="1">
        <f>DATE(2024,11,13)</f>
        <v>45609</v>
      </c>
    </row>
    <row r="1635" spans="1:7" x14ac:dyDescent="0.35">
      <c r="A1635" s="2" t="s">
        <v>4594</v>
      </c>
      <c r="B1635" s="2" t="s">
        <v>4595</v>
      </c>
      <c r="C1635" s="2" t="s">
        <v>4596</v>
      </c>
      <c r="D1635" t="s">
        <v>4596</v>
      </c>
      <c r="E1635" t="e">
        <v>#VALUE!</v>
      </c>
      <c r="F1635" t="s">
        <v>0</v>
      </c>
      <c r="G1635" s="1">
        <f>DATE(2024,11,13)</f>
        <v>45609</v>
      </c>
    </row>
    <row r="1636" spans="1:7" x14ac:dyDescent="0.35">
      <c r="A1636" s="2" t="s">
        <v>4597</v>
      </c>
      <c r="B1636" s="2" t="s">
        <v>4598</v>
      </c>
      <c r="C1636" s="2" t="s">
        <v>4599</v>
      </c>
      <c r="D1636" t="s">
        <v>7055</v>
      </c>
      <c r="E1636" t="s">
        <v>8688</v>
      </c>
      <c r="F1636" t="s">
        <v>0</v>
      </c>
      <c r="G1636" s="1">
        <f>DATE(2024,12,18)</f>
        <v>45644</v>
      </c>
    </row>
    <row r="1637" spans="1:7" x14ac:dyDescent="0.35">
      <c r="A1637" s="2" t="s">
        <v>4600</v>
      </c>
      <c r="B1637" s="2" t="s">
        <v>4601</v>
      </c>
      <c r="D1637" t="s">
        <v>5756</v>
      </c>
      <c r="E1637" t="e">
        <v>#VALUE!</v>
      </c>
      <c r="F1637" t="s">
        <v>0</v>
      </c>
      <c r="G1637" s="1">
        <f>DATE(2024,12,30)</f>
        <v>45656</v>
      </c>
    </row>
    <row r="1638" spans="1:7" x14ac:dyDescent="0.35">
      <c r="A1638" s="2" t="s">
        <v>4602</v>
      </c>
      <c r="B1638" s="2" t="s">
        <v>4603</v>
      </c>
      <c r="C1638" s="2" t="s">
        <v>4604</v>
      </c>
      <c r="D1638" t="s">
        <v>7056</v>
      </c>
      <c r="E1638" t="e">
        <v>#VALUE!</v>
      </c>
      <c r="F1638" t="s">
        <v>0</v>
      </c>
      <c r="G1638" s="1">
        <f>DATE(2025,1,7)</f>
        <v>45664</v>
      </c>
    </row>
    <row r="1639" spans="1:7" x14ac:dyDescent="0.35">
      <c r="A1639" s="2" t="s">
        <v>4605</v>
      </c>
      <c r="B1639" s="2" t="s">
        <v>4606</v>
      </c>
      <c r="C1639" s="2" t="s">
        <v>4607</v>
      </c>
      <c r="D1639" t="s">
        <v>7057</v>
      </c>
      <c r="E1639" t="e">
        <v>#VALUE!</v>
      </c>
      <c r="F1639" t="s">
        <v>0</v>
      </c>
      <c r="G1639" s="1">
        <f>DATE(2025,1,7)</f>
        <v>45664</v>
      </c>
    </row>
    <row r="1640" spans="1:7" x14ac:dyDescent="0.35">
      <c r="A1640" s="2" t="s">
        <v>4608</v>
      </c>
      <c r="B1640" s="2" t="s">
        <v>4609</v>
      </c>
      <c r="C1640" s="2" t="s">
        <v>4610</v>
      </c>
      <c r="D1640" t="s">
        <v>7058</v>
      </c>
      <c r="E1640" t="s">
        <v>8689</v>
      </c>
      <c r="F1640" t="s">
        <v>0</v>
      </c>
      <c r="G1640" s="1">
        <f>DATE(2025,1,8)</f>
        <v>45665</v>
      </c>
    </row>
    <row r="1641" spans="1:7" x14ac:dyDescent="0.35">
      <c r="A1641" s="2" t="s">
        <v>4611</v>
      </c>
      <c r="B1641" s="2" t="s">
        <v>4612</v>
      </c>
      <c r="C1641" s="2" t="s">
        <v>4613</v>
      </c>
      <c r="D1641" t="s">
        <v>7059</v>
      </c>
      <c r="E1641" t="s">
        <v>8690</v>
      </c>
      <c r="F1641" t="s">
        <v>0</v>
      </c>
      <c r="G1641" s="1">
        <f>DATE(2025,2,5)</f>
        <v>45693</v>
      </c>
    </row>
    <row r="1642" spans="1:7" x14ac:dyDescent="0.35">
      <c r="A1642" s="2" t="s">
        <v>4614</v>
      </c>
      <c r="B1642" s="2" t="s">
        <v>4615</v>
      </c>
      <c r="C1642" s="2" t="s">
        <v>4616</v>
      </c>
      <c r="D1642" t="s">
        <v>7060</v>
      </c>
      <c r="E1642" t="s">
        <v>8691</v>
      </c>
      <c r="F1642" t="s">
        <v>0</v>
      </c>
      <c r="G1642" s="1">
        <f>DATE(2025,2,26)</f>
        <v>45714</v>
      </c>
    </row>
    <row r="1643" spans="1:7" x14ac:dyDescent="0.35">
      <c r="A1643" s="2" t="s">
        <v>4617</v>
      </c>
      <c r="B1643" s="2" t="s">
        <v>4618</v>
      </c>
      <c r="C1643" s="2" t="s">
        <v>4619</v>
      </c>
      <c r="D1643" t="s">
        <v>7061</v>
      </c>
      <c r="E1643" t="s">
        <v>8692</v>
      </c>
      <c r="F1643" t="s">
        <v>0</v>
      </c>
      <c r="G1643" s="1">
        <f>DATE(2025,2,5)</f>
        <v>45693</v>
      </c>
    </row>
    <row r="1644" spans="1:7" x14ac:dyDescent="0.35">
      <c r="A1644" s="2" t="s">
        <v>4620</v>
      </c>
      <c r="B1644" s="2" t="s">
        <v>4621</v>
      </c>
      <c r="C1644" s="2" t="s">
        <v>4622</v>
      </c>
      <c r="D1644" t="s">
        <v>7062</v>
      </c>
      <c r="E1644" t="e">
        <v>#VALUE!</v>
      </c>
      <c r="F1644" t="s">
        <v>0</v>
      </c>
      <c r="G1644" s="1">
        <f>DATE(2025,2,26)</f>
        <v>45714</v>
      </c>
    </row>
    <row r="1645" spans="1:7" x14ac:dyDescent="0.35">
      <c r="A1645" s="2" t="s">
        <v>4623</v>
      </c>
      <c r="B1645" s="2" t="s">
        <v>4624</v>
      </c>
      <c r="C1645" s="2" t="s">
        <v>4625</v>
      </c>
      <c r="D1645" t="s">
        <v>7063</v>
      </c>
      <c r="E1645" t="s">
        <v>8693</v>
      </c>
      <c r="F1645" t="s">
        <v>0</v>
      </c>
      <c r="G1645" s="1">
        <f>DATE(2025,2,26)</f>
        <v>45714</v>
      </c>
    </row>
    <row r="1646" spans="1:7" x14ac:dyDescent="0.35">
      <c r="A1646" s="2" t="s">
        <v>4626</v>
      </c>
      <c r="B1646" s="2" t="s">
        <v>4627</v>
      </c>
      <c r="C1646" s="2" t="s">
        <v>4628</v>
      </c>
      <c r="D1646" t="s">
        <v>7064</v>
      </c>
      <c r="E1646" t="s">
        <v>8694</v>
      </c>
      <c r="F1646" t="s">
        <v>0</v>
      </c>
      <c r="G1646" s="1">
        <f>DATE(2025,2,26)</f>
        <v>45714</v>
      </c>
    </row>
    <row r="1647" spans="1:7" x14ac:dyDescent="0.35">
      <c r="A1647" s="2" t="s">
        <v>4629</v>
      </c>
      <c r="B1647" s="2" t="s">
        <v>4630</v>
      </c>
      <c r="C1647" s="2" t="s">
        <v>4631</v>
      </c>
      <c r="D1647" t="s">
        <v>7065</v>
      </c>
      <c r="E1647" t="s">
        <v>8695</v>
      </c>
      <c r="F1647" t="s">
        <v>0</v>
      </c>
      <c r="G1647" s="1">
        <f>DATE(2025,2,26)</f>
        <v>45714</v>
      </c>
    </row>
    <row r="1648" spans="1:7" x14ac:dyDescent="0.35">
      <c r="A1648" s="2" t="s">
        <v>4632</v>
      </c>
      <c r="B1648" s="2" t="s">
        <v>4633</v>
      </c>
      <c r="C1648" s="2" t="s">
        <v>4634</v>
      </c>
      <c r="D1648" t="s">
        <v>7066</v>
      </c>
      <c r="E1648" t="s">
        <v>8696</v>
      </c>
      <c r="F1648" t="s">
        <v>0</v>
      </c>
      <c r="G1648" s="1">
        <f>DATE(2025,3,4)</f>
        <v>45720</v>
      </c>
    </row>
    <row r="1649" spans="1:7" x14ac:dyDescent="0.35">
      <c r="A1649" s="2" t="s">
        <v>4635</v>
      </c>
      <c r="B1649" s="2" t="s">
        <v>4636</v>
      </c>
      <c r="C1649" s="2" t="s">
        <v>4637</v>
      </c>
      <c r="D1649" t="s">
        <v>7067</v>
      </c>
      <c r="E1649" t="s">
        <v>8697</v>
      </c>
      <c r="F1649" t="s">
        <v>0</v>
      </c>
      <c r="G1649" s="1">
        <f>DATE(2025,3,6)</f>
        <v>45722</v>
      </c>
    </row>
    <row r="1650" spans="1:7" x14ac:dyDescent="0.35">
      <c r="A1650" s="2" t="s">
        <v>4638</v>
      </c>
      <c r="B1650" s="2" t="s">
        <v>4639</v>
      </c>
      <c r="C1650" s="2" t="s">
        <v>4640</v>
      </c>
      <c r="D1650" t="s">
        <v>7068</v>
      </c>
      <c r="E1650" t="s">
        <v>8698</v>
      </c>
      <c r="F1650" t="s">
        <v>0</v>
      </c>
      <c r="G1650" s="1">
        <f>DATE(2025,3,7)</f>
        <v>45723</v>
      </c>
    </row>
    <row r="1651" spans="1:7" x14ac:dyDescent="0.35">
      <c r="A1651" s="2" t="s">
        <v>4641</v>
      </c>
      <c r="B1651" s="2" t="s">
        <v>4642</v>
      </c>
      <c r="C1651" s="2" t="s">
        <v>4643</v>
      </c>
      <c r="D1651" t="s">
        <v>7069</v>
      </c>
      <c r="E1651" t="e">
        <v>#VALUE!</v>
      </c>
      <c r="F1651" t="s">
        <v>0</v>
      </c>
      <c r="G1651" s="1">
        <f t="shared" ref="G1651:G1656" si="19">DATE(2025,3,11)</f>
        <v>45727</v>
      </c>
    </row>
    <row r="1652" spans="1:7" x14ac:dyDescent="0.35">
      <c r="A1652" s="2" t="s">
        <v>4644</v>
      </c>
      <c r="B1652" s="2" t="s">
        <v>4645</v>
      </c>
      <c r="C1652" s="2" t="s">
        <v>4646</v>
      </c>
      <c r="D1652" t="s">
        <v>7070</v>
      </c>
      <c r="E1652" t="s">
        <v>8699</v>
      </c>
      <c r="F1652" t="s">
        <v>0</v>
      </c>
      <c r="G1652" s="1">
        <f t="shared" si="19"/>
        <v>45727</v>
      </c>
    </row>
    <row r="1653" spans="1:7" x14ac:dyDescent="0.35">
      <c r="A1653" s="2" t="s">
        <v>4647</v>
      </c>
      <c r="B1653" s="2" t="s">
        <v>4648</v>
      </c>
      <c r="C1653" s="2" t="s">
        <v>4649</v>
      </c>
      <c r="D1653" t="s">
        <v>7071</v>
      </c>
      <c r="E1653" t="s">
        <v>8700</v>
      </c>
      <c r="F1653" t="s">
        <v>0</v>
      </c>
      <c r="G1653" s="1">
        <f t="shared" si="19"/>
        <v>45727</v>
      </c>
    </row>
    <row r="1654" spans="1:7" x14ac:dyDescent="0.35">
      <c r="A1654" s="2" t="s">
        <v>4650</v>
      </c>
      <c r="B1654" s="2" t="s">
        <v>4651</v>
      </c>
      <c r="C1654" s="2" t="s">
        <v>4652</v>
      </c>
      <c r="D1654" t="s">
        <v>7072</v>
      </c>
      <c r="E1654" t="s">
        <v>8701</v>
      </c>
      <c r="F1654" t="s">
        <v>0</v>
      </c>
      <c r="G1654" s="1">
        <f t="shared" si="19"/>
        <v>45727</v>
      </c>
    </row>
    <row r="1655" spans="1:7" x14ac:dyDescent="0.35">
      <c r="A1655" s="2" t="s">
        <v>4653</v>
      </c>
      <c r="B1655" s="2" t="s">
        <v>4654</v>
      </c>
      <c r="C1655" s="2" t="s">
        <v>4655</v>
      </c>
      <c r="D1655" t="s">
        <v>7073</v>
      </c>
      <c r="E1655" t="e">
        <v>#VALUE!</v>
      </c>
      <c r="F1655" t="s">
        <v>0</v>
      </c>
      <c r="G1655" s="1">
        <f t="shared" si="19"/>
        <v>45727</v>
      </c>
    </row>
    <row r="1656" spans="1:7" x14ac:dyDescent="0.35">
      <c r="A1656" s="2" t="s">
        <v>4656</v>
      </c>
      <c r="B1656" s="2" t="s">
        <v>4657</v>
      </c>
      <c r="C1656" s="2" t="s">
        <v>4658</v>
      </c>
      <c r="D1656" t="s">
        <v>7074</v>
      </c>
      <c r="E1656" t="s">
        <v>8702</v>
      </c>
      <c r="F1656" t="s">
        <v>0</v>
      </c>
      <c r="G1656" s="1">
        <f t="shared" si="19"/>
        <v>45727</v>
      </c>
    </row>
    <row r="1657" spans="1:7" x14ac:dyDescent="0.35">
      <c r="A1657" s="2" t="s">
        <v>4659</v>
      </c>
      <c r="B1657" s="2" t="s">
        <v>4660</v>
      </c>
      <c r="C1657" s="2" t="s">
        <v>4661</v>
      </c>
      <c r="D1657" t="s">
        <v>7075</v>
      </c>
      <c r="E1657" t="e">
        <v>#VALUE!</v>
      </c>
      <c r="F1657" t="s">
        <v>0</v>
      </c>
      <c r="G1657" s="1">
        <f>DATE(2025,3,12)</f>
        <v>45728</v>
      </c>
    </row>
    <row r="1658" spans="1:7" x14ac:dyDescent="0.35">
      <c r="A1658" s="2" t="s">
        <v>4662</v>
      </c>
      <c r="B1658" s="2" t="s">
        <v>4663</v>
      </c>
      <c r="C1658" s="2" t="s">
        <v>4664</v>
      </c>
      <c r="D1658" t="s">
        <v>7076</v>
      </c>
      <c r="E1658" t="s">
        <v>8703</v>
      </c>
      <c r="F1658" t="s">
        <v>0</v>
      </c>
      <c r="G1658" s="1">
        <f>DATE(2025,3,12)</f>
        <v>45728</v>
      </c>
    </row>
    <row r="1659" spans="1:7" x14ac:dyDescent="0.35">
      <c r="A1659" s="2" t="s">
        <v>4665</v>
      </c>
      <c r="B1659" s="2" t="s">
        <v>4666</v>
      </c>
      <c r="C1659" s="2" t="s">
        <v>4667</v>
      </c>
      <c r="D1659" t="s">
        <v>7077</v>
      </c>
      <c r="E1659" t="s">
        <v>8704</v>
      </c>
      <c r="F1659" t="s">
        <v>0</v>
      </c>
      <c r="G1659" s="1">
        <f>DATE(2025,3,12)</f>
        <v>45728</v>
      </c>
    </row>
    <row r="1660" spans="1:7" x14ac:dyDescent="0.35">
      <c r="A1660" s="2" t="s">
        <v>4668</v>
      </c>
      <c r="B1660" s="2" t="s">
        <v>4669</v>
      </c>
      <c r="C1660" s="2" t="s">
        <v>4670</v>
      </c>
      <c r="D1660" t="s">
        <v>7078</v>
      </c>
      <c r="E1660" t="e">
        <v>#VALUE!</v>
      </c>
      <c r="F1660" t="s">
        <v>0</v>
      </c>
      <c r="G1660" s="1">
        <f>DATE(2025,3,13)</f>
        <v>45729</v>
      </c>
    </row>
    <row r="1661" spans="1:7" x14ac:dyDescent="0.35">
      <c r="A1661" s="2" t="s">
        <v>4671</v>
      </c>
      <c r="B1661" s="2" t="s">
        <v>4672</v>
      </c>
      <c r="C1661" s="2" t="s">
        <v>4673</v>
      </c>
      <c r="D1661" t="s">
        <v>7079</v>
      </c>
      <c r="E1661" t="s">
        <v>8705</v>
      </c>
      <c r="F1661" t="s">
        <v>0</v>
      </c>
      <c r="G1661" s="1">
        <f>DATE(2025,3,13)</f>
        <v>45729</v>
      </c>
    </row>
    <row r="1662" spans="1:7" x14ac:dyDescent="0.35">
      <c r="A1662" s="2" t="s">
        <v>4674</v>
      </c>
      <c r="B1662" s="2" t="s">
        <v>4675</v>
      </c>
      <c r="C1662" s="2" t="s">
        <v>4676</v>
      </c>
      <c r="D1662" t="s">
        <v>7080</v>
      </c>
      <c r="E1662" t="s">
        <v>8706</v>
      </c>
      <c r="F1662" t="s">
        <v>0</v>
      </c>
      <c r="G1662" s="1">
        <f>DATE(2025,3,19)</f>
        <v>45735</v>
      </c>
    </row>
    <row r="1663" spans="1:7" x14ac:dyDescent="0.35">
      <c r="A1663" s="2" t="s">
        <v>4677</v>
      </c>
      <c r="B1663" s="2" t="s">
        <v>4678</v>
      </c>
      <c r="C1663" s="2" t="s">
        <v>4679</v>
      </c>
      <c r="D1663" t="s">
        <v>7081</v>
      </c>
      <c r="E1663" t="e">
        <v>#VALUE!</v>
      </c>
      <c r="F1663" t="s">
        <v>0</v>
      </c>
      <c r="G1663" s="1">
        <f>DATE(2025,3,20)</f>
        <v>45736</v>
      </c>
    </row>
    <row r="1664" spans="1:7" x14ac:dyDescent="0.35">
      <c r="A1664" s="2" t="s">
        <v>4680</v>
      </c>
      <c r="B1664" s="2" t="s">
        <v>4681</v>
      </c>
      <c r="C1664" s="2" t="s">
        <v>144</v>
      </c>
      <c r="D1664" t="s">
        <v>144</v>
      </c>
      <c r="E1664" t="e">
        <v>#VALUE!</v>
      </c>
      <c r="F1664" t="s">
        <v>0</v>
      </c>
      <c r="G1664" s="1">
        <f>DATE(2025,3,25)</f>
        <v>45741</v>
      </c>
    </row>
    <row r="1665" spans="1:7" x14ac:dyDescent="0.35">
      <c r="A1665" s="2" t="s">
        <v>4682</v>
      </c>
      <c r="B1665" s="2" t="s">
        <v>4683</v>
      </c>
      <c r="C1665" s="2" t="s">
        <v>4684</v>
      </c>
      <c r="D1665" t="s">
        <v>7082</v>
      </c>
      <c r="E1665" t="s">
        <v>8707</v>
      </c>
      <c r="F1665" t="s">
        <v>0</v>
      </c>
      <c r="G1665" s="1">
        <f>DATE(2025,4,1)</f>
        <v>45748</v>
      </c>
    </row>
    <row r="1666" spans="1:7" x14ac:dyDescent="0.35">
      <c r="A1666" s="2" t="s">
        <v>4685</v>
      </c>
      <c r="B1666" s="2" t="s">
        <v>4686</v>
      </c>
      <c r="C1666" s="2" t="s">
        <v>4687</v>
      </c>
      <c r="D1666" t="s">
        <v>7083</v>
      </c>
      <c r="E1666" t="s">
        <v>8708</v>
      </c>
      <c r="F1666" t="s">
        <v>0</v>
      </c>
      <c r="G1666" s="1">
        <f>DATE(2025,4,1)</f>
        <v>45748</v>
      </c>
    </row>
    <row r="1667" spans="1:7" x14ac:dyDescent="0.35">
      <c r="A1667" s="2" t="s">
        <v>4688</v>
      </c>
      <c r="B1667" s="2" t="s">
        <v>4689</v>
      </c>
      <c r="C1667" s="2" t="s">
        <v>4690</v>
      </c>
      <c r="D1667" t="s">
        <v>7084</v>
      </c>
      <c r="E1667" t="e">
        <v>#VALUE!</v>
      </c>
      <c r="F1667" t="s">
        <v>0</v>
      </c>
      <c r="G1667" s="1">
        <f>DATE(2025,4,9)</f>
        <v>45756</v>
      </c>
    </row>
    <row r="1668" spans="1:7" x14ac:dyDescent="0.35">
      <c r="A1668" s="2" t="s">
        <v>4691</v>
      </c>
      <c r="B1668" s="2" t="s">
        <v>4692</v>
      </c>
      <c r="C1668" s="2" t="s">
        <v>4693</v>
      </c>
      <c r="D1668" t="s">
        <v>7085</v>
      </c>
      <c r="E1668" t="s">
        <v>8709</v>
      </c>
      <c r="F1668" t="s">
        <v>0</v>
      </c>
      <c r="G1668" s="1">
        <f>DATE(2025,4,10)</f>
        <v>45757</v>
      </c>
    </row>
    <row r="1669" spans="1:7" x14ac:dyDescent="0.35">
      <c r="A1669" s="2" t="s">
        <v>4694</v>
      </c>
      <c r="B1669" s="2" t="s">
        <v>4695</v>
      </c>
      <c r="C1669" s="2" t="s">
        <v>4696</v>
      </c>
      <c r="D1669" t="s">
        <v>7086</v>
      </c>
      <c r="E1669" t="s">
        <v>8710</v>
      </c>
      <c r="F1669" t="s">
        <v>0</v>
      </c>
      <c r="G1669" s="1">
        <f>DATE(2025,4,15)</f>
        <v>45762</v>
      </c>
    </row>
    <row r="1670" spans="1:7" x14ac:dyDescent="0.35">
      <c r="A1670" s="2" t="s">
        <v>4697</v>
      </c>
      <c r="B1670" s="2" t="s">
        <v>4698</v>
      </c>
      <c r="C1670" s="2" t="s">
        <v>4699</v>
      </c>
      <c r="D1670" t="s">
        <v>5830</v>
      </c>
      <c r="E1670" t="s">
        <v>7466</v>
      </c>
      <c r="F1670" t="s">
        <v>0</v>
      </c>
      <c r="G1670" s="1">
        <f>DATE(2025,4,16)</f>
        <v>45763</v>
      </c>
    </row>
    <row r="1671" spans="1:7" x14ac:dyDescent="0.35">
      <c r="A1671" s="2" t="s">
        <v>4700</v>
      </c>
      <c r="B1671" s="2" t="s">
        <v>4701</v>
      </c>
      <c r="C1671" s="2" t="s">
        <v>4702</v>
      </c>
      <c r="D1671" t="s">
        <v>7087</v>
      </c>
      <c r="E1671" t="s">
        <v>8711</v>
      </c>
      <c r="F1671" t="s">
        <v>0</v>
      </c>
      <c r="G1671" s="1">
        <f>DATE(2025,4,22)</f>
        <v>45769</v>
      </c>
    </row>
    <row r="1672" spans="1:7" x14ac:dyDescent="0.35">
      <c r="A1672" s="2" t="s">
        <v>4703</v>
      </c>
      <c r="B1672" s="2" t="s">
        <v>4704</v>
      </c>
      <c r="C1672" s="2" t="s">
        <v>4705</v>
      </c>
      <c r="D1672" t="s">
        <v>7088</v>
      </c>
      <c r="E1672" t="s">
        <v>8712</v>
      </c>
      <c r="F1672" t="s">
        <v>0</v>
      </c>
      <c r="G1672" s="1">
        <f>DATE(2025,4,24)</f>
        <v>45771</v>
      </c>
    </row>
    <row r="1673" spans="1:7" x14ac:dyDescent="0.35">
      <c r="A1673" s="2" t="s">
        <v>4706</v>
      </c>
      <c r="B1673" s="2" t="s">
        <v>4707</v>
      </c>
      <c r="C1673" s="2" t="s">
        <v>4708</v>
      </c>
      <c r="D1673" t="s">
        <v>7089</v>
      </c>
      <c r="E1673" t="s">
        <v>8713</v>
      </c>
      <c r="F1673" t="s">
        <v>0</v>
      </c>
      <c r="G1673" s="1">
        <f>DATE(2024,4,12)</f>
        <v>45394</v>
      </c>
    </row>
    <row r="1674" spans="1:7" x14ac:dyDescent="0.35">
      <c r="A1674" s="2" t="s">
        <v>4709</v>
      </c>
      <c r="B1674" s="2" t="s">
        <v>4710</v>
      </c>
      <c r="C1674" s="2" t="s">
        <v>4711</v>
      </c>
      <c r="D1674" t="s">
        <v>7090</v>
      </c>
      <c r="E1674" t="e">
        <v>#VALUE!</v>
      </c>
      <c r="F1674" t="s">
        <v>0</v>
      </c>
      <c r="G1674" s="1">
        <f>DATE(2024,4,16)</f>
        <v>45398</v>
      </c>
    </row>
    <row r="1675" spans="1:7" x14ac:dyDescent="0.35">
      <c r="A1675" s="2" t="s">
        <v>4712</v>
      </c>
      <c r="B1675" s="2" t="s">
        <v>4713</v>
      </c>
      <c r="C1675" s="2" t="s">
        <v>4714</v>
      </c>
      <c r="D1675" t="s">
        <v>7091</v>
      </c>
      <c r="E1675" t="s">
        <v>8714</v>
      </c>
      <c r="F1675" t="s">
        <v>0</v>
      </c>
      <c r="G1675" s="1">
        <f>DATE(2024,4,17)</f>
        <v>45399</v>
      </c>
    </row>
    <row r="1676" spans="1:7" x14ac:dyDescent="0.35">
      <c r="A1676" s="2" t="s">
        <v>4715</v>
      </c>
      <c r="B1676" s="2" t="s">
        <v>4716</v>
      </c>
      <c r="D1676" t="s">
        <v>5756</v>
      </c>
      <c r="E1676" t="e">
        <v>#VALUE!</v>
      </c>
      <c r="F1676" t="s">
        <v>0</v>
      </c>
      <c r="G1676" s="1">
        <f>DATE(2024,4,23)</f>
        <v>45405</v>
      </c>
    </row>
    <row r="1677" spans="1:7" x14ac:dyDescent="0.35">
      <c r="A1677" s="2" t="s">
        <v>4717</v>
      </c>
      <c r="B1677" s="2" t="s">
        <v>4718</v>
      </c>
      <c r="C1677" s="2" t="s">
        <v>4719</v>
      </c>
      <c r="D1677" t="s">
        <v>7092</v>
      </c>
      <c r="E1677" t="e">
        <v>#VALUE!</v>
      </c>
      <c r="F1677" t="s">
        <v>0</v>
      </c>
      <c r="G1677" s="1">
        <f>DATE(2024,4,23)</f>
        <v>45405</v>
      </c>
    </row>
    <row r="1678" spans="1:7" x14ac:dyDescent="0.35">
      <c r="A1678" s="2" t="s">
        <v>4720</v>
      </c>
      <c r="B1678" s="2" t="s">
        <v>4721</v>
      </c>
      <c r="C1678" s="2" t="s">
        <v>4722</v>
      </c>
      <c r="D1678" t="s">
        <v>7093</v>
      </c>
      <c r="E1678" t="e">
        <v>#VALUE!</v>
      </c>
      <c r="F1678" t="s">
        <v>0</v>
      </c>
      <c r="G1678" s="1">
        <f>DATE(2024,5,13)</f>
        <v>45425</v>
      </c>
    </row>
    <row r="1679" spans="1:7" x14ac:dyDescent="0.35">
      <c r="A1679" s="2" t="s">
        <v>4723</v>
      </c>
      <c r="B1679" s="2" t="s">
        <v>4724</v>
      </c>
      <c r="C1679" s="2" t="s">
        <v>4725</v>
      </c>
      <c r="D1679" t="s">
        <v>7094</v>
      </c>
      <c r="E1679" t="s">
        <v>8715</v>
      </c>
      <c r="F1679" t="s">
        <v>0</v>
      </c>
      <c r="G1679" s="1">
        <f>DATE(2024,5,14)</f>
        <v>45426</v>
      </c>
    </row>
    <row r="1680" spans="1:7" x14ac:dyDescent="0.35">
      <c r="A1680" s="2" t="s">
        <v>4726</v>
      </c>
      <c r="B1680" s="2" t="s">
        <v>4727</v>
      </c>
      <c r="C1680" s="2" t="s">
        <v>4728</v>
      </c>
      <c r="D1680" t="s">
        <v>7095</v>
      </c>
      <c r="E1680" t="s">
        <v>8716</v>
      </c>
      <c r="F1680" t="s">
        <v>0</v>
      </c>
      <c r="G1680" s="1">
        <f>DATE(2024,7,19)</f>
        <v>45492</v>
      </c>
    </row>
    <row r="1681" spans="1:7" x14ac:dyDescent="0.35">
      <c r="A1681" s="2" t="s">
        <v>4729</v>
      </c>
      <c r="B1681" s="2" t="s">
        <v>4730</v>
      </c>
      <c r="C1681" s="2" t="s">
        <v>4731</v>
      </c>
      <c r="D1681" t="s">
        <v>6515</v>
      </c>
      <c r="E1681" t="s">
        <v>8152</v>
      </c>
      <c r="F1681" t="s">
        <v>0</v>
      </c>
      <c r="G1681" s="1">
        <f t="shared" ref="G1681:G1686" si="20">DATE(2024,7,22)</f>
        <v>45495</v>
      </c>
    </row>
    <row r="1682" spans="1:7" x14ac:dyDescent="0.35">
      <c r="A1682" s="2" t="s">
        <v>4732</v>
      </c>
      <c r="B1682" s="2" t="s">
        <v>4733</v>
      </c>
      <c r="C1682" s="2" t="s">
        <v>4734</v>
      </c>
      <c r="D1682" t="s">
        <v>7096</v>
      </c>
      <c r="E1682" t="s">
        <v>8717</v>
      </c>
      <c r="F1682" t="s">
        <v>0</v>
      </c>
      <c r="G1682" s="1">
        <f t="shared" si="20"/>
        <v>45495</v>
      </c>
    </row>
    <row r="1683" spans="1:7" x14ac:dyDescent="0.35">
      <c r="A1683" s="2" t="s">
        <v>4735</v>
      </c>
      <c r="B1683" s="2" t="s">
        <v>4736</v>
      </c>
      <c r="C1683" s="2" t="s">
        <v>4737</v>
      </c>
      <c r="D1683" t="s">
        <v>7097</v>
      </c>
      <c r="E1683" t="s">
        <v>8718</v>
      </c>
      <c r="F1683" t="s">
        <v>0</v>
      </c>
      <c r="G1683" s="1">
        <f t="shared" si="20"/>
        <v>45495</v>
      </c>
    </row>
    <row r="1684" spans="1:7" x14ac:dyDescent="0.35">
      <c r="A1684" s="2" t="s">
        <v>4738</v>
      </c>
      <c r="B1684" s="2" t="s">
        <v>4739</v>
      </c>
      <c r="C1684" s="2" t="s">
        <v>4740</v>
      </c>
      <c r="D1684" t="s">
        <v>7098</v>
      </c>
      <c r="E1684" t="s">
        <v>8719</v>
      </c>
      <c r="F1684" t="s">
        <v>0</v>
      </c>
      <c r="G1684" s="1">
        <f t="shared" si="20"/>
        <v>45495</v>
      </c>
    </row>
    <row r="1685" spans="1:7" x14ac:dyDescent="0.35">
      <c r="A1685" s="2" t="s">
        <v>4741</v>
      </c>
      <c r="B1685" s="2" t="s">
        <v>4742</v>
      </c>
      <c r="C1685" s="2" t="s">
        <v>4743</v>
      </c>
      <c r="D1685" t="s">
        <v>7099</v>
      </c>
      <c r="E1685" t="s">
        <v>8720</v>
      </c>
      <c r="F1685" t="s">
        <v>0</v>
      </c>
      <c r="G1685" s="1">
        <f t="shared" si="20"/>
        <v>45495</v>
      </c>
    </row>
    <row r="1686" spans="1:7" x14ac:dyDescent="0.35">
      <c r="A1686" s="2" t="s">
        <v>4744</v>
      </c>
      <c r="B1686" s="2" t="s">
        <v>4745</v>
      </c>
      <c r="C1686" s="2" t="s">
        <v>4746</v>
      </c>
      <c r="D1686" t="s">
        <v>7100</v>
      </c>
      <c r="E1686" t="s">
        <v>8721</v>
      </c>
      <c r="F1686" t="s">
        <v>0</v>
      </c>
      <c r="G1686" s="1">
        <f t="shared" si="20"/>
        <v>45495</v>
      </c>
    </row>
    <row r="1687" spans="1:7" x14ac:dyDescent="0.35">
      <c r="A1687" s="2" t="s">
        <v>4747</v>
      </c>
      <c r="B1687" s="2" t="s">
        <v>4748</v>
      </c>
      <c r="C1687" s="2" t="s">
        <v>4749</v>
      </c>
      <c r="D1687" t="s">
        <v>7101</v>
      </c>
      <c r="E1687" t="s">
        <v>8722</v>
      </c>
      <c r="F1687" t="s">
        <v>0</v>
      </c>
      <c r="G1687" s="1">
        <f t="shared" ref="G1687:G1692" si="21">DATE(2024,7,23)</f>
        <v>45496</v>
      </c>
    </row>
    <row r="1688" spans="1:7" x14ac:dyDescent="0.35">
      <c r="A1688" s="2" t="s">
        <v>4750</v>
      </c>
      <c r="B1688" s="2" t="s">
        <v>4751</v>
      </c>
      <c r="C1688" s="2" t="s">
        <v>4752</v>
      </c>
      <c r="D1688" t="s">
        <v>7102</v>
      </c>
      <c r="E1688" t="s">
        <v>8723</v>
      </c>
      <c r="F1688" t="s">
        <v>0</v>
      </c>
      <c r="G1688" s="1">
        <f t="shared" si="21"/>
        <v>45496</v>
      </c>
    </row>
    <row r="1689" spans="1:7" x14ac:dyDescent="0.35">
      <c r="A1689" s="2" t="s">
        <v>4753</v>
      </c>
      <c r="B1689" s="2" t="s">
        <v>4754</v>
      </c>
      <c r="C1689" s="2" t="s">
        <v>4755</v>
      </c>
      <c r="D1689" t="s">
        <v>7103</v>
      </c>
      <c r="E1689" t="s">
        <v>8724</v>
      </c>
      <c r="F1689" t="s">
        <v>0</v>
      </c>
      <c r="G1689" s="1">
        <f t="shared" si="21"/>
        <v>45496</v>
      </c>
    </row>
    <row r="1690" spans="1:7" x14ac:dyDescent="0.35">
      <c r="A1690" s="2" t="s">
        <v>4756</v>
      </c>
      <c r="B1690" s="2" t="s">
        <v>4757</v>
      </c>
      <c r="C1690" s="2" t="s">
        <v>4758</v>
      </c>
      <c r="D1690" t="s">
        <v>7104</v>
      </c>
      <c r="E1690" t="s">
        <v>8725</v>
      </c>
      <c r="F1690" t="s">
        <v>0</v>
      </c>
      <c r="G1690" s="1">
        <f t="shared" si="21"/>
        <v>45496</v>
      </c>
    </row>
    <row r="1691" spans="1:7" x14ac:dyDescent="0.35">
      <c r="A1691" s="2" t="s">
        <v>4759</v>
      </c>
      <c r="B1691" s="2" t="s">
        <v>4760</v>
      </c>
      <c r="C1691" s="2" t="s">
        <v>4761</v>
      </c>
      <c r="D1691" t="s">
        <v>7105</v>
      </c>
      <c r="E1691" t="s">
        <v>8726</v>
      </c>
      <c r="F1691" t="s">
        <v>0</v>
      </c>
      <c r="G1691" s="1">
        <f t="shared" si="21"/>
        <v>45496</v>
      </c>
    </row>
    <row r="1692" spans="1:7" x14ac:dyDescent="0.35">
      <c r="A1692" s="2" t="s">
        <v>4762</v>
      </c>
      <c r="B1692" s="2" t="s">
        <v>4763</v>
      </c>
      <c r="C1692" s="2" t="s">
        <v>4764</v>
      </c>
      <c r="D1692" t="s">
        <v>7106</v>
      </c>
      <c r="E1692" t="s">
        <v>8727</v>
      </c>
      <c r="F1692" t="s">
        <v>0</v>
      </c>
      <c r="G1692" s="1">
        <f t="shared" si="21"/>
        <v>45496</v>
      </c>
    </row>
    <row r="1693" spans="1:7" x14ac:dyDescent="0.35">
      <c r="A1693" s="2" t="s">
        <v>4765</v>
      </c>
      <c r="B1693" s="2" t="s">
        <v>4766</v>
      </c>
      <c r="C1693" s="2" t="s">
        <v>4767</v>
      </c>
      <c r="D1693" t="s">
        <v>7107</v>
      </c>
      <c r="E1693" t="s">
        <v>8728</v>
      </c>
      <c r="F1693" t="s">
        <v>0</v>
      </c>
      <c r="G1693" s="1">
        <f>DATE(2024,7,24)</f>
        <v>45497</v>
      </c>
    </row>
    <row r="1694" spans="1:7" x14ac:dyDescent="0.35">
      <c r="A1694" s="2" t="s">
        <v>4768</v>
      </c>
      <c r="B1694" s="2" t="s">
        <v>4769</v>
      </c>
      <c r="C1694" s="2" t="s">
        <v>4770</v>
      </c>
      <c r="D1694" t="s">
        <v>7108</v>
      </c>
      <c r="E1694" t="s">
        <v>8729</v>
      </c>
      <c r="F1694" t="s">
        <v>0</v>
      </c>
      <c r="G1694" s="1">
        <f>DATE(2024,7,24)</f>
        <v>45497</v>
      </c>
    </row>
    <row r="1695" spans="1:7" x14ac:dyDescent="0.35">
      <c r="A1695" s="2" t="s">
        <v>4771</v>
      </c>
      <c r="B1695" s="2" t="s">
        <v>4772</v>
      </c>
      <c r="C1695" s="2" t="s">
        <v>4773</v>
      </c>
      <c r="D1695" t="s">
        <v>7109</v>
      </c>
      <c r="E1695" t="s">
        <v>8730</v>
      </c>
      <c r="F1695" t="s">
        <v>0</v>
      </c>
      <c r="G1695" s="1">
        <f>DATE(2024,7,24)</f>
        <v>45497</v>
      </c>
    </row>
    <row r="1696" spans="1:7" x14ac:dyDescent="0.35">
      <c r="A1696" s="2" t="s">
        <v>4774</v>
      </c>
      <c r="B1696" s="2" t="s">
        <v>4775</v>
      </c>
      <c r="C1696" s="2" t="s">
        <v>4776</v>
      </c>
      <c r="D1696" t="s">
        <v>7110</v>
      </c>
      <c r="E1696" t="s">
        <v>8731</v>
      </c>
      <c r="F1696" t="s">
        <v>0</v>
      </c>
      <c r="G1696" s="1">
        <f>DATE(2024,7,24)</f>
        <v>45497</v>
      </c>
    </row>
    <row r="1697" spans="1:7" x14ac:dyDescent="0.35">
      <c r="A1697" s="2" t="s">
        <v>4777</v>
      </c>
      <c r="B1697" s="2" t="s">
        <v>4778</v>
      </c>
      <c r="C1697" s="2" t="s">
        <v>4779</v>
      </c>
      <c r="D1697" t="s">
        <v>7111</v>
      </c>
      <c r="E1697" t="s">
        <v>8732</v>
      </c>
      <c r="F1697" t="s">
        <v>0</v>
      </c>
      <c r="G1697" s="1">
        <f>DATE(2024,8,30)</f>
        <v>45534</v>
      </c>
    </row>
    <row r="1698" spans="1:7" x14ac:dyDescent="0.35">
      <c r="A1698" s="2" t="s">
        <v>4780</v>
      </c>
      <c r="B1698" s="2" t="s">
        <v>4781</v>
      </c>
      <c r="C1698" s="2" t="s">
        <v>4782</v>
      </c>
      <c r="D1698" t="s">
        <v>7112</v>
      </c>
      <c r="E1698" t="s">
        <v>8733</v>
      </c>
      <c r="F1698" t="s">
        <v>0</v>
      </c>
      <c r="G1698" s="1">
        <f>DATE(2024,10,14)</f>
        <v>45579</v>
      </c>
    </row>
    <row r="1699" spans="1:7" x14ac:dyDescent="0.35">
      <c r="A1699" s="2" t="s">
        <v>4783</v>
      </c>
      <c r="B1699" s="2" t="s">
        <v>4784</v>
      </c>
      <c r="C1699" s="2" t="s">
        <v>4785</v>
      </c>
      <c r="D1699" t="s">
        <v>7113</v>
      </c>
      <c r="E1699" t="s">
        <v>8734</v>
      </c>
      <c r="F1699" t="s">
        <v>0</v>
      </c>
      <c r="G1699" s="1">
        <f>DATE(2024,10,14)</f>
        <v>45579</v>
      </c>
    </row>
    <row r="1700" spans="1:7" x14ac:dyDescent="0.35">
      <c r="A1700" s="2" t="s">
        <v>4786</v>
      </c>
      <c r="B1700" s="2" t="s">
        <v>4787</v>
      </c>
      <c r="C1700" s="2" t="s">
        <v>4788</v>
      </c>
      <c r="D1700" t="s">
        <v>7114</v>
      </c>
      <c r="E1700" t="s">
        <v>8735</v>
      </c>
      <c r="F1700" t="s">
        <v>0</v>
      </c>
      <c r="G1700" s="1">
        <f>DATE(2024,10,18)</f>
        <v>45583</v>
      </c>
    </row>
    <row r="1701" spans="1:7" x14ac:dyDescent="0.35">
      <c r="A1701" s="2" t="s">
        <v>4789</v>
      </c>
      <c r="B1701" s="2" t="s">
        <v>4790</v>
      </c>
      <c r="C1701" s="2" t="s">
        <v>4791</v>
      </c>
      <c r="D1701" t="s">
        <v>7115</v>
      </c>
      <c r="E1701" t="s">
        <v>8736</v>
      </c>
      <c r="F1701" t="s">
        <v>0</v>
      </c>
      <c r="G1701" s="1">
        <f>DATE(2024,10,18)</f>
        <v>45583</v>
      </c>
    </row>
    <row r="1702" spans="1:7" x14ac:dyDescent="0.35">
      <c r="A1702" s="2" t="s">
        <v>4792</v>
      </c>
      <c r="B1702" s="2" t="s">
        <v>4793</v>
      </c>
      <c r="C1702" s="2" t="s">
        <v>4794</v>
      </c>
      <c r="D1702" t="s">
        <v>7116</v>
      </c>
      <c r="E1702" t="e">
        <v>#VALUE!</v>
      </c>
      <c r="F1702" t="s">
        <v>0</v>
      </c>
      <c r="G1702" s="1">
        <f>DATE(2024,10,18)</f>
        <v>45583</v>
      </c>
    </row>
    <row r="1703" spans="1:7" x14ac:dyDescent="0.35">
      <c r="A1703" s="2" t="s">
        <v>4795</v>
      </c>
      <c r="B1703" s="2" t="s">
        <v>4796</v>
      </c>
      <c r="C1703" s="2" t="s">
        <v>51</v>
      </c>
      <c r="D1703" t="s">
        <v>5757</v>
      </c>
      <c r="E1703" t="s">
        <v>7393</v>
      </c>
      <c r="F1703" t="s">
        <v>0</v>
      </c>
      <c r="G1703" s="1">
        <f>DATE(2024,11,13)</f>
        <v>45609</v>
      </c>
    </row>
    <row r="1704" spans="1:7" x14ac:dyDescent="0.35">
      <c r="A1704" s="2" t="s">
        <v>4797</v>
      </c>
      <c r="B1704" s="2" t="s">
        <v>4798</v>
      </c>
      <c r="C1704" s="2" t="s">
        <v>4799</v>
      </c>
      <c r="D1704" t="s">
        <v>7117</v>
      </c>
      <c r="E1704" t="s">
        <v>8737</v>
      </c>
      <c r="F1704" t="s">
        <v>0</v>
      </c>
      <c r="G1704" s="1">
        <f>DATE(2024,12,4)</f>
        <v>45630</v>
      </c>
    </row>
    <row r="1705" spans="1:7" x14ac:dyDescent="0.35">
      <c r="A1705" s="2" t="s">
        <v>4800</v>
      </c>
      <c r="B1705" s="2" t="s">
        <v>4801</v>
      </c>
      <c r="C1705" s="2" t="s">
        <v>4802</v>
      </c>
      <c r="D1705" t="s">
        <v>7118</v>
      </c>
      <c r="E1705" t="s">
        <v>8738</v>
      </c>
      <c r="F1705" t="s">
        <v>0</v>
      </c>
      <c r="G1705" s="1">
        <f>DATE(2024,12,11)</f>
        <v>45637</v>
      </c>
    </row>
    <row r="1706" spans="1:7" x14ac:dyDescent="0.35">
      <c r="A1706" s="2" t="s">
        <v>4803</v>
      </c>
      <c r="B1706" s="2" t="s">
        <v>4804</v>
      </c>
      <c r="C1706" s="2" t="s">
        <v>4805</v>
      </c>
      <c r="D1706" t="s">
        <v>7119</v>
      </c>
      <c r="E1706" t="s">
        <v>8739</v>
      </c>
      <c r="F1706" t="s">
        <v>0</v>
      </c>
      <c r="G1706" s="1">
        <f>DATE(2024,12,11)</f>
        <v>45637</v>
      </c>
    </row>
    <row r="1707" spans="1:7" x14ac:dyDescent="0.35">
      <c r="A1707" s="2" t="s">
        <v>4806</v>
      </c>
      <c r="B1707" s="2" t="s">
        <v>4807</v>
      </c>
      <c r="C1707" s="2" t="s">
        <v>4808</v>
      </c>
      <c r="D1707" t="s">
        <v>7120</v>
      </c>
      <c r="E1707" t="s">
        <v>8740</v>
      </c>
      <c r="F1707" t="s">
        <v>0</v>
      </c>
      <c r="G1707" s="1">
        <f>DATE(2024,12,31)</f>
        <v>45657</v>
      </c>
    </row>
    <row r="1708" spans="1:7" x14ac:dyDescent="0.35">
      <c r="A1708" s="2" t="s">
        <v>4809</v>
      </c>
      <c r="B1708" s="2" t="s">
        <v>4810</v>
      </c>
      <c r="C1708" s="2" t="s">
        <v>4811</v>
      </c>
      <c r="D1708" t="s">
        <v>7121</v>
      </c>
      <c r="E1708" t="s">
        <v>8741</v>
      </c>
      <c r="F1708" t="s">
        <v>0</v>
      </c>
      <c r="G1708" s="1">
        <f>DATE(2025,1,28)</f>
        <v>45685</v>
      </c>
    </row>
    <row r="1709" spans="1:7" x14ac:dyDescent="0.35">
      <c r="A1709" s="2" t="s">
        <v>4812</v>
      </c>
      <c r="B1709" s="2" t="s">
        <v>4813</v>
      </c>
      <c r="C1709" s="2" t="s">
        <v>4814</v>
      </c>
      <c r="D1709" t="s">
        <v>7122</v>
      </c>
      <c r="E1709" t="s">
        <v>8742</v>
      </c>
      <c r="F1709" t="s">
        <v>0</v>
      </c>
      <c r="G1709" s="1">
        <f>DATE(2025,2,13)</f>
        <v>45701</v>
      </c>
    </row>
    <row r="1710" spans="1:7" x14ac:dyDescent="0.35">
      <c r="A1710" s="2" t="s">
        <v>4815</v>
      </c>
      <c r="B1710" s="2" t="s">
        <v>4816</v>
      </c>
      <c r="C1710" s="2" t="s">
        <v>4817</v>
      </c>
      <c r="D1710" t="s">
        <v>7123</v>
      </c>
      <c r="E1710" t="s">
        <v>8743</v>
      </c>
      <c r="F1710" t="s">
        <v>0</v>
      </c>
      <c r="G1710" s="1">
        <f>DATE(2025,2,17)</f>
        <v>45705</v>
      </c>
    </row>
    <row r="1711" spans="1:7" x14ac:dyDescent="0.35">
      <c r="A1711" s="2" t="s">
        <v>4818</v>
      </c>
      <c r="B1711" s="2" t="s">
        <v>4819</v>
      </c>
      <c r="C1711" s="2" t="s">
        <v>4820</v>
      </c>
      <c r="D1711" t="s">
        <v>7124</v>
      </c>
      <c r="E1711" t="s">
        <v>8744</v>
      </c>
      <c r="F1711" t="s">
        <v>0</v>
      </c>
      <c r="G1711" s="1">
        <f>DATE(2025,3,11)</f>
        <v>45727</v>
      </c>
    </row>
    <row r="1712" spans="1:7" x14ac:dyDescent="0.35">
      <c r="A1712" s="2" t="s">
        <v>4821</v>
      </c>
      <c r="B1712" s="2" t="s">
        <v>4822</v>
      </c>
      <c r="C1712" s="2" t="s">
        <v>4823</v>
      </c>
      <c r="D1712" t="s">
        <v>7125</v>
      </c>
      <c r="E1712" t="s">
        <v>8745</v>
      </c>
      <c r="F1712" t="s">
        <v>0</v>
      </c>
      <c r="G1712" s="1">
        <f>DATE(2025,4,4)</f>
        <v>45751</v>
      </c>
    </row>
    <row r="1713" spans="1:7" x14ac:dyDescent="0.35">
      <c r="A1713" s="2" t="s">
        <v>4824</v>
      </c>
      <c r="B1713" s="2" t="s">
        <v>4825</v>
      </c>
      <c r="C1713" s="2" t="s">
        <v>4826</v>
      </c>
      <c r="D1713" t="s">
        <v>7126</v>
      </c>
      <c r="E1713" t="s">
        <v>8746</v>
      </c>
      <c r="F1713" t="s">
        <v>0</v>
      </c>
      <c r="G1713" s="1">
        <f>DATE(2025,4,9)</f>
        <v>45756</v>
      </c>
    </row>
    <row r="1714" spans="1:7" x14ac:dyDescent="0.35">
      <c r="A1714" s="2" t="s">
        <v>4827</v>
      </c>
      <c r="B1714" s="2" t="s">
        <v>4828</v>
      </c>
      <c r="C1714" s="2" t="s">
        <v>1089</v>
      </c>
      <c r="D1714" t="s">
        <v>6071</v>
      </c>
      <c r="E1714" t="s">
        <v>7708</v>
      </c>
      <c r="F1714" t="s">
        <v>0</v>
      </c>
      <c r="G1714" s="1">
        <f>DATE(2025,4,24)</f>
        <v>45771</v>
      </c>
    </row>
    <row r="1715" spans="1:7" x14ac:dyDescent="0.35">
      <c r="A1715" s="2" t="s">
        <v>4829</v>
      </c>
      <c r="B1715" s="2" t="s">
        <v>4830</v>
      </c>
      <c r="C1715" s="2" t="s">
        <v>4831</v>
      </c>
      <c r="D1715" t="s">
        <v>7127</v>
      </c>
      <c r="E1715" t="s">
        <v>8747</v>
      </c>
      <c r="F1715" t="s">
        <v>0</v>
      </c>
      <c r="G1715" s="1">
        <f>DATE(2025,4,24)</f>
        <v>45771</v>
      </c>
    </row>
    <row r="1716" spans="1:7" x14ac:dyDescent="0.35">
      <c r="A1716" s="2" t="s">
        <v>4832</v>
      </c>
      <c r="B1716" s="2" t="s">
        <v>4833</v>
      </c>
      <c r="C1716" s="2" t="s">
        <v>4834</v>
      </c>
      <c r="D1716" t="s">
        <v>7128</v>
      </c>
      <c r="E1716" t="s">
        <v>8748</v>
      </c>
      <c r="F1716" t="s">
        <v>0</v>
      </c>
      <c r="G1716" s="1">
        <f>DATE(2025,5,2)</f>
        <v>45779</v>
      </c>
    </row>
    <row r="1717" spans="1:7" x14ac:dyDescent="0.35">
      <c r="A1717" s="2" t="s">
        <v>4835</v>
      </c>
      <c r="B1717" s="2" t="s">
        <v>4836</v>
      </c>
      <c r="C1717" s="2" t="s">
        <v>4837</v>
      </c>
      <c r="D1717" t="s">
        <v>7129</v>
      </c>
      <c r="E1717" t="s">
        <v>8749</v>
      </c>
      <c r="F1717" t="s">
        <v>0</v>
      </c>
      <c r="G1717" s="1">
        <f>DATE(2024,2,29)</f>
        <v>45351</v>
      </c>
    </row>
    <row r="1718" spans="1:7" x14ac:dyDescent="0.35">
      <c r="A1718" s="2" t="s">
        <v>4838</v>
      </c>
      <c r="B1718" s="2" t="s">
        <v>4839</v>
      </c>
      <c r="D1718" t="s">
        <v>5756</v>
      </c>
      <c r="E1718" t="e">
        <v>#VALUE!</v>
      </c>
      <c r="F1718" t="s">
        <v>0</v>
      </c>
      <c r="G1718" s="1">
        <f>DATE(2024,2,29)</f>
        <v>45351</v>
      </c>
    </row>
    <row r="1719" spans="1:7" x14ac:dyDescent="0.35">
      <c r="A1719" s="2" t="s">
        <v>4840</v>
      </c>
      <c r="B1719" s="2" t="s">
        <v>4841</v>
      </c>
      <c r="D1719" t="s">
        <v>5756</v>
      </c>
      <c r="E1719" t="e">
        <v>#VALUE!</v>
      </c>
      <c r="F1719" t="s">
        <v>0</v>
      </c>
      <c r="G1719" s="1">
        <f>DATE(2024,3,6)</f>
        <v>45357</v>
      </c>
    </row>
    <row r="1720" spans="1:7" x14ac:dyDescent="0.35">
      <c r="A1720" s="2" t="s">
        <v>4842</v>
      </c>
      <c r="B1720" s="2" t="s">
        <v>4843</v>
      </c>
      <c r="D1720" t="s">
        <v>5756</v>
      </c>
      <c r="E1720" t="e">
        <v>#VALUE!</v>
      </c>
      <c r="F1720" t="s">
        <v>0</v>
      </c>
      <c r="G1720" s="1">
        <f>DATE(2024,3,8)</f>
        <v>45359</v>
      </c>
    </row>
    <row r="1721" spans="1:7" x14ac:dyDescent="0.35">
      <c r="A1721" s="2" t="s">
        <v>4844</v>
      </c>
      <c r="B1721" s="2" t="s">
        <v>4845</v>
      </c>
      <c r="D1721" t="s">
        <v>5756</v>
      </c>
      <c r="E1721" t="e">
        <v>#VALUE!</v>
      </c>
      <c r="F1721" t="s">
        <v>0</v>
      </c>
      <c r="G1721" s="1">
        <f>DATE(2024,3,8)</f>
        <v>45359</v>
      </c>
    </row>
    <row r="1722" spans="1:7" x14ac:dyDescent="0.35">
      <c r="A1722" s="2" t="s">
        <v>4846</v>
      </c>
      <c r="B1722" s="2" t="s">
        <v>4847</v>
      </c>
      <c r="D1722" t="s">
        <v>5756</v>
      </c>
      <c r="E1722" t="e">
        <v>#VALUE!</v>
      </c>
      <c r="F1722" t="s">
        <v>0</v>
      </c>
      <c r="G1722" s="1">
        <f>DATE(2024,3,12)</f>
        <v>45363</v>
      </c>
    </row>
    <row r="1723" spans="1:7" x14ac:dyDescent="0.35">
      <c r="A1723" s="2" t="s">
        <v>4848</v>
      </c>
      <c r="B1723" s="2" t="s">
        <v>4849</v>
      </c>
      <c r="D1723" t="s">
        <v>5756</v>
      </c>
      <c r="E1723" t="e">
        <v>#VALUE!</v>
      </c>
      <c r="F1723" t="s">
        <v>0</v>
      </c>
      <c r="G1723" s="1">
        <f>DATE(2024,3,14)</f>
        <v>45365</v>
      </c>
    </row>
    <row r="1724" spans="1:7" x14ac:dyDescent="0.35">
      <c r="A1724" s="2" t="s">
        <v>4850</v>
      </c>
      <c r="B1724" s="2" t="s">
        <v>4851</v>
      </c>
      <c r="D1724" t="s">
        <v>5756</v>
      </c>
      <c r="E1724" t="e">
        <v>#VALUE!</v>
      </c>
      <c r="F1724" t="s">
        <v>0</v>
      </c>
      <c r="G1724" s="1">
        <f>DATE(2024,3,14)</f>
        <v>45365</v>
      </c>
    </row>
    <row r="1725" spans="1:7" x14ac:dyDescent="0.35">
      <c r="A1725" s="2" t="s">
        <v>4852</v>
      </c>
      <c r="B1725" s="2" t="s">
        <v>4853</v>
      </c>
      <c r="D1725" t="s">
        <v>5756</v>
      </c>
      <c r="E1725" t="e">
        <v>#VALUE!</v>
      </c>
      <c r="F1725" t="s">
        <v>0</v>
      </c>
      <c r="G1725" s="1">
        <f>DATE(2024,3,14)</f>
        <v>45365</v>
      </c>
    </row>
    <row r="1726" spans="1:7" x14ac:dyDescent="0.35">
      <c r="A1726" s="2" t="s">
        <v>4854</v>
      </c>
      <c r="B1726" s="2" t="s">
        <v>4855</v>
      </c>
      <c r="D1726" t="s">
        <v>5756</v>
      </c>
      <c r="E1726" t="e">
        <v>#VALUE!</v>
      </c>
      <c r="F1726" t="s">
        <v>0</v>
      </c>
      <c r="G1726" s="1">
        <f>DATE(2024,3,14)</f>
        <v>45365</v>
      </c>
    </row>
    <row r="1727" spans="1:7" x14ac:dyDescent="0.35">
      <c r="A1727" s="2" t="s">
        <v>4856</v>
      </c>
      <c r="B1727" s="2" t="s">
        <v>4857</v>
      </c>
      <c r="D1727" t="s">
        <v>5756</v>
      </c>
      <c r="E1727" t="e">
        <v>#VALUE!</v>
      </c>
      <c r="F1727" t="s">
        <v>0</v>
      </c>
      <c r="G1727" s="1">
        <f>DATE(2024,3,14)</f>
        <v>45365</v>
      </c>
    </row>
    <row r="1728" spans="1:7" x14ac:dyDescent="0.35">
      <c r="A1728" s="2" t="s">
        <v>4858</v>
      </c>
      <c r="B1728" s="2" t="s">
        <v>4859</v>
      </c>
      <c r="D1728" t="s">
        <v>5756</v>
      </c>
      <c r="E1728" t="e">
        <v>#VALUE!</v>
      </c>
      <c r="F1728" t="s">
        <v>0</v>
      </c>
      <c r="G1728" s="1">
        <f>DATE(2024,3,25)</f>
        <v>45376</v>
      </c>
    </row>
    <row r="1729" spans="1:7" x14ac:dyDescent="0.35">
      <c r="A1729" s="2" t="s">
        <v>4860</v>
      </c>
      <c r="B1729" s="2" t="s">
        <v>4861</v>
      </c>
      <c r="D1729" t="s">
        <v>5756</v>
      </c>
      <c r="E1729" t="e">
        <v>#VALUE!</v>
      </c>
      <c r="F1729" t="s">
        <v>0</v>
      </c>
      <c r="G1729" s="1">
        <f>DATE(2024,3,18)</f>
        <v>45369</v>
      </c>
    </row>
    <row r="1730" spans="1:7" x14ac:dyDescent="0.35">
      <c r="A1730" s="2" t="s">
        <v>4862</v>
      </c>
      <c r="B1730" s="2" t="s">
        <v>4863</v>
      </c>
      <c r="D1730" t="s">
        <v>5756</v>
      </c>
      <c r="E1730" t="e">
        <v>#VALUE!</v>
      </c>
      <c r="F1730" t="s">
        <v>0</v>
      </c>
      <c r="G1730" s="1">
        <f>DATE(2024,3,19)</f>
        <v>45370</v>
      </c>
    </row>
    <row r="1731" spans="1:7" x14ac:dyDescent="0.35">
      <c r="A1731" s="2" t="s">
        <v>4864</v>
      </c>
      <c r="B1731" s="2" t="s">
        <v>4865</v>
      </c>
      <c r="D1731" t="s">
        <v>5756</v>
      </c>
      <c r="E1731" t="e">
        <v>#VALUE!</v>
      </c>
      <c r="F1731" t="s">
        <v>0</v>
      </c>
      <c r="G1731" s="1">
        <f>DATE(2024,3,19)</f>
        <v>45370</v>
      </c>
    </row>
    <row r="1732" spans="1:7" x14ac:dyDescent="0.35">
      <c r="A1732" s="2" t="s">
        <v>4866</v>
      </c>
      <c r="B1732" s="2" t="s">
        <v>4867</v>
      </c>
      <c r="D1732" t="s">
        <v>5756</v>
      </c>
      <c r="E1732" t="e">
        <v>#VALUE!</v>
      </c>
      <c r="F1732" t="s">
        <v>0</v>
      </c>
      <c r="G1732" s="1">
        <f>DATE(2024,3,19)</f>
        <v>45370</v>
      </c>
    </row>
    <row r="1733" spans="1:7" x14ac:dyDescent="0.35">
      <c r="A1733" s="2" t="s">
        <v>4868</v>
      </c>
      <c r="B1733" s="2" t="s">
        <v>4869</v>
      </c>
      <c r="D1733" t="s">
        <v>5756</v>
      </c>
      <c r="E1733" t="e">
        <v>#VALUE!</v>
      </c>
      <c r="F1733" t="s">
        <v>0</v>
      </c>
      <c r="G1733" s="1">
        <f>DATE(2024,3,19)</f>
        <v>45370</v>
      </c>
    </row>
    <row r="1734" spans="1:7" x14ac:dyDescent="0.35">
      <c r="A1734" s="2" t="s">
        <v>4870</v>
      </c>
      <c r="B1734" s="2" t="s">
        <v>4871</v>
      </c>
      <c r="D1734" t="s">
        <v>5756</v>
      </c>
      <c r="E1734" t="e">
        <v>#VALUE!</v>
      </c>
      <c r="F1734" t="s">
        <v>0</v>
      </c>
      <c r="G1734" s="1">
        <f t="shared" ref="G1734:G1739" si="22">DATE(2024,3,28)</f>
        <v>45379</v>
      </c>
    </row>
    <row r="1735" spans="1:7" x14ac:dyDescent="0.35">
      <c r="A1735" s="2" t="s">
        <v>4872</v>
      </c>
      <c r="B1735" s="2" t="s">
        <v>4873</v>
      </c>
      <c r="D1735" t="s">
        <v>5756</v>
      </c>
      <c r="E1735" t="e">
        <v>#VALUE!</v>
      </c>
      <c r="F1735" t="s">
        <v>0</v>
      </c>
      <c r="G1735" s="1">
        <f t="shared" si="22"/>
        <v>45379</v>
      </c>
    </row>
    <row r="1736" spans="1:7" x14ac:dyDescent="0.35">
      <c r="A1736" s="2" t="s">
        <v>4874</v>
      </c>
      <c r="B1736" s="2" t="s">
        <v>4875</v>
      </c>
      <c r="D1736" t="s">
        <v>5756</v>
      </c>
      <c r="E1736" t="e">
        <v>#VALUE!</v>
      </c>
      <c r="F1736" t="s">
        <v>0</v>
      </c>
      <c r="G1736" s="1">
        <f t="shared" si="22"/>
        <v>45379</v>
      </c>
    </row>
    <row r="1737" spans="1:7" x14ac:dyDescent="0.35">
      <c r="A1737" s="2" t="s">
        <v>4876</v>
      </c>
      <c r="B1737" s="2" t="s">
        <v>4877</v>
      </c>
      <c r="D1737" t="s">
        <v>5756</v>
      </c>
      <c r="E1737" t="e">
        <v>#VALUE!</v>
      </c>
      <c r="F1737" t="s">
        <v>0</v>
      </c>
      <c r="G1737" s="1">
        <f t="shared" si="22"/>
        <v>45379</v>
      </c>
    </row>
    <row r="1738" spans="1:7" x14ac:dyDescent="0.35">
      <c r="A1738" s="2" t="s">
        <v>4878</v>
      </c>
      <c r="B1738" s="2" t="s">
        <v>4879</v>
      </c>
      <c r="D1738" t="s">
        <v>5756</v>
      </c>
      <c r="E1738" t="e">
        <v>#VALUE!</v>
      </c>
      <c r="F1738" t="s">
        <v>0</v>
      </c>
      <c r="G1738" s="1">
        <f t="shared" si="22"/>
        <v>45379</v>
      </c>
    </row>
    <row r="1739" spans="1:7" x14ac:dyDescent="0.35">
      <c r="A1739" s="2" t="s">
        <v>4880</v>
      </c>
      <c r="B1739" s="2" t="s">
        <v>4881</v>
      </c>
      <c r="D1739" t="s">
        <v>5756</v>
      </c>
      <c r="E1739" t="e">
        <v>#VALUE!</v>
      </c>
      <c r="F1739" t="s">
        <v>0</v>
      </c>
      <c r="G1739" s="1">
        <f t="shared" si="22"/>
        <v>45379</v>
      </c>
    </row>
    <row r="1740" spans="1:7" x14ac:dyDescent="0.35">
      <c r="A1740" s="2" t="s">
        <v>4882</v>
      </c>
      <c r="B1740" s="2" t="s">
        <v>4883</v>
      </c>
      <c r="D1740" t="s">
        <v>5756</v>
      </c>
      <c r="E1740" t="e">
        <v>#VALUE!</v>
      </c>
      <c r="F1740" t="s">
        <v>0</v>
      </c>
      <c r="G1740" s="1">
        <f>DATE(2024,3,20)</f>
        <v>45371</v>
      </c>
    </row>
    <row r="1741" spans="1:7" x14ac:dyDescent="0.35">
      <c r="A1741" s="2" t="s">
        <v>4884</v>
      </c>
      <c r="B1741" s="2" t="s">
        <v>4885</v>
      </c>
      <c r="D1741" t="s">
        <v>5756</v>
      </c>
      <c r="E1741" t="e">
        <v>#VALUE!</v>
      </c>
      <c r="F1741" t="s">
        <v>0</v>
      </c>
      <c r="G1741" s="1">
        <f>DATE(2024,3,20)</f>
        <v>45371</v>
      </c>
    </row>
    <row r="1742" spans="1:7" x14ac:dyDescent="0.35">
      <c r="A1742" s="2" t="s">
        <v>4886</v>
      </c>
      <c r="B1742" s="2" t="s">
        <v>4887</v>
      </c>
      <c r="C1742" s="2" t="s">
        <v>4888</v>
      </c>
      <c r="D1742" t="s">
        <v>7130</v>
      </c>
      <c r="E1742" t="e">
        <v>#VALUE!</v>
      </c>
      <c r="F1742" t="s">
        <v>0</v>
      </c>
      <c r="G1742" s="1">
        <f>DATE(2024,3,21)</f>
        <v>45372</v>
      </c>
    </row>
    <row r="1743" spans="1:7" x14ac:dyDescent="0.35">
      <c r="A1743" s="2" t="s">
        <v>4889</v>
      </c>
      <c r="B1743" s="2" t="s">
        <v>4890</v>
      </c>
      <c r="D1743" t="s">
        <v>5756</v>
      </c>
      <c r="E1743" t="e">
        <v>#VALUE!</v>
      </c>
      <c r="F1743" t="s">
        <v>0</v>
      </c>
      <c r="G1743" s="1">
        <f>DATE(2024,3,21)</f>
        <v>45372</v>
      </c>
    </row>
    <row r="1744" spans="1:7" x14ac:dyDescent="0.35">
      <c r="A1744" s="2" t="s">
        <v>4891</v>
      </c>
      <c r="B1744" s="2" t="s">
        <v>4892</v>
      </c>
      <c r="D1744" t="s">
        <v>5756</v>
      </c>
      <c r="E1744" t="e">
        <v>#VALUE!</v>
      </c>
      <c r="F1744" t="s">
        <v>0</v>
      </c>
      <c r="G1744" s="1">
        <f>DATE(2024,3,23)</f>
        <v>45374</v>
      </c>
    </row>
    <row r="1745" spans="1:7" x14ac:dyDescent="0.35">
      <c r="A1745" s="2" t="s">
        <v>4893</v>
      </c>
      <c r="B1745" s="2" t="s">
        <v>4894</v>
      </c>
      <c r="C1745" s="2" t="s">
        <v>4895</v>
      </c>
      <c r="D1745" t="s">
        <v>7131</v>
      </c>
      <c r="E1745" t="s">
        <v>8750</v>
      </c>
      <c r="F1745" t="s">
        <v>0</v>
      </c>
      <c r="G1745" s="1">
        <f>DATE(2024,3,25)</f>
        <v>45376</v>
      </c>
    </row>
    <row r="1746" spans="1:7" x14ac:dyDescent="0.35">
      <c r="A1746" s="2" t="s">
        <v>4896</v>
      </c>
      <c r="B1746" s="2" t="s">
        <v>4897</v>
      </c>
      <c r="D1746" t="s">
        <v>5756</v>
      </c>
      <c r="E1746" t="e">
        <v>#VALUE!</v>
      </c>
      <c r="F1746" t="s">
        <v>0</v>
      </c>
      <c r="G1746" s="1">
        <f>DATE(2024,3,25)</f>
        <v>45376</v>
      </c>
    </row>
    <row r="1747" spans="1:7" x14ac:dyDescent="0.35">
      <c r="A1747" s="2" t="s">
        <v>4898</v>
      </c>
      <c r="B1747" s="2" t="s">
        <v>4899</v>
      </c>
      <c r="D1747" t="s">
        <v>5756</v>
      </c>
      <c r="E1747" t="e">
        <v>#VALUE!</v>
      </c>
      <c r="F1747" t="s">
        <v>0</v>
      </c>
      <c r="G1747" s="1">
        <f>DATE(2024,3,27)</f>
        <v>45378</v>
      </c>
    </row>
    <row r="1748" spans="1:7" x14ac:dyDescent="0.35">
      <c r="A1748" s="2" t="s">
        <v>4900</v>
      </c>
      <c r="B1748" s="2" t="s">
        <v>4901</v>
      </c>
      <c r="D1748" t="s">
        <v>5756</v>
      </c>
      <c r="E1748" t="e">
        <v>#VALUE!</v>
      </c>
      <c r="F1748" t="s">
        <v>0</v>
      </c>
      <c r="G1748" s="1">
        <f>DATE(2024,3,28)</f>
        <v>45379</v>
      </c>
    </row>
    <row r="1749" spans="1:7" x14ac:dyDescent="0.35">
      <c r="A1749" s="2" t="s">
        <v>4902</v>
      </c>
      <c r="B1749" s="2" t="s">
        <v>4903</v>
      </c>
      <c r="D1749" t="s">
        <v>5756</v>
      </c>
      <c r="E1749" t="e">
        <v>#VALUE!</v>
      </c>
      <c r="F1749" t="s">
        <v>0</v>
      </c>
      <c r="G1749" s="1">
        <f>DATE(2024,3,8)</f>
        <v>45359</v>
      </c>
    </row>
    <row r="1750" spans="1:7" x14ac:dyDescent="0.35">
      <c r="A1750" s="2" t="s">
        <v>4904</v>
      </c>
      <c r="B1750" s="2" t="s">
        <v>4905</v>
      </c>
      <c r="D1750" t="s">
        <v>5756</v>
      </c>
      <c r="E1750" t="e">
        <v>#VALUE!</v>
      </c>
      <c r="F1750" t="s">
        <v>0</v>
      </c>
      <c r="G1750" s="1">
        <f>DATE(2024,3,20)</f>
        <v>45371</v>
      </c>
    </row>
    <row r="1751" spans="1:7" x14ac:dyDescent="0.35">
      <c r="A1751" s="2" t="s">
        <v>4906</v>
      </c>
      <c r="B1751" s="2" t="s">
        <v>4907</v>
      </c>
      <c r="D1751" t="s">
        <v>5756</v>
      </c>
      <c r="E1751" t="e">
        <v>#VALUE!</v>
      </c>
      <c r="F1751" t="s">
        <v>0</v>
      </c>
      <c r="G1751" s="1">
        <f>DATE(2024,3,22)</f>
        <v>45373</v>
      </c>
    </row>
    <row r="1752" spans="1:7" x14ac:dyDescent="0.35">
      <c r="A1752" s="2" t="s">
        <v>4908</v>
      </c>
      <c r="B1752" s="2" t="s">
        <v>4909</v>
      </c>
      <c r="C1752" s="2" t="s">
        <v>4910</v>
      </c>
      <c r="D1752" t="s">
        <v>7132</v>
      </c>
      <c r="E1752" t="s">
        <v>8751</v>
      </c>
      <c r="F1752" t="s">
        <v>0</v>
      </c>
      <c r="G1752" s="1">
        <f>DATE(2024,5,30)</f>
        <v>45442</v>
      </c>
    </row>
    <row r="1753" spans="1:7" x14ac:dyDescent="0.35">
      <c r="A1753" s="2" t="s">
        <v>4911</v>
      </c>
      <c r="B1753" s="2" t="s">
        <v>4912</v>
      </c>
      <c r="C1753" s="2" t="s">
        <v>4913</v>
      </c>
      <c r="D1753" t="s">
        <v>7133</v>
      </c>
      <c r="E1753" t="s">
        <v>8752</v>
      </c>
      <c r="F1753" t="s">
        <v>0</v>
      </c>
      <c r="G1753" s="1">
        <f>DATE(2024,6,14)</f>
        <v>45457</v>
      </c>
    </row>
    <row r="1754" spans="1:7" x14ac:dyDescent="0.35">
      <c r="A1754" s="2" t="s">
        <v>4914</v>
      </c>
      <c r="B1754" s="2" t="s">
        <v>4915</v>
      </c>
      <c r="C1754" s="2" t="s">
        <v>4916</v>
      </c>
      <c r="D1754" t="s">
        <v>7134</v>
      </c>
      <c r="E1754" t="s">
        <v>8753</v>
      </c>
      <c r="F1754" t="s">
        <v>0</v>
      </c>
      <c r="G1754" s="1">
        <f>DATE(2024,7,22)</f>
        <v>45495</v>
      </c>
    </row>
    <row r="1755" spans="1:7" x14ac:dyDescent="0.35">
      <c r="A1755" s="2" t="s">
        <v>4917</v>
      </c>
      <c r="B1755" s="2" t="s">
        <v>4918</v>
      </c>
      <c r="C1755" s="2" t="s">
        <v>4919</v>
      </c>
      <c r="D1755" t="s">
        <v>7135</v>
      </c>
      <c r="E1755" t="s">
        <v>8754</v>
      </c>
      <c r="F1755" t="s">
        <v>0</v>
      </c>
      <c r="G1755" s="1">
        <f>DATE(2024,7,22)</f>
        <v>45495</v>
      </c>
    </row>
    <row r="1756" spans="1:7" x14ac:dyDescent="0.35">
      <c r="A1756" s="2" t="s">
        <v>4920</v>
      </c>
      <c r="B1756" s="2" t="s">
        <v>4921</v>
      </c>
      <c r="C1756" s="2" t="s">
        <v>4922</v>
      </c>
      <c r="D1756" t="s">
        <v>7136</v>
      </c>
      <c r="E1756" t="s">
        <v>8755</v>
      </c>
      <c r="F1756" t="s">
        <v>0</v>
      </c>
      <c r="G1756" s="1">
        <f>DATE(2024,7,23)</f>
        <v>45496</v>
      </c>
    </row>
    <row r="1757" spans="1:7" x14ac:dyDescent="0.35">
      <c r="A1757" s="2" t="s">
        <v>4923</v>
      </c>
      <c r="B1757" s="2" t="s">
        <v>4924</v>
      </c>
      <c r="C1757" s="2" t="s">
        <v>4925</v>
      </c>
      <c r="D1757" t="s">
        <v>7137</v>
      </c>
      <c r="E1757" t="s">
        <v>8756</v>
      </c>
      <c r="F1757" t="s">
        <v>0</v>
      </c>
      <c r="G1757" s="1">
        <f>DATE(2024,7,23)</f>
        <v>45496</v>
      </c>
    </row>
    <row r="1758" spans="1:7" x14ac:dyDescent="0.35">
      <c r="A1758" s="2" t="s">
        <v>4926</v>
      </c>
      <c r="B1758" s="2" t="s">
        <v>4927</v>
      </c>
      <c r="C1758" s="2" t="s">
        <v>4928</v>
      </c>
      <c r="D1758" t="s">
        <v>5830</v>
      </c>
      <c r="E1758" t="s">
        <v>7466</v>
      </c>
      <c r="F1758" t="s">
        <v>0</v>
      </c>
      <c r="G1758" s="1">
        <f t="shared" ref="G1758:G1763" si="23">DATE(2024,7,24)</f>
        <v>45497</v>
      </c>
    </row>
    <row r="1759" spans="1:7" x14ac:dyDescent="0.35">
      <c r="A1759" s="2" t="s">
        <v>4929</v>
      </c>
      <c r="B1759" s="2" t="s">
        <v>4930</v>
      </c>
      <c r="C1759" s="2" t="s">
        <v>4931</v>
      </c>
      <c r="D1759" t="s">
        <v>7138</v>
      </c>
      <c r="E1759" t="s">
        <v>8757</v>
      </c>
      <c r="F1759" t="s">
        <v>0</v>
      </c>
      <c r="G1759" s="1">
        <f t="shared" si="23"/>
        <v>45497</v>
      </c>
    </row>
    <row r="1760" spans="1:7" x14ac:dyDescent="0.35">
      <c r="A1760" s="2" t="s">
        <v>4932</v>
      </c>
      <c r="B1760" s="2" t="s">
        <v>4933</v>
      </c>
      <c r="C1760" s="2" t="s">
        <v>4934</v>
      </c>
      <c r="D1760" t="s">
        <v>7139</v>
      </c>
      <c r="E1760" t="s">
        <v>8758</v>
      </c>
      <c r="F1760" t="s">
        <v>0</v>
      </c>
      <c r="G1760" s="1">
        <f t="shared" si="23"/>
        <v>45497</v>
      </c>
    </row>
    <row r="1761" spans="1:7" x14ac:dyDescent="0.35">
      <c r="A1761" s="2" t="s">
        <v>4935</v>
      </c>
      <c r="B1761" s="2" t="s">
        <v>4936</v>
      </c>
      <c r="C1761" s="2" t="s">
        <v>4937</v>
      </c>
      <c r="D1761" t="s">
        <v>7140</v>
      </c>
      <c r="E1761" t="s">
        <v>8759</v>
      </c>
      <c r="F1761" t="s">
        <v>0</v>
      </c>
      <c r="G1761" s="1">
        <f t="shared" si="23"/>
        <v>45497</v>
      </c>
    </row>
    <row r="1762" spans="1:7" x14ac:dyDescent="0.35">
      <c r="A1762" s="2" t="s">
        <v>4938</v>
      </c>
      <c r="B1762" s="2" t="s">
        <v>4939</v>
      </c>
      <c r="C1762" s="2" t="s">
        <v>4940</v>
      </c>
      <c r="D1762" t="s">
        <v>7141</v>
      </c>
      <c r="E1762" t="s">
        <v>8760</v>
      </c>
      <c r="F1762" t="s">
        <v>0</v>
      </c>
      <c r="G1762" s="1">
        <f t="shared" si="23"/>
        <v>45497</v>
      </c>
    </row>
    <row r="1763" spans="1:7" x14ac:dyDescent="0.35">
      <c r="A1763" s="2" t="s">
        <v>4941</v>
      </c>
      <c r="B1763" s="2" t="s">
        <v>4942</v>
      </c>
      <c r="C1763" s="2" t="s">
        <v>4943</v>
      </c>
      <c r="D1763" t="s">
        <v>7142</v>
      </c>
      <c r="E1763" t="s">
        <v>8761</v>
      </c>
      <c r="F1763" t="s">
        <v>0</v>
      </c>
      <c r="G1763" s="1">
        <f t="shared" si="23"/>
        <v>45497</v>
      </c>
    </row>
    <row r="1764" spans="1:7" x14ac:dyDescent="0.35">
      <c r="A1764" s="2" t="s">
        <v>4944</v>
      </c>
      <c r="B1764" s="2" t="s">
        <v>4945</v>
      </c>
      <c r="C1764" s="2" t="s">
        <v>4946</v>
      </c>
      <c r="D1764" t="s">
        <v>7143</v>
      </c>
      <c r="E1764" t="s">
        <v>8762</v>
      </c>
      <c r="F1764" t="s">
        <v>0</v>
      </c>
      <c r="G1764" s="1">
        <f>DATE(2024,4,24)</f>
        <v>45406</v>
      </c>
    </row>
    <row r="1765" spans="1:7" x14ac:dyDescent="0.35">
      <c r="A1765" s="2" t="s">
        <v>4947</v>
      </c>
      <c r="B1765" s="2" t="s">
        <v>4948</v>
      </c>
      <c r="C1765" s="2" t="s">
        <v>4949</v>
      </c>
      <c r="D1765" t="s">
        <v>7144</v>
      </c>
      <c r="E1765" t="s">
        <v>8763</v>
      </c>
      <c r="F1765" t="s">
        <v>0</v>
      </c>
      <c r="G1765" s="1">
        <f>DATE(2024,4,24)</f>
        <v>45406</v>
      </c>
    </row>
    <row r="1766" spans="1:7" x14ac:dyDescent="0.35">
      <c r="A1766" s="2" t="s">
        <v>4950</v>
      </c>
      <c r="B1766" s="2" t="s">
        <v>4951</v>
      </c>
      <c r="C1766" s="2" t="s">
        <v>4952</v>
      </c>
      <c r="D1766" t="s">
        <v>7145</v>
      </c>
      <c r="E1766" t="s">
        <v>8764</v>
      </c>
      <c r="F1766" t="s">
        <v>0</v>
      </c>
      <c r="G1766" s="1">
        <f>DATE(2024,4,24)</f>
        <v>45406</v>
      </c>
    </row>
    <row r="1767" spans="1:7" x14ac:dyDescent="0.35">
      <c r="A1767" s="2" t="s">
        <v>4953</v>
      </c>
      <c r="B1767" s="2" t="s">
        <v>4954</v>
      </c>
      <c r="C1767" s="2" t="s">
        <v>4955</v>
      </c>
      <c r="D1767" t="s">
        <v>7146</v>
      </c>
      <c r="E1767" t="e">
        <v>#VALUE!</v>
      </c>
      <c r="F1767" t="s">
        <v>0</v>
      </c>
      <c r="G1767" s="1">
        <f>DATE(2024,4,26)</f>
        <v>45408</v>
      </c>
    </row>
    <row r="1768" spans="1:7" x14ac:dyDescent="0.35">
      <c r="A1768" s="2" t="s">
        <v>4956</v>
      </c>
      <c r="B1768" s="2" t="s">
        <v>4957</v>
      </c>
      <c r="C1768" s="2" t="s">
        <v>4958</v>
      </c>
      <c r="D1768" t="s">
        <v>7147</v>
      </c>
      <c r="E1768" t="s">
        <v>8765</v>
      </c>
      <c r="F1768" t="s">
        <v>0</v>
      </c>
      <c r="G1768" s="1">
        <f>DATE(2024,5,15)</f>
        <v>45427</v>
      </c>
    </row>
    <row r="1769" spans="1:7" x14ac:dyDescent="0.35">
      <c r="A1769" s="2" t="s">
        <v>4959</v>
      </c>
      <c r="B1769" s="2" t="s">
        <v>4960</v>
      </c>
      <c r="D1769" t="s">
        <v>5756</v>
      </c>
      <c r="E1769" t="e">
        <v>#VALUE!</v>
      </c>
      <c r="F1769" t="s">
        <v>0</v>
      </c>
      <c r="G1769" s="1">
        <f>DATE(2024,5,24)</f>
        <v>45436</v>
      </c>
    </row>
    <row r="1770" spans="1:7" x14ac:dyDescent="0.35">
      <c r="A1770" s="2" t="s">
        <v>4961</v>
      </c>
      <c r="B1770" s="2" t="s">
        <v>4962</v>
      </c>
      <c r="C1770" s="2" t="s">
        <v>4963</v>
      </c>
      <c r="D1770" t="s">
        <v>7148</v>
      </c>
      <c r="E1770" t="e">
        <v>#VALUE!</v>
      </c>
      <c r="F1770" t="s">
        <v>0</v>
      </c>
      <c r="G1770" s="1">
        <f>DATE(2024,5,24)</f>
        <v>45436</v>
      </c>
    </row>
    <row r="1771" spans="1:7" x14ac:dyDescent="0.35">
      <c r="A1771" s="2" t="s">
        <v>4964</v>
      </c>
      <c r="B1771" s="2" t="s">
        <v>4965</v>
      </c>
      <c r="C1771" s="2" t="s">
        <v>4966</v>
      </c>
      <c r="D1771" t="s">
        <v>7149</v>
      </c>
      <c r="E1771" t="s">
        <v>8766</v>
      </c>
      <c r="F1771" t="s">
        <v>0</v>
      </c>
      <c r="G1771" s="1">
        <f>DATE(2024,5,24)</f>
        <v>45436</v>
      </c>
    </row>
    <row r="1772" spans="1:7" x14ac:dyDescent="0.35">
      <c r="A1772" s="2" t="s">
        <v>4967</v>
      </c>
      <c r="B1772" s="2" t="s">
        <v>4968</v>
      </c>
      <c r="D1772" t="s">
        <v>5756</v>
      </c>
      <c r="E1772" t="e">
        <v>#VALUE!</v>
      </c>
      <c r="F1772" t="s">
        <v>0</v>
      </c>
      <c r="G1772" s="1">
        <f>DATE(2024,5,24)</f>
        <v>45436</v>
      </c>
    </row>
    <row r="1773" spans="1:7" x14ac:dyDescent="0.35">
      <c r="A1773" s="2" t="s">
        <v>4969</v>
      </c>
      <c r="B1773" s="2" t="s">
        <v>4970</v>
      </c>
      <c r="C1773" s="2" t="s">
        <v>4971</v>
      </c>
      <c r="D1773" t="s">
        <v>7150</v>
      </c>
      <c r="E1773" t="s">
        <v>8767</v>
      </c>
      <c r="F1773" t="s">
        <v>0</v>
      </c>
      <c r="G1773" s="1">
        <f>DATE(2024,6,10)</f>
        <v>45453</v>
      </c>
    </row>
    <row r="1774" spans="1:7" x14ac:dyDescent="0.35">
      <c r="A1774" s="2" t="s">
        <v>4972</v>
      </c>
      <c r="B1774" s="2" t="s">
        <v>4973</v>
      </c>
      <c r="C1774" s="2" t="s">
        <v>4974</v>
      </c>
      <c r="D1774" t="s">
        <v>7151</v>
      </c>
      <c r="E1774" t="s">
        <v>8768</v>
      </c>
      <c r="F1774" t="s">
        <v>0</v>
      </c>
      <c r="G1774" s="1">
        <f>DATE(2024,7,23)</f>
        <v>45496</v>
      </c>
    </row>
    <row r="1775" spans="1:7" x14ac:dyDescent="0.35">
      <c r="A1775" s="2" t="s">
        <v>4975</v>
      </c>
      <c r="B1775" s="2" t="s">
        <v>4976</v>
      </c>
      <c r="C1775" s="2" t="s">
        <v>4977</v>
      </c>
      <c r="D1775" t="s">
        <v>7152</v>
      </c>
      <c r="E1775" t="s">
        <v>8769</v>
      </c>
      <c r="F1775" t="s">
        <v>0</v>
      </c>
      <c r="G1775" s="1">
        <f>DATE(2024,6,14)</f>
        <v>45457</v>
      </c>
    </row>
    <row r="1776" spans="1:7" x14ac:dyDescent="0.35">
      <c r="A1776" s="2" t="s">
        <v>4978</v>
      </c>
      <c r="B1776" s="2" t="s">
        <v>4979</v>
      </c>
      <c r="C1776" s="2" t="s">
        <v>4980</v>
      </c>
      <c r="D1776" t="s">
        <v>7153</v>
      </c>
      <c r="E1776" t="s">
        <v>8770</v>
      </c>
      <c r="F1776" t="s">
        <v>0</v>
      </c>
      <c r="G1776" s="1">
        <f>DATE(2024,7,22)</f>
        <v>45495</v>
      </c>
    </row>
    <row r="1777" spans="1:7" x14ac:dyDescent="0.35">
      <c r="A1777" s="2" t="s">
        <v>4981</v>
      </c>
      <c r="B1777" s="2" t="s">
        <v>4982</v>
      </c>
      <c r="C1777" s="2" t="s">
        <v>4983</v>
      </c>
      <c r="D1777" t="s">
        <v>5830</v>
      </c>
      <c r="E1777" t="s">
        <v>7466</v>
      </c>
      <c r="F1777" t="s">
        <v>0</v>
      </c>
      <c r="G1777" s="1">
        <f t="shared" ref="G1777:G1783" si="24">DATE(2024,7,23)</f>
        <v>45496</v>
      </c>
    </row>
    <row r="1778" spans="1:7" x14ac:dyDescent="0.35">
      <c r="A1778" s="2" t="s">
        <v>4984</v>
      </c>
      <c r="B1778" s="2" t="s">
        <v>4985</v>
      </c>
      <c r="C1778" s="2" t="s">
        <v>4986</v>
      </c>
      <c r="D1778" t="s">
        <v>7154</v>
      </c>
      <c r="E1778" t="s">
        <v>8771</v>
      </c>
      <c r="F1778" t="s">
        <v>0</v>
      </c>
      <c r="G1778" s="1">
        <f t="shared" si="24"/>
        <v>45496</v>
      </c>
    </row>
    <row r="1779" spans="1:7" x14ac:dyDescent="0.35">
      <c r="A1779" s="2" t="s">
        <v>4987</v>
      </c>
      <c r="B1779" s="2" t="s">
        <v>4988</v>
      </c>
      <c r="C1779" s="2" t="s">
        <v>4989</v>
      </c>
      <c r="D1779" t="s">
        <v>7155</v>
      </c>
      <c r="E1779" t="s">
        <v>8772</v>
      </c>
      <c r="F1779" t="s">
        <v>0</v>
      </c>
      <c r="G1779" s="1">
        <f t="shared" si="24"/>
        <v>45496</v>
      </c>
    </row>
    <row r="1780" spans="1:7" x14ac:dyDescent="0.35">
      <c r="A1780" s="2" t="s">
        <v>4990</v>
      </c>
      <c r="B1780" s="2" t="s">
        <v>4991</v>
      </c>
      <c r="C1780" s="2" t="s">
        <v>4992</v>
      </c>
      <c r="D1780" t="s">
        <v>7156</v>
      </c>
      <c r="E1780" t="s">
        <v>8773</v>
      </c>
      <c r="F1780" t="s">
        <v>0</v>
      </c>
      <c r="G1780" s="1">
        <f t="shared" si="24"/>
        <v>45496</v>
      </c>
    </row>
    <row r="1781" spans="1:7" x14ac:dyDescent="0.35">
      <c r="A1781" s="2" t="s">
        <v>4993</v>
      </c>
      <c r="B1781" s="2" t="s">
        <v>4994</v>
      </c>
      <c r="C1781" s="2" t="s">
        <v>4995</v>
      </c>
      <c r="D1781" t="s">
        <v>7157</v>
      </c>
      <c r="E1781" t="s">
        <v>8774</v>
      </c>
      <c r="F1781" t="s">
        <v>0</v>
      </c>
      <c r="G1781" s="1">
        <f t="shared" si="24"/>
        <v>45496</v>
      </c>
    </row>
    <row r="1782" spans="1:7" x14ac:dyDescent="0.35">
      <c r="A1782" s="2" t="s">
        <v>4996</v>
      </c>
      <c r="B1782" s="2" t="s">
        <v>4997</v>
      </c>
      <c r="C1782" s="2" t="s">
        <v>4998</v>
      </c>
      <c r="D1782" t="s">
        <v>5874</v>
      </c>
      <c r="E1782" t="s">
        <v>7510</v>
      </c>
      <c r="F1782" t="s">
        <v>0</v>
      </c>
      <c r="G1782" s="1">
        <f t="shared" si="24"/>
        <v>45496</v>
      </c>
    </row>
    <row r="1783" spans="1:7" x14ac:dyDescent="0.35">
      <c r="A1783" s="2" t="s">
        <v>4999</v>
      </c>
      <c r="B1783" s="2" t="s">
        <v>5000</v>
      </c>
      <c r="C1783" s="2" t="s">
        <v>5001</v>
      </c>
      <c r="D1783" t="s">
        <v>7158</v>
      </c>
      <c r="E1783" t="s">
        <v>8775</v>
      </c>
      <c r="F1783" t="s">
        <v>0</v>
      </c>
      <c r="G1783" s="1">
        <f t="shared" si="24"/>
        <v>45496</v>
      </c>
    </row>
    <row r="1784" spans="1:7" x14ac:dyDescent="0.35">
      <c r="A1784" s="2" t="s">
        <v>5002</v>
      </c>
      <c r="B1784" s="2" t="s">
        <v>5003</v>
      </c>
      <c r="C1784" s="2" t="s">
        <v>5004</v>
      </c>
      <c r="D1784" t="s">
        <v>7107</v>
      </c>
      <c r="E1784" t="s">
        <v>8728</v>
      </c>
      <c r="F1784" t="s">
        <v>0</v>
      </c>
      <c r="G1784" s="1">
        <f t="shared" ref="G1784:G1790" si="25">DATE(2024,7,24)</f>
        <v>45497</v>
      </c>
    </row>
    <row r="1785" spans="1:7" x14ac:dyDescent="0.35">
      <c r="A1785" s="2" t="s">
        <v>5005</v>
      </c>
      <c r="B1785" s="2" t="s">
        <v>5006</v>
      </c>
      <c r="C1785" s="2" t="s">
        <v>5007</v>
      </c>
      <c r="D1785" t="s">
        <v>7159</v>
      </c>
      <c r="E1785" t="s">
        <v>8776</v>
      </c>
      <c r="F1785" t="s">
        <v>0</v>
      </c>
      <c r="G1785" s="1">
        <f t="shared" si="25"/>
        <v>45497</v>
      </c>
    </row>
    <row r="1786" spans="1:7" x14ac:dyDescent="0.35">
      <c r="A1786" s="2" t="s">
        <v>5008</v>
      </c>
      <c r="B1786" s="2" t="s">
        <v>5009</v>
      </c>
      <c r="C1786" s="2" t="s">
        <v>5010</v>
      </c>
      <c r="D1786" t="s">
        <v>7160</v>
      </c>
      <c r="E1786" t="s">
        <v>8777</v>
      </c>
      <c r="F1786" t="s">
        <v>0</v>
      </c>
      <c r="G1786" s="1">
        <f t="shared" si="25"/>
        <v>45497</v>
      </c>
    </row>
    <row r="1787" spans="1:7" x14ac:dyDescent="0.35">
      <c r="A1787" s="2" t="s">
        <v>5011</v>
      </c>
      <c r="B1787" s="2" t="s">
        <v>5012</v>
      </c>
      <c r="C1787" s="2" t="s">
        <v>5013</v>
      </c>
      <c r="D1787" t="s">
        <v>7161</v>
      </c>
      <c r="E1787" t="s">
        <v>8778</v>
      </c>
      <c r="F1787" t="s">
        <v>0</v>
      </c>
      <c r="G1787" s="1">
        <f t="shared" si="25"/>
        <v>45497</v>
      </c>
    </row>
    <row r="1788" spans="1:7" x14ac:dyDescent="0.35">
      <c r="A1788" s="2" t="s">
        <v>5014</v>
      </c>
      <c r="B1788" s="2" t="s">
        <v>5015</v>
      </c>
      <c r="C1788" s="2" t="s">
        <v>5016</v>
      </c>
      <c r="D1788" t="s">
        <v>7162</v>
      </c>
      <c r="E1788" t="s">
        <v>8779</v>
      </c>
      <c r="F1788" t="s">
        <v>0</v>
      </c>
      <c r="G1788" s="1">
        <f t="shared" si="25"/>
        <v>45497</v>
      </c>
    </row>
    <row r="1789" spans="1:7" x14ac:dyDescent="0.35">
      <c r="A1789" s="2" t="s">
        <v>5017</v>
      </c>
      <c r="B1789" s="2" t="s">
        <v>5018</v>
      </c>
      <c r="C1789" s="2" t="s">
        <v>5019</v>
      </c>
      <c r="D1789" t="s">
        <v>7163</v>
      </c>
      <c r="E1789" t="s">
        <v>8780</v>
      </c>
      <c r="F1789" t="s">
        <v>0</v>
      </c>
      <c r="G1789" s="1">
        <f t="shared" si="25"/>
        <v>45497</v>
      </c>
    </row>
    <row r="1790" spans="1:7" x14ac:dyDescent="0.35">
      <c r="A1790" s="2" t="s">
        <v>5020</v>
      </c>
      <c r="B1790" s="2" t="s">
        <v>5021</v>
      </c>
      <c r="C1790" s="2" t="s">
        <v>5022</v>
      </c>
      <c r="D1790" t="s">
        <v>7164</v>
      </c>
      <c r="E1790" t="s">
        <v>8781</v>
      </c>
      <c r="F1790" t="s">
        <v>0</v>
      </c>
      <c r="G1790" s="1">
        <f t="shared" si="25"/>
        <v>45497</v>
      </c>
    </row>
    <row r="1791" spans="1:7" x14ac:dyDescent="0.35">
      <c r="A1791" s="2" t="s">
        <v>5023</v>
      </c>
      <c r="B1791" s="2" t="s">
        <v>5024</v>
      </c>
      <c r="C1791" s="2" t="s">
        <v>5025</v>
      </c>
      <c r="D1791" t="s">
        <v>7165</v>
      </c>
      <c r="E1791" t="s">
        <v>8782</v>
      </c>
      <c r="F1791" t="s">
        <v>0</v>
      </c>
      <c r="G1791" s="1">
        <f>DATE(2024,8,7)</f>
        <v>45511</v>
      </c>
    </row>
    <row r="1792" spans="1:7" x14ac:dyDescent="0.35">
      <c r="A1792" s="2" t="s">
        <v>5026</v>
      </c>
      <c r="B1792" s="2" t="s">
        <v>5027</v>
      </c>
      <c r="C1792" s="2" t="s">
        <v>5027</v>
      </c>
      <c r="D1792" t="s">
        <v>7166</v>
      </c>
      <c r="E1792" t="e">
        <v>#VALUE!</v>
      </c>
      <c r="F1792" t="s">
        <v>0</v>
      </c>
      <c r="G1792" s="1">
        <f>DATE(2024,8,20)</f>
        <v>45524</v>
      </c>
    </row>
    <row r="1793" spans="1:7" x14ac:dyDescent="0.35">
      <c r="A1793" s="2" t="s">
        <v>5028</v>
      </c>
      <c r="B1793" s="2" t="s">
        <v>5029</v>
      </c>
      <c r="C1793" s="2" t="s">
        <v>5030</v>
      </c>
      <c r="D1793" t="s">
        <v>7167</v>
      </c>
      <c r="E1793" t="s">
        <v>8783</v>
      </c>
      <c r="F1793" t="s">
        <v>0</v>
      </c>
      <c r="G1793" s="1">
        <f>DATE(2024,8,28)</f>
        <v>45532</v>
      </c>
    </row>
    <row r="1794" spans="1:7" x14ac:dyDescent="0.35">
      <c r="A1794" s="2" t="s">
        <v>5031</v>
      </c>
      <c r="B1794" s="2" t="s">
        <v>5032</v>
      </c>
      <c r="C1794" s="2" t="s">
        <v>5033</v>
      </c>
      <c r="D1794" t="s">
        <v>7168</v>
      </c>
      <c r="E1794" t="s">
        <v>8784</v>
      </c>
      <c r="F1794" t="s">
        <v>0</v>
      </c>
      <c r="G1794" s="1">
        <f>DATE(2024,10,16)</f>
        <v>45581</v>
      </c>
    </row>
    <row r="1795" spans="1:7" x14ac:dyDescent="0.35">
      <c r="A1795" s="2" t="s">
        <v>5034</v>
      </c>
      <c r="B1795" s="2" t="s">
        <v>5035</v>
      </c>
      <c r="C1795" s="2" t="s">
        <v>5036</v>
      </c>
      <c r="D1795" t="s">
        <v>7169</v>
      </c>
      <c r="E1795" t="s">
        <v>8785</v>
      </c>
      <c r="F1795" t="s">
        <v>0</v>
      </c>
      <c r="G1795" s="1">
        <f>DATE(2024,10,16)</f>
        <v>45581</v>
      </c>
    </row>
    <row r="1796" spans="1:7" x14ac:dyDescent="0.35">
      <c r="A1796" s="2" t="s">
        <v>5037</v>
      </c>
      <c r="B1796" s="2" t="s">
        <v>5038</v>
      </c>
      <c r="C1796" s="2" t="s">
        <v>5039</v>
      </c>
      <c r="D1796" t="s">
        <v>7170</v>
      </c>
      <c r="E1796" t="s">
        <v>8786</v>
      </c>
      <c r="F1796" t="s">
        <v>0</v>
      </c>
      <c r="G1796" s="1">
        <f>DATE(2025,1,27)</f>
        <v>45684</v>
      </c>
    </row>
    <row r="1797" spans="1:7" x14ac:dyDescent="0.35">
      <c r="A1797" s="2" t="s">
        <v>5040</v>
      </c>
      <c r="B1797" s="2" t="s">
        <v>5041</v>
      </c>
      <c r="C1797" s="2" t="s">
        <v>5042</v>
      </c>
      <c r="D1797" t="s">
        <v>7171</v>
      </c>
      <c r="E1797" t="s">
        <v>8787</v>
      </c>
      <c r="F1797" t="s">
        <v>0</v>
      </c>
      <c r="G1797" s="1">
        <f>DATE(2024,11,26)</f>
        <v>45622</v>
      </c>
    </row>
    <row r="1798" spans="1:7" x14ac:dyDescent="0.35">
      <c r="A1798" s="2" t="s">
        <v>5043</v>
      </c>
      <c r="B1798" s="2" t="s">
        <v>5044</v>
      </c>
      <c r="C1798" s="2" t="s">
        <v>5045</v>
      </c>
      <c r="D1798" t="s">
        <v>7172</v>
      </c>
      <c r="E1798" t="s">
        <v>8788</v>
      </c>
      <c r="F1798" t="s">
        <v>0</v>
      </c>
      <c r="G1798" s="1">
        <f t="shared" ref="G1798:G1807" si="26">DATE(2025,1,27)</f>
        <v>45684</v>
      </c>
    </row>
    <row r="1799" spans="1:7" x14ac:dyDescent="0.35">
      <c r="A1799" s="2" t="s">
        <v>5046</v>
      </c>
      <c r="B1799" s="2" t="s">
        <v>5047</v>
      </c>
      <c r="C1799" s="2" t="s">
        <v>5048</v>
      </c>
      <c r="D1799" t="s">
        <v>7173</v>
      </c>
      <c r="E1799" t="s">
        <v>8789</v>
      </c>
      <c r="F1799" t="s">
        <v>0</v>
      </c>
      <c r="G1799" s="1">
        <f t="shared" si="26"/>
        <v>45684</v>
      </c>
    </row>
    <row r="1800" spans="1:7" x14ac:dyDescent="0.35">
      <c r="A1800" s="2" t="s">
        <v>5049</v>
      </c>
      <c r="B1800" s="2" t="s">
        <v>5050</v>
      </c>
      <c r="C1800" s="2" t="s">
        <v>5051</v>
      </c>
      <c r="D1800" t="s">
        <v>7174</v>
      </c>
      <c r="E1800" t="s">
        <v>8790</v>
      </c>
      <c r="F1800" t="s">
        <v>0</v>
      </c>
      <c r="G1800" s="1">
        <f t="shared" si="26"/>
        <v>45684</v>
      </c>
    </row>
    <row r="1801" spans="1:7" x14ac:dyDescent="0.35">
      <c r="A1801" s="2" t="s">
        <v>5052</v>
      </c>
      <c r="B1801" s="2" t="s">
        <v>5053</v>
      </c>
      <c r="C1801" s="2" t="s">
        <v>5054</v>
      </c>
      <c r="D1801" t="s">
        <v>7175</v>
      </c>
      <c r="E1801" t="s">
        <v>8791</v>
      </c>
      <c r="F1801" t="s">
        <v>0</v>
      </c>
      <c r="G1801" s="1">
        <f t="shared" si="26"/>
        <v>45684</v>
      </c>
    </row>
    <row r="1802" spans="1:7" x14ac:dyDescent="0.35">
      <c r="A1802" s="2" t="s">
        <v>5055</v>
      </c>
      <c r="B1802" s="2" t="s">
        <v>5056</v>
      </c>
      <c r="C1802" s="2" t="s">
        <v>5057</v>
      </c>
      <c r="D1802" t="s">
        <v>7176</v>
      </c>
      <c r="E1802" t="s">
        <v>8792</v>
      </c>
      <c r="F1802" t="s">
        <v>0</v>
      </c>
      <c r="G1802" s="1">
        <f t="shared" si="26"/>
        <v>45684</v>
      </c>
    </row>
    <row r="1803" spans="1:7" x14ac:dyDescent="0.35">
      <c r="A1803" s="2" t="s">
        <v>5058</v>
      </c>
      <c r="B1803" s="2" t="s">
        <v>5059</v>
      </c>
      <c r="C1803" s="2" t="s">
        <v>5060</v>
      </c>
      <c r="D1803" t="s">
        <v>7177</v>
      </c>
      <c r="E1803" t="s">
        <v>8793</v>
      </c>
      <c r="F1803" t="s">
        <v>0</v>
      </c>
      <c r="G1803" s="1">
        <f t="shared" si="26"/>
        <v>45684</v>
      </c>
    </row>
    <row r="1804" spans="1:7" x14ac:dyDescent="0.35">
      <c r="A1804" s="2" t="s">
        <v>5061</v>
      </c>
      <c r="B1804" s="2" t="s">
        <v>5062</v>
      </c>
      <c r="C1804" s="2" t="s">
        <v>5063</v>
      </c>
      <c r="D1804" t="s">
        <v>7178</v>
      </c>
      <c r="E1804" t="s">
        <v>8794</v>
      </c>
      <c r="F1804" t="s">
        <v>0</v>
      </c>
      <c r="G1804" s="1">
        <f t="shared" si="26"/>
        <v>45684</v>
      </c>
    </row>
    <row r="1805" spans="1:7" x14ac:dyDescent="0.35">
      <c r="A1805" s="2" t="s">
        <v>5064</v>
      </c>
      <c r="B1805" s="2" t="s">
        <v>5065</v>
      </c>
      <c r="C1805" s="2" t="s">
        <v>5066</v>
      </c>
      <c r="D1805" t="s">
        <v>7179</v>
      </c>
      <c r="E1805" t="s">
        <v>8795</v>
      </c>
      <c r="F1805" t="s">
        <v>0</v>
      </c>
      <c r="G1805" s="1">
        <f t="shared" si="26"/>
        <v>45684</v>
      </c>
    </row>
    <row r="1806" spans="1:7" x14ac:dyDescent="0.35">
      <c r="A1806" s="2" t="s">
        <v>5067</v>
      </c>
      <c r="B1806" s="2" t="s">
        <v>5068</v>
      </c>
      <c r="C1806" s="2" t="s">
        <v>5069</v>
      </c>
      <c r="D1806" t="s">
        <v>7180</v>
      </c>
      <c r="E1806" t="s">
        <v>8796</v>
      </c>
      <c r="F1806" t="s">
        <v>0</v>
      </c>
      <c r="G1806" s="1">
        <f t="shared" si="26"/>
        <v>45684</v>
      </c>
    </row>
    <row r="1807" spans="1:7" x14ac:dyDescent="0.35">
      <c r="A1807" s="2" t="s">
        <v>5070</v>
      </c>
      <c r="B1807" s="2" t="s">
        <v>5071</v>
      </c>
      <c r="C1807" s="2" t="s">
        <v>5072</v>
      </c>
      <c r="D1807" t="s">
        <v>7181</v>
      </c>
      <c r="E1807" t="s">
        <v>8797</v>
      </c>
      <c r="F1807" t="s">
        <v>0</v>
      </c>
      <c r="G1807" s="1">
        <f t="shared" si="26"/>
        <v>45684</v>
      </c>
    </row>
    <row r="1808" spans="1:7" x14ac:dyDescent="0.35">
      <c r="A1808" s="2" t="s">
        <v>5073</v>
      </c>
      <c r="B1808" s="2" t="s">
        <v>5074</v>
      </c>
      <c r="C1808" s="2" t="s">
        <v>5075</v>
      </c>
      <c r="D1808" t="s">
        <v>7182</v>
      </c>
      <c r="E1808" t="s">
        <v>8798</v>
      </c>
      <c r="F1808" t="s">
        <v>0</v>
      </c>
      <c r="G1808" s="1">
        <f>DATE(2024,7,11)</f>
        <v>45484</v>
      </c>
    </row>
    <row r="1809" spans="1:7" x14ac:dyDescent="0.35">
      <c r="A1809" s="2" t="s">
        <v>5076</v>
      </c>
      <c r="B1809" s="2" t="s">
        <v>5077</v>
      </c>
      <c r="C1809" s="2" t="s">
        <v>5078</v>
      </c>
      <c r="D1809" t="s">
        <v>7183</v>
      </c>
      <c r="E1809" t="s">
        <v>8799</v>
      </c>
      <c r="F1809" t="s">
        <v>0</v>
      </c>
      <c r="G1809" s="1">
        <f>DATE(2024,7,25)</f>
        <v>45498</v>
      </c>
    </row>
    <row r="1810" spans="1:7" x14ac:dyDescent="0.35">
      <c r="A1810" s="2" t="s">
        <v>5079</v>
      </c>
      <c r="B1810" s="2" t="s">
        <v>5080</v>
      </c>
      <c r="C1810" s="2" t="s">
        <v>2578</v>
      </c>
      <c r="D1810" t="s">
        <v>6518</v>
      </c>
      <c r="E1810" t="s">
        <v>8155</v>
      </c>
      <c r="F1810" t="s">
        <v>0</v>
      </c>
      <c r="G1810" s="1">
        <f>DATE(2024,8,7)</f>
        <v>45511</v>
      </c>
    </row>
    <row r="1811" spans="1:7" x14ac:dyDescent="0.35">
      <c r="A1811" s="2" t="s">
        <v>5081</v>
      </c>
      <c r="B1811" s="2" t="s">
        <v>5082</v>
      </c>
      <c r="C1811" s="2" t="s">
        <v>5083</v>
      </c>
      <c r="D1811" t="s">
        <v>7184</v>
      </c>
      <c r="E1811" t="s">
        <v>8800</v>
      </c>
      <c r="F1811" t="s">
        <v>0</v>
      </c>
      <c r="G1811" s="1">
        <f>DATE(2024,10,3)</f>
        <v>45568</v>
      </c>
    </row>
    <row r="1812" spans="1:7" x14ac:dyDescent="0.35">
      <c r="A1812" s="2" t="s">
        <v>5084</v>
      </c>
      <c r="B1812" s="2" t="s">
        <v>5085</v>
      </c>
      <c r="C1812" s="2" t="s">
        <v>5086</v>
      </c>
      <c r="D1812" t="s">
        <v>7185</v>
      </c>
      <c r="E1812" t="s">
        <v>8801</v>
      </c>
      <c r="F1812" t="s">
        <v>0</v>
      </c>
      <c r="G1812" s="1">
        <f>DATE(2024,10,14)</f>
        <v>45579</v>
      </c>
    </row>
    <row r="1813" spans="1:7" x14ac:dyDescent="0.35">
      <c r="A1813" s="2" t="s">
        <v>5087</v>
      </c>
      <c r="B1813" s="2" t="s">
        <v>5088</v>
      </c>
      <c r="C1813" s="2" t="s">
        <v>5089</v>
      </c>
      <c r="D1813" t="s">
        <v>7186</v>
      </c>
      <c r="E1813" t="s">
        <v>8802</v>
      </c>
      <c r="F1813" t="s">
        <v>0</v>
      </c>
      <c r="G1813" s="1">
        <f>DATE(2024,10,16)</f>
        <v>45581</v>
      </c>
    </row>
    <row r="1814" spans="1:7" x14ac:dyDescent="0.35">
      <c r="A1814" s="2" t="s">
        <v>5090</v>
      </c>
      <c r="B1814" s="2" t="s">
        <v>5091</v>
      </c>
      <c r="C1814" s="2" t="s">
        <v>5092</v>
      </c>
      <c r="D1814" t="s">
        <v>7187</v>
      </c>
      <c r="E1814" t="s">
        <v>8803</v>
      </c>
      <c r="F1814" t="s">
        <v>0</v>
      </c>
      <c r="G1814" s="1">
        <f>DATE(2024,10,24)</f>
        <v>45589</v>
      </c>
    </row>
    <row r="1815" spans="1:7" x14ac:dyDescent="0.35">
      <c r="A1815" s="2" t="s">
        <v>5093</v>
      </c>
      <c r="B1815" s="2" t="s">
        <v>5094</v>
      </c>
      <c r="C1815" s="2" t="s">
        <v>5095</v>
      </c>
      <c r="D1815" t="s">
        <v>7188</v>
      </c>
      <c r="E1815" t="s">
        <v>8804</v>
      </c>
      <c r="F1815" t="s">
        <v>0</v>
      </c>
      <c r="G1815" s="1">
        <f>DATE(2024,11,12)</f>
        <v>45608</v>
      </c>
    </row>
    <row r="1816" spans="1:7" x14ac:dyDescent="0.35">
      <c r="A1816" s="2" t="s">
        <v>5096</v>
      </c>
      <c r="B1816" s="2" t="s">
        <v>5097</v>
      </c>
      <c r="C1816" s="2" t="s">
        <v>5098</v>
      </c>
      <c r="D1816" t="s">
        <v>7189</v>
      </c>
      <c r="E1816" t="s">
        <v>8805</v>
      </c>
      <c r="F1816" t="s">
        <v>0</v>
      </c>
      <c r="G1816" s="1">
        <f>DATE(2024,11,12)</f>
        <v>45608</v>
      </c>
    </row>
    <row r="1817" spans="1:7" x14ac:dyDescent="0.35">
      <c r="A1817" s="2" t="s">
        <v>5099</v>
      </c>
      <c r="B1817" s="2" t="s">
        <v>5100</v>
      </c>
      <c r="C1817" s="2" t="s">
        <v>5101</v>
      </c>
      <c r="D1817" t="s">
        <v>7190</v>
      </c>
      <c r="E1817" t="e">
        <v>#VALUE!</v>
      </c>
      <c r="F1817" t="s">
        <v>0</v>
      </c>
      <c r="G1817" s="1">
        <f t="shared" ref="G1817:G1822" si="27">DATE(2024,11,13)</f>
        <v>45609</v>
      </c>
    </row>
    <row r="1818" spans="1:7" x14ac:dyDescent="0.35">
      <c r="A1818" s="2" t="s">
        <v>5102</v>
      </c>
      <c r="B1818" s="2" t="s">
        <v>5103</v>
      </c>
      <c r="C1818" s="2" t="s">
        <v>5104</v>
      </c>
      <c r="D1818" t="s">
        <v>7191</v>
      </c>
      <c r="E1818" t="s">
        <v>8806</v>
      </c>
      <c r="F1818" t="s">
        <v>0</v>
      </c>
      <c r="G1818" s="1">
        <f t="shared" si="27"/>
        <v>45609</v>
      </c>
    </row>
    <row r="1819" spans="1:7" x14ac:dyDescent="0.35">
      <c r="A1819" s="2" t="s">
        <v>5105</v>
      </c>
      <c r="B1819" s="2" t="s">
        <v>5106</v>
      </c>
      <c r="C1819" s="2" t="s">
        <v>670</v>
      </c>
      <c r="D1819" t="s">
        <v>5948</v>
      </c>
      <c r="E1819" t="s">
        <v>7584</v>
      </c>
      <c r="F1819" t="s">
        <v>0</v>
      </c>
      <c r="G1819" s="1">
        <f t="shared" si="27"/>
        <v>45609</v>
      </c>
    </row>
    <row r="1820" spans="1:7" x14ac:dyDescent="0.35">
      <c r="A1820" s="2" t="s">
        <v>5107</v>
      </c>
      <c r="B1820" s="2" t="s">
        <v>5108</v>
      </c>
      <c r="C1820" s="2" t="s">
        <v>5109</v>
      </c>
      <c r="D1820" t="s">
        <v>7192</v>
      </c>
      <c r="E1820" t="e">
        <v>#VALUE!</v>
      </c>
      <c r="F1820" t="s">
        <v>0</v>
      </c>
      <c r="G1820" s="1">
        <f t="shared" si="27"/>
        <v>45609</v>
      </c>
    </row>
    <row r="1821" spans="1:7" x14ac:dyDescent="0.35">
      <c r="A1821" s="2" t="s">
        <v>5110</v>
      </c>
      <c r="B1821" s="2" t="s">
        <v>5111</v>
      </c>
      <c r="C1821" s="2" t="s">
        <v>5112</v>
      </c>
      <c r="D1821" t="s">
        <v>7193</v>
      </c>
      <c r="E1821" t="e">
        <v>#VALUE!</v>
      </c>
      <c r="F1821" t="s">
        <v>0</v>
      </c>
      <c r="G1821" s="1">
        <f t="shared" si="27"/>
        <v>45609</v>
      </c>
    </row>
    <row r="1822" spans="1:7" x14ac:dyDescent="0.35">
      <c r="A1822" s="2" t="s">
        <v>5113</v>
      </c>
      <c r="B1822" s="2" t="s">
        <v>4507</v>
      </c>
      <c r="C1822" s="2" t="s">
        <v>5114</v>
      </c>
      <c r="D1822" t="s">
        <v>7028</v>
      </c>
      <c r="E1822" t="s">
        <v>8663</v>
      </c>
      <c r="F1822" t="s">
        <v>0</v>
      </c>
      <c r="G1822" s="1">
        <f t="shared" si="27"/>
        <v>45609</v>
      </c>
    </row>
    <row r="1823" spans="1:7" x14ac:dyDescent="0.35">
      <c r="A1823" s="2" t="s">
        <v>5115</v>
      </c>
      <c r="B1823" s="2" t="s">
        <v>5116</v>
      </c>
      <c r="C1823" s="2" t="s">
        <v>5117</v>
      </c>
      <c r="D1823" t="s">
        <v>7194</v>
      </c>
      <c r="E1823" t="s">
        <v>8807</v>
      </c>
      <c r="F1823" t="s">
        <v>0</v>
      </c>
      <c r="G1823" s="1">
        <f>DATE(2024,11,26)</f>
        <v>45622</v>
      </c>
    </row>
    <row r="1824" spans="1:7" x14ac:dyDescent="0.35">
      <c r="A1824" s="2" t="s">
        <v>5118</v>
      </c>
      <c r="B1824" s="2" t="s">
        <v>5119</v>
      </c>
      <c r="C1824" s="2" t="s">
        <v>5120</v>
      </c>
      <c r="D1824" t="s">
        <v>7195</v>
      </c>
      <c r="E1824" t="s">
        <v>8808</v>
      </c>
      <c r="F1824" t="s">
        <v>0</v>
      </c>
      <c r="G1824" s="1">
        <f>DATE(2024,11,29)</f>
        <v>45625</v>
      </c>
    </row>
    <row r="1825" spans="1:7" x14ac:dyDescent="0.35">
      <c r="A1825" s="2" t="s">
        <v>5121</v>
      </c>
      <c r="B1825" s="2" t="s">
        <v>5122</v>
      </c>
      <c r="C1825" s="2" t="s">
        <v>5123</v>
      </c>
      <c r="D1825" t="s">
        <v>7196</v>
      </c>
      <c r="E1825" t="s">
        <v>8809</v>
      </c>
      <c r="F1825" t="s">
        <v>0</v>
      </c>
      <c r="G1825" s="1">
        <f>DATE(2024,12,13)</f>
        <v>45639</v>
      </c>
    </row>
    <row r="1826" spans="1:7" x14ac:dyDescent="0.35">
      <c r="A1826" s="2" t="s">
        <v>5124</v>
      </c>
      <c r="B1826" s="2" t="s">
        <v>5125</v>
      </c>
      <c r="C1826" s="2" t="s">
        <v>5126</v>
      </c>
      <c r="D1826" t="s">
        <v>5126</v>
      </c>
      <c r="E1826" t="s">
        <v>8810</v>
      </c>
      <c r="F1826" t="s">
        <v>0</v>
      </c>
      <c r="G1826" s="1">
        <f>DATE(2025,1,7)</f>
        <v>45664</v>
      </c>
    </row>
    <row r="1827" spans="1:7" x14ac:dyDescent="0.35">
      <c r="A1827" s="2" t="s">
        <v>5127</v>
      </c>
      <c r="B1827" s="2" t="s">
        <v>5128</v>
      </c>
      <c r="C1827" s="2" t="s">
        <v>5129</v>
      </c>
      <c r="D1827" t="s">
        <v>7197</v>
      </c>
      <c r="E1827" t="s">
        <v>8811</v>
      </c>
      <c r="F1827" t="s">
        <v>0</v>
      </c>
      <c r="G1827" s="1">
        <f>DATE(2025,1,7)</f>
        <v>45664</v>
      </c>
    </row>
    <row r="1828" spans="1:7" x14ac:dyDescent="0.35">
      <c r="A1828" s="2" t="s">
        <v>5130</v>
      </c>
      <c r="B1828" s="2" t="s">
        <v>5131</v>
      </c>
      <c r="C1828" s="2" t="s">
        <v>5132</v>
      </c>
      <c r="D1828" t="s">
        <v>7198</v>
      </c>
      <c r="E1828" t="s">
        <v>8812</v>
      </c>
      <c r="F1828" t="s">
        <v>0</v>
      </c>
      <c r="G1828" s="1">
        <f t="shared" ref="G1828:G1850" si="28">DATE(2025,1,27)</f>
        <v>45684</v>
      </c>
    </row>
    <row r="1829" spans="1:7" x14ac:dyDescent="0.35">
      <c r="A1829" s="2" t="s">
        <v>5133</v>
      </c>
      <c r="B1829" s="2" t="s">
        <v>5134</v>
      </c>
      <c r="C1829" s="2" t="s">
        <v>5135</v>
      </c>
      <c r="D1829" t="s">
        <v>7199</v>
      </c>
      <c r="E1829" t="s">
        <v>8813</v>
      </c>
      <c r="F1829" t="s">
        <v>0</v>
      </c>
      <c r="G1829" s="1">
        <f t="shared" si="28"/>
        <v>45684</v>
      </c>
    </row>
    <row r="1830" spans="1:7" x14ac:dyDescent="0.35">
      <c r="A1830" s="2" t="s">
        <v>5136</v>
      </c>
      <c r="B1830" s="2" t="s">
        <v>5137</v>
      </c>
      <c r="C1830" s="2" t="s">
        <v>5138</v>
      </c>
      <c r="D1830" t="s">
        <v>7200</v>
      </c>
      <c r="E1830" t="s">
        <v>8814</v>
      </c>
      <c r="F1830" t="s">
        <v>0</v>
      </c>
      <c r="G1830" s="1">
        <f t="shared" si="28"/>
        <v>45684</v>
      </c>
    </row>
    <row r="1831" spans="1:7" x14ac:dyDescent="0.35">
      <c r="A1831" s="2" t="s">
        <v>5139</v>
      </c>
      <c r="B1831" s="2" t="s">
        <v>5140</v>
      </c>
      <c r="C1831" s="2" t="s">
        <v>5141</v>
      </c>
      <c r="D1831" t="s">
        <v>7201</v>
      </c>
      <c r="E1831" t="s">
        <v>8815</v>
      </c>
      <c r="F1831" t="s">
        <v>0</v>
      </c>
      <c r="G1831" s="1">
        <f t="shared" si="28"/>
        <v>45684</v>
      </c>
    </row>
    <row r="1832" spans="1:7" x14ac:dyDescent="0.35">
      <c r="A1832" s="2" t="s">
        <v>5142</v>
      </c>
      <c r="B1832" s="2" t="s">
        <v>5143</v>
      </c>
      <c r="C1832" s="2" t="s">
        <v>5144</v>
      </c>
      <c r="D1832" t="s">
        <v>7202</v>
      </c>
      <c r="E1832" t="s">
        <v>8816</v>
      </c>
      <c r="F1832" t="s">
        <v>0</v>
      </c>
      <c r="G1832" s="1">
        <f t="shared" si="28"/>
        <v>45684</v>
      </c>
    </row>
    <row r="1833" spans="1:7" x14ac:dyDescent="0.35">
      <c r="A1833" s="2" t="s">
        <v>5145</v>
      </c>
      <c r="B1833" s="2" t="s">
        <v>5146</v>
      </c>
      <c r="C1833" s="2" t="s">
        <v>5147</v>
      </c>
      <c r="D1833" t="s">
        <v>7203</v>
      </c>
      <c r="E1833" t="s">
        <v>8817</v>
      </c>
      <c r="F1833" t="s">
        <v>0</v>
      </c>
      <c r="G1833" s="1">
        <f t="shared" si="28"/>
        <v>45684</v>
      </c>
    </row>
    <row r="1834" spans="1:7" x14ac:dyDescent="0.35">
      <c r="A1834" s="2" t="s">
        <v>5148</v>
      </c>
      <c r="B1834" s="2" t="s">
        <v>5149</v>
      </c>
      <c r="C1834" s="2" t="s">
        <v>5150</v>
      </c>
      <c r="D1834" t="s">
        <v>7204</v>
      </c>
      <c r="E1834" t="s">
        <v>8818</v>
      </c>
      <c r="F1834" t="s">
        <v>0</v>
      </c>
      <c r="G1834" s="1">
        <f t="shared" si="28"/>
        <v>45684</v>
      </c>
    </row>
    <row r="1835" spans="1:7" x14ac:dyDescent="0.35">
      <c r="A1835" s="2" t="s">
        <v>5151</v>
      </c>
      <c r="B1835" s="2" t="s">
        <v>5152</v>
      </c>
      <c r="C1835" s="2" t="s">
        <v>5153</v>
      </c>
      <c r="D1835" t="s">
        <v>7205</v>
      </c>
      <c r="E1835" t="s">
        <v>8819</v>
      </c>
      <c r="F1835" t="s">
        <v>0</v>
      </c>
      <c r="G1835" s="1">
        <f t="shared" si="28"/>
        <v>45684</v>
      </c>
    </row>
    <row r="1836" spans="1:7" x14ac:dyDescent="0.35">
      <c r="A1836" s="2" t="s">
        <v>5154</v>
      </c>
      <c r="B1836" s="2" t="s">
        <v>5155</v>
      </c>
      <c r="C1836" s="2" t="s">
        <v>5156</v>
      </c>
      <c r="D1836" t="s">
        <v>7206</v>
      </c>
      <c r="E1836" t="s">
        <v>8820</v>
      </c>
      <c r="F1836" t="s">
        <v>0</v>
      </c>
      <c r="G1836" s="1">
        <f t="shared" si="28"/>
        <v>45684</v>
      </c>
    </row>
    <row r="1837" spans="1:7" x14ac:dyDescent="0.35">
      <c r="A1837" s="2" t="s">
        <v>5157</v>
      </c>
      <c r="B1837" s="2" t="s">
        <v>5158</v>
      </c>
      <c r="C1837" s="2" t="s">
        <v>5159</v>
      </c>
      <c r="D1837" t="s">
        <v>7207</v>
      </c>
      <c r="E1837" t="s">
        <v>8821</v>
      </c>
      <c r="F1837" t="s">
        <v>0</v>
      </c>
      <c r="G1837" s="1">
        <f t="shared" si="28"/>
        <v>45684</v>
      </c>
    </row>
    <row r="1838" spans="1:7" x14ac:dyDescent="0.35">
      <c r="A1838" s="2" t="s">
        <v>5160</v>
      </c>
      <c r="B1838" s="2" t="s">
        <v>5161</v>
      </c>
      <c r="C1838" s="2" t="s">
        <v>5162</v>
      </c>
      <c r="D1838" t="s">
        <v>7208</v>
      </c>
      <c r="E1838" t="s">
        <v>8822</v>
      </c>
      <c r="F1838" t="s">
        <v>0</v>
      </c>
      <c r="G1838" s="1">
        <f t="shared" si="28"/>
        <v>45684</v>
      </c>
    </row>
    <row r="1839" spans="1:7" x14ac:dyDescent="0.35">
      <c r="A1839" s="2" t="s">
        <v>5163</v>
      </c>
      <c r="B1839" s="2" t="s">
        <v>5164</v>
      </c>
      <c r="C1839" s="2" t="s">
        <v>5165</v>
      </c>
      <c r="D1839" t="s">
        <v>7209</v>
      </c>
      <c r="E1839" t="s">
        <v>8823</v>
      </c>
      <c r="F1839" t="s">
        <v>0</v>
      </c>
      <c r="G1839" s="1">
        <f t="shared" si="28"/>
        <v>45684</v>
      </c>
    </row>
    <row r="1840" spans="1:7" x14ac:dyDescent="0.35">
      <c r="A1840" s="2" t="s">
        <v>5166</v>
      </c>
      <c r="B1840" s="2" t="s">
        <v>5167</v>
      </c>
      <c r="C1840" s="2" t="s">
        <v>5168</v>
      </c>
      <c r="D1840" t="s">
        <v>7210</v>
      </c>
      <c r="E1840" t="s">
        <v>8824</v>
      </c>
      <c r="F1840" t="s">
        <v>0</v>
      </c>
      <c r="G1840" s="1">
        <f t="shared" si="28"/>
        <v>45684</v>
      </c>
    </row>
    <row r="1841" spans="1:7" x14ac:dyDescent="0.35">
      <c r="A1841" s="2" t="s">
        <v>5169</v>
      </c>
      <c r="B1841" s="2" t="s">
        <v>5170</v>
      </c>
      <c r="C1841" s="2" t="s">
        <v>5171</v>
      </c>
      <c r="D1841" t="s">
        <v>7211</v>
      </c>
      <c r="E1841" t="s">
        <v>8825</v>
      </c>
      <c r="F1841" t="s">
        <v>0</v>
      </c>
      <c r="G1841" s="1">
        <f t="shared" si="28"/>
        <v>45684</v>
      </c>
    </row>
    <row r="1842" spans="1:7" x14ac:dyDescent="0.35">
      <c r="A1842" s="2" t="s">
        <v>5172</v>
      </c>
      <c r="B1842" s="2" t="s">
        <v>5173</v>
      </c>
      <c r="C1842" s="2" t="s">
        <v>5174</v>
      </c>
      <c r="D1842" t="s">
        <v>7212</v>
      </c>
      <c r="E1842" t="s">
        <v>8826</v>
      </c>
      <c r="F1842" t="s">
        <v>0</v>
      </c>
      <c r="G1842" s="1">
        <f t="shared" si="28"/>
        <v>45684</v>
      </c>
    </row>
    <row r="1843" spans="1:7" x14ac:dyDescent="0.35">
      <c r="A1843" s="2" t="s">
        <v>5175</v>
      </c>
      <c r="B1843" s="2" t="s">
        <v>5176</v>
      </c>
      <c r="C1843" s="2" t="s">
        <v>5177</v>
      </c>
      <c r="D1843" t="s">
        <v>7213</v>
      </c>
      <c r="E1843" t="s">
        <v>8827</v>
      </c>
      <c r="F1843" t="s">
        <v>0</v>
      </c>
      <c r="G1843" s="1">
        <f t="shared" si="28"/>
        <v>45684</v>
      </c>
    </row>
    <row r="1844" spans="1:7" x14ac:dyDescent="0.35">
      <c r="A1844" s="2" t="s">
        <v>5178</v>
      </c>
      <c r="B1844" s="2" t="s">
        <v>5179</v>
      </c>
      <c r="C1844" s="2" t="s">
        <v>5180</v>
      </c>
      <c r="D1844" t="s">
        <v>7214</v>
      </c>
      <c r="E1844" t="s">
        <v>8828</v>
      </c>
      <c r="F1844" t="s">
        <v>0</v>
      </c>
      <c r="G1844" s="1">
        <f t="shared" si="28"/>
        <v>45684</v>
      </c>
    </row>
    <row r="1845" spans="1:7" x14ac:dyDescent="0.35">
      <c r="A1845" s="2" t="s">
        <v>5181</v>
      </c>
      <c r="B1845" s="2" t="s">
        <v>5182</v>
      </c>
      <c r="C1845" s="2" t="s">
        <v>5183</v>
      </c>
      <c r="D1845" t="s">
        <v>7215</v>
      </c>
      <c r="E1845" t="s">
        <v>8829</v>
      </c>
      <c r="F1845" t="s">
        <v>0</v>
      </c>
      <c r="G1845" s="1">
        <f t="shared" si="28"/>
        <v>45684</v>
      </c>
    </row>
    <row r="1846" spans="1:7" x14ac:dyDescent="0.35">
      <c r="A1846" s="2" t="s">
        <v>5184</v>
      </c>
      <c r="B1846" s="2" t="s">
        <v>5185</v>
      </c>
      <c r="C1846" s="2" t="s">
        <v>5186</v>
      </c>
      <c r="D1846" t="s">
        <v>7216</v>
      </c>
      <c r="E1846" t="s">
        <v>8830</v>
      </c>
      <c r="F1846" t="s">
        <v>0</v>
      </c>
      <c r="G1846" s="1">
        <f t="shared" si="28"/>
        <v>45684</v>
      </c>
    </row>
    <row r="1847" spans="1:7" x14ac:dyDescent="0.35">
      <c r="A1847" s="2" t="s">
        <v>5187</v>
      </c>
      <c r="B1847" s="2" t="s">
        <v>5188</v>
      </c>
      <c r="C1847" s="2" t="s">
        <v>5186</v>
      </c>
      <c r="D1847" t="s">
        <v>7216</v>
      </c>
      <c r="E1847" t="s">
        <v>8830</v>
      </c>
      <c r="F1847" t="s">
        <v>0</v>
      </c>
      <c r="G1847" s="1">
        <f t="shared" si="28"/>
        <v>45684</v>
      </c>
    </row>
    <row r="1848" spans="1:7" x14ac:dyDescent="0.35">
      <c r="A1848" s="2" t="s">
        <v>5189</v>
      </c>
      <c r="B1848" s="2" t="s">
        <v>5190</v>
      </c>
      <c r="C1848" s="2" t="s">
        <v>5191</v>
      </c>
      <c r="D1848" t="s">
        <v>7217</v>
      </c>
      <c r="E1848" t="s">
        <v>8831</v>
      </c>
      <c r="F1848" t="s">
        <v>0</v>
      </c>
      <c r="G1848" s="1">
        <f t="shared" si="28"/>
        <v>45684</v>
      </c>
    </row>
    <row r="1849" spans="1:7" x14ac:dyDescent="0.35">
      <c r="A1849" s="2" t="s">
        <v>5192</v>
      </c>
      <c r="B1849" s="2" t="s">
        <v>5193</v>
      </c>
      <c r="C1849" s="2" t="s">
        <v>5194</v>
      </c>
      <c r="D1849" t="s">
        <v>7218</v>
      </c>
      <c r="E1849" t="s">
        <v>8832</v>
      </c>
      <c r="F1849" t="s">
        <v>0</v>
      </c>
      <c r="G1849" s="1">
        <f t="shared" si="28"/>
        <v>45684</v>
      </c>
    </row>
    <row r="1850" spans="1:7" x14ac:dyDescent="0.35">
      <c r="A1850" s="2" t="s">
        <v>5195</v>
      </c>
      <c r="B1850" s="2" t="s">
        <v>5196</v>
      </c>
      <c r="C1850" s="2" t="s">
        <v>5197</v>
      </c>
      <c r="D1850" t="s">
        <v>7219</v>
      </c>
      <c r="E1850" t="s">
        <v>8833</v>
      </c>
      <c r="F1850" t="s">
        <v>0</v>
      </c>
      <c r="G1850" s="1">
        <f t="shared" si="28"/>
        <v>45684</v>
      </c>
    </row>
    <row r="1851" spans="1:7" x14ac:dyDescent="0.35">
      <c r="A1851" s="2" t="s">
        <v>5198</v>
      </c>
      <c r="B1851" s="2" t="s">
        <v>5199</v>
      </c>
      <c r="C1851" s="2" t="s">
        <v>5200</v>
      </c>
      <c r="D1851" t="s">
        <v>5200</v>
      </c>
      <c r="E1851" t="e">
        <v>#VALUE!</v>
      </c>
      <c r="F1851" t="s">
        <v>0</v>
      </c>
      <c r="G1851" s="1">
        <f>DATE(2025,1,30)</f>
        <v>45687</v>
      </c>
    </row>
    <row r="1852" spans="1:7" x14ac:dyDescent="0.35">
      <c r="A1852" s="2" t="s">
        <v>5201</v>
      </c>
      <c r="B1852" s="2" t="s">
        <v>5202</v>
      </c>
      <c r="C1852" s="2" t="s">
        <v>5203</v>
      </c>
      <c r="D1852" t="s">
        <v>7220</v>
      </c>
      <c r="E1852" t="s">
        <v>8834</v>
      </c>
      <c r="F1852" t="s">
        <v>0</v>
      </c>
      <c r="G1852" s="1">
        <f>DATE(2025,1,30)</f>
        <v>45687</v>
      </c>
    </row>
    <row r="1853" spans="1:7" x14ac:dyDescent="0.35">
      <c r="A1853" s="2" t="s">
        <v>5204</v>
      </c>
      <c r="B1853" s="2" t="s">
        <v>5205</v>
      </c>
      <c r="D1853" t="s">
        <v>5756</v>
      </c>
      <c r="E1853" t="e">
        <v>#VALUE!</v>
      </c>
      <c r="F1853" t="s">
        <v>0</v>
      </c>
      <c r="G1853" s="1">
        <f>DATE(2020,2,28)</f>
        <v>43889</v>
      </c>
    </row>
    <row r="1854" spans="1:7" x14ac:dyDescent="0.35">
      <c r="A1854" s="2" t="s">
        <v>5206</v>
      </c>
      <c r="B1854" s="2" t="s">
        <v>5207</v>
      </c>
      <c r="C1854" s="2" t="s">
        <v>5208</v>
      </c>
      <c r="D1854" t="s">
        <v>7221</v>
      </c>
      <c r="E1854" t="s">
        <v>8835</v>
      </c>
      <c r="F1854" t="s">
        <v>0</v>
      </c>
      <c r="G1854" s="1">
        <f>DATE(2020,6,9)</f>
        <v>43991</v>
      </c>
    </row>
    <row r="1855" spans="1:7" x14ac:dyDescent="0.35">
      <c r="A1855" s="2" t="s">
        <v>5209</v>
      </c>
      <c r="B1855" s="2" t="s">
        <v>5210</v>
      </c>
      <c r="D1855" t="s">
        <v>5756</v>
      </c>
      <c r="E1855" t="e">
        <v>#VALUE!</v>
      </c>
      <c r="F1855" t="s">
        <v>0</v>
      </c>
      <c r="G1855" s="1">
        <f>DATE(2023,11,16)</f>
        <v>45246</v>
      </c>
    </row>
    <row r="1856" spans="1:7" x14ac:dyDescent="0.35">
      <c r="A1856" s="2" t="s">
        <v>5211</v>
      </c>
      <c r="B1856" s="2" t="s">
        <v>5212</v>
      </c>
      <c r="C1856" s="2" t="s">
        <v>5213</v>
      </c>
      <c r="D1856" t="s">
        <v>7222</v>
      </c>
      <c r="E1856" t="s">
        <v>8836</v>
      </c>
      <c r="F1856" t="s">
        <v>0</v>
      </c>
      <c r="G1856" s="1">
        <f>DATE(2023,11,16)</f>
        <v>45246</v>
      </c>
    </row>
    <row r="1857" spans="1:7" x14ac:dyDescent="0.35">
      <c r="A1857" s="2" t="s">
        <v>5214</v>
      </c>
      <c r="B1857" s="2" t="s">
        <v>5215</v>
      </c>
      <c r="C1857" s="2" t="s">
        <v>5216</v>
      </c>
      <c r="D1857" t="s">
        <v>7223</v>
      </c>
      <c r="E1857" t="s">
        <v>8837</v>
      </c>
      <c r="F1857" t="s">
        <v>0</v>
      </c>
      <c r="G1857" s="1">
        <f>DATE(2019,11,20)</f>
        <v>43789</v>
      </c>
    </row>
    <row r="1858" spans="1:7" x14ac:dyDescent="0.35">
      <c r="A1858" s="2" t="s">
        <v>5217</v>
      </c>
      <c r="B1858" s="2" t="s">
        <v>5218</v>
      </c>
      <c r="C1858" s="2" t="s">
        <v>5219</v>
      </c>
      <c r="D1858" t="s">
        <v>7224</v>
      </c>
      <c r="E1858" t="s">
        <v>8838</v>
      </c>
      <c r="F1858" t="s">
        <v>0</v>
      </c>
      <c r="G1858" s="1">
        <f>DATE(2023,11,16)</f>
        <v>45246</v>
      </c>
    </row>
    <row r="1859" spans="1:7" x14ac:dyDescent="0.35">
      <c r="A1859" s="2" t="s">
        <v>5220</v>
      </c>
      <c r="B1859" s="2" t="s">
        <v>5221</v>
      </c>
      <c r="C1859" s="2" t="s">
        <v>5222</v>
      </c>
      <c r="D1859" t="s">
        <v>7225</v>
      </c>
      <c r="E1859" t="s">
        <v>8839</v>
      </c>
      <c r="F1859" t="s">
        <v>0</v>
      </c>
      <c r="G1859" s="1">
        <f>DATE(2023,11,16)</f>
        <v>45246</v>
      </c>
    </row>
    <row r="1860" spans="1:7" x14ac:dyDescent="0.35">
      <c r="A1860" s="2" t="s">
        <v>5223</v>
      </c>
      <c r="B1860" s="2" t="s">
        <v>5224</v>
      </c>
      <c r="C1860" s="2" t="s">
        <v>5225</v>
      </c>
      <c r="D1860" t="s">
        <v>7226</v>
      </c>
      <c r="E1860" t="s">
        <v>8840</v>
      </c>
      <c r="F1860" t="s">
        <v>0</v>
      </c>
      <c r="G1860" s="1">
        <f>DATE(2023,11,16)</f>
        <v>45246</v>
      </c>
    </row>
    <row r="1861" spans="1:7" x14ac:dyDescent="0.35">
      <c r="A1861" s="2" t="s">
        <v>5226</v>
      </c>
      <c r="B1861" s="2" t="s">
        <v>5227</v>
      </c>
      <c r="C1861" s="2" t="s">
        <v>5228</v>
      </c>
      <c r="D1861" t="s">
        <v>7227</v>
      </c>
      <c r="E1861" t="s">
        <v>8841</v>
      </c>
      <c r="F1861" t="s">
        <v>0</v>
      </c>
      <c r="G1861" s="1">
        <f>DATE(2023,11,16)</f>
        <v>45246</v>
      </c>
    </row>
    <row r="1862" spans="1:7" x14ac:dyDescent="0.35">
      <c r="A1862" s="2" t="s">
        <v>5229</v>
      </c>
      <c r="B1862" s="2" t="s">
        <v>5230</v>
      </c>
      <c r="C1862" s="2" t="s">
        <v>5231</v>
      </c>
      <c r="D1862" t="s">
        <v>7228</v>
      </c>
      <c r="E1862" t="s">
        <v>8842</v>
      </c>
      <c r="F1862" t="s">
        <v>0</v>
      </c>
      <c r="G1862" s="1">
        <f>DATE(2019,11,20)</f>
        <v>43789</v>
      </c>
    </row>
    <row r="1863" spans="1:7" x14ac:dyDescent="0.35">
      <c r="A1863" s="2" t="s">
        <v>5232</v>
      </c>
      <c r="B1863" s="2" t="s">
        <v>5233</v>
      </c>
      <c r="C1863" s="2" t="s">
        <v>5234</v>
      </c>
      <c r="D1863" t="s">
        <v>7229</v>
      </c>
      <c r="E1863" t="s">
        <v>8843</v>
      </c>
      <c r="F1863" t="s">
        <v>0</v>
      </c>
      <c r="G1863" s="1">
        <f>DATE(2020,3,18)</f>
        <v>43908</v>
      </c>
    </row>
    <row r="1864" spans="1:7" x14ac:dyDescent="0.35">
      <c r="A1864" s="2" t="s">
        <v>5235</v>
      </c>
      <c r="B1864" s="2" t="s">
        <v>5236</v>
      </c>
      <c r="D1864" t="s">
        <v>5756</v>
      </c>
      <c r="E1864" t="e">
        <v>#VALUE!</v>
      </c>
      <c r="F1864" t="s">
        <v>0</v>
      </c>
      <c r="G1864" s="1">
        <f>DATE(2023,11,16)</f>
        <v>45246</v>
      </c>
    </row>
    <row r="1865" spans="1:7" x14ac:dyDescent="0.35">
      <c r="A1865" s="2" t="s">
        <v>5237</v>
      </c>
      <c r="B1865" s="2" t="s">
        <v>5238</v>
      </c>
      <c r="D1865" t="s">
        <v>5756</v>
      </c>
      <c r="E1865" t="e">
        <v>#VALUE!</v>
      </c>
      <c r="F1865" t="s">
        <v>0</v>
      </c>
      <c r="G1865" s="1">
        <f>DATE(2019,11,20)</f>
        <v>43789</v>
      </c>
    </row>
    <row r="1866" spans="1:7" x14ac:dyDescent="0.35">
      <c r="A1866" s="2" t="s">
        <v>5239</v>
      </c>
      <c r="B1866" s="2" t="s">
        <v>5240</v>
      </c>
      <c r="D1866" t="s">
        <v>5756</v>
      </c>
      <c r="E1866" t="e">
        <v>#VALUE!</v>
      </c>
      <c r="F1866" t="s">
        <v>0</v>
      </c>
      <c r="G1866" s="1">
        <f>DATE(2023,11,15)</f>
        <v>45245</v>
      </c>
    </row>
    <row r="1867" spans="1:7" x14ac:dyDescent="0.35">
      <c r="A1867" s="2" t="s">
        <v>5241</v>
      </c>
      <c r="B1867" s="2" t="s">
        <v>5242</v>
      </c>
      <c r="D1867" t="s">
        <v>5756</v>
      </c>
      <c r="E1867" t="e">
        <v>#VALUE!</v>
      </c>
      <c r="F1867" t="s">
        <v>0</v>
      </c>
      <c r="G1867" s="1">
        <f>DATE(2020,6,2)</f>
        <v>43984</v>
      </c>
    </row>
    <row r="1868" spans="1:7" x14ac:dyDescent="0.35">
      <c r="A1868" s="2" t="s">
        <v>5243</v>
      </c>
      <c r="B1868" s="2" t="s">
        <v>5244</v>
      </c>
      <c r="D1868" t="s">
        <v>5756</v>
      </c>
      <c r="E1868" t="e">
        <v>#VALUE!</v>
      </c>
      <c r="F1868" t="s">
        <v>0</v>
      </c>
      <c r="G1868" s="1">
        <f>DATE(2023,11,16)</f>
        <v>45246</v>
      </c>
    </row>
    <row r="1869" spans="1:7" x14ac:dyDescent="0.35">
      <c r="A1869" s="2" t="s">
        <v>5245</v>
      </c>
      <c r="B1869" s="2" t="s">
        <v>5246</v>
      </c>
      <c r="D1869" t="s">
        <v>5756</v>
      </c>
      <c r="E1869" t="e">
        <v>#VALUE!</v>
      </c>
      <c r="F1869" t="s">
        <v>0</v>
      </c>
      <c r="G1869" s="1">
        <f>DATE(2023,11,16)</f>
        <v>45246</v>
      </c>
    </row>
    <row r="1870" spans="1:7" x14ac:dyDescent="0.35">
      <c r="A1870" s="2" t="s">
        <v>5247</v>
      </c>
      <c r="B1870" s="2" t="s">
        <v>5248</v>
      </c>
      <c r="C1870" s="2" t="s">
        <v>2030</v>
      </c>
      <c r="D1870" t="s">
        <v>6346</v>
      </c>
      <c r="E1870" t="s">
        <v>7983</v>
      </c>
      <c r="F1870" t="s">
        <v>0</v>
      </c>
      <c r="G1870" s="1">
        <f>DATE(2023,11,16)</f>
        <v>45246</v>
      </c>
    </row>
    <row r="1871" spans="1:7" x14ac:dyDescent="0.35">
      <c r="A1871" s="2" t="s">
        <v>5249</v>
      </c>
      <c r="B1871" s="2" t="s">
        <v>5250</v>
      </c>
      <c r="D1871" t="s">
        <v>5756</v>
      </c>
      <c r="E1871" t="e">
        <v>#VALUE!</v>
      </c>
      <c r="F1871" t="s">
        <v>0</v>
      </c>
      <c r="G1871" s="1">
        <f>DATE(2023,11,16)</f>
        <v>45246</v>
      </c>
    </row>
    <row r="1872" spans="1:7" x14ac:dyDescent="0.35">
      <c r="A1872" s="2" t="s">
        <v>5251</v>
      </c>
      <c r="B1872" s="2" t="s">
        <v>5252</v>
      </c>
      <c r="D1872" t="s">
        <v>5756</v>
      </c>
      <c r="E1872" t="e">
        <v>#VALUE!</v>
      </c>
      <c r="F1872" t="s">
        <v>0</v>
      </c>
      <c r="G1872" s="1">
        <f>DATE(2020,3,4)</f>
        <v>43894</v>
      </c>
    </row>
    <row r="1873" spans="1:7" x14ac:dyDescent="0.35">
      <c r="A1873" s="2" t="s">
        <v>5253</v>
      </c>
      <c r="B1873" s="2" t="s">
        <v>5254</v>
      </c>
      <c r="D1873" t="s">
        <v>5756</v>
      </c>
      <c r="E1873" t="e">
        <v>#VALUE!</v>
      </c>
      <c r="F1873" t="s">
        <v>0</v>
      </c>
      <c r="G1873" s="1">
        <f>DATE(2020,6,4)</f>
        <v>43986</v>
      </c>
    </row>
    <row r="1874" spans="1:7" x14ac:dyDescent="0.35">
      <c r="A1874" s="2" t="s">
        <v>5255</v>
      </c>
      <c r="B1874" s="2" t="s">
        <v>5256</v>
      </c>
      <c r="D1874" t="s">
        <v>5756</v>
      </c>
      <c r="E1874" t="e">
        <v>#VALUE!</v>
      </c>
      <c r="F1874" t="s">
        <v>0</v>
      </c>
      <c r="G1874" s="1">
        <f>DATE(2023,11,16)</f>
        <v>45246</v>
      </c>
    </row>
    <row r="1875" spans="1:7" x14ac:dyDescent="0.35">
      <c r="A1875" s="2" t="s">
        <v>5257</v>
      </c>
      <c r="B1875" s="2" t="s">
        <v>5258</v>
      </c>
      <c r="D1875" t="s">
        <v>5756</v>
      </c>
      <c r="E1875" t="e">
        <v>#VALUE!</v>
      </c>
      <c r="F1875" t="s">
        <v>0</v>
      </c>
      <c r="G1875" s="1">
        <f>DATE(2023,11,16)</f>
        <v>45246</v>
      </c>
    </row>
    <row r="1876" spans="1:7" x14ac:dyDescent="0.35">
      <c r="A1876" s="2" t="s">
        <v>5259</v>
      </c>
      <c r="B1876" s="2" t="s">
        <v>5260</v>
      </c>
      <c r="C1876" s="2" t="s">
        <v>784</v>
      </c>
      <c r="D1876" t="s">
        <v>5982</v>
      </c>
      <c r="E1876" t="s">
        <v>7618</v>
      </c>
      <c r="F1876" t="s">
        <v>0</v>
      </c>
      <c r="G1876" s="1">
        <f>DATE(2022,10,19)</f>
        <v>44853</v>
      </c>
    </row>
    <row r="1877" spans="1:7" x14ac:dyDescent="0.35">
      <c r="A1877" s="2" t="s">
        <v>5261</v>
      </c>
      <c r="B1877" s="2" t="s">
        <v>5262</v>
      </c>
      <c r="D1877" t="s">
        <v>5756</v>
      </c>
      <c r="E1877" t="e">
        <v>#VALUE!</v>
      </c>
      <c r="F1877" t="s">
        <v>0</v>
      </c>
      <c r="G1877" s="1">
        <f>DATE(2023,11,16)</f>
        <v>45246</v>
      </c>
    </row>
    <row r="1878" spans="1:7" x14ac:dyDescent="0.35">
      <c r="A1878" s="2" t="s">
        <v>5263</v>
      </c>
      <c r="B1878" s="2" t="s">
        <v>5264</v>
      </c>
      <c r="D1878" t="s">
        <v>5756</v>
      </c>
      <c r="E1878" t="e">
        <v>#VALUE!</v>
      </c>
      <c r="F1878" t="s">
        <v>0</v>
      </c>
      <c r="G1878" s="1">
        <f>DATE(2023,11,16)</f>
        <v>45246</v>
      </c>
    </row>
    <row r="1879" spans="1:7" x14ac:dyDescent="0.35">
      <c r="A1879" s="2" t="s">
        <v>5265</v>
      </c>
      <c r="B1879" s="2" t="s">
        <v>5266</v>
      </c>
      <c r="D1879" t="s">
        <v>5756</v>
      </c>
      <c r="E1879" t="e">
        <v>#VALUE!</v>
      </c>
      <c r="F1879" t="s">
        <v>0</v>
      </c>
      <c r="G1879" s="1">
        <f>DATE(2020,7,22)</f>
        <v>44034</v>
      </c>
    </row>
    <row r="1880" spans="1:7" x14ac:dyDescent="0.35">
      <c r="A1880" s="2" t="s">
        <v>5267</v>
      </c>
      <c r="B1880" s="2" t="s">
        <v>5268</v>
      </c>
      <c r="D1880" t="s">
        <v>5756</v>
      </c>
      <c r="E1880" t="e">
        <v>#VALUE!</v>
      </c>
      <c r="F1880" t="s">
        <v>0</v>
      </c>
      <c r="G1880" s="1">
        <f>DATE(2021,7,15)</f>
        <v>44392</v>
      </c>
    </row>
    <row r="1881" spans="1:7" x14ac:dyDescent="0.35">
      <c r="A1881" s="2" t="s">
        <v>5269</v>
      </c>
      <c r="B1881" s="2" t="s">
        <v>5270</v>
      </c>
      <c r="D1881" t="s">
        <v>5756</v>
      </c>
      <c r="E1881" t="e">
        <v>#VALUE!</v>
      </c>
      <c r="F1881" t="s">
        <v>0</v>
      </c>
      <c r="G1881" s="1">
        <f>DATE(2021,8,30)</f>
        <v>44438</v>
      </c>
    </row>
    <row r="1882" spans="1:7" x14ac:dyDescent="0.35">
      <c r="A1882" s="2" t="s">
        <v>5271</v>
      </c>
      <c r="B1882" s="2" t="s">
        <v>5272</v>
      </c>
      <c r="D1882" t="s">
        <v>5756</v>
      </c>
      <c r="E1882" t="e">
        <v>#VALUE!</v>
      </c>
      <c r="F1882" t="s">
        <v>0</v>
      </c>
      <c r="G1882" s="1">
        <f>DATE(2024,1,9)</f>
        <v>45300</v>
      </c>
    </row>
    <row r="1883" spans="1:7" x14ac:dyDescent="0.35">
      <c r="A1883" s="2" t="s">
        <v>5273</v>
      </c>
      <c r="B1883" s="2" t="s">
        <v>5274</v>
      </c>
      <c r="C1883" s="2" t="s">
        <v>5275</v>
      </c>
      <c r="D1883" t="s">
        <v>7230</v>
      </c>
      <c r="E1883" t="s">
        <v>8844</v>
      </c>
      <c r="F1883" t="s">
        <v>0</v>
      </c>
      <c r="G1883" s="1">
        <f>DATE(2024,6,13)</f>
        <v>45456</v>
      </c>
    </row>
    <row r="1884" spans="1:7" x14ac:dyDescent="0.35">
      <c r="A1884" s="2" t="s">
        <v>5276</v>
      </c>
      <c r="B1884" s="2" t="s">
        <v>5277</v>
      </c>
      <c r="C1884" s="2" t="s">
        <v>5278</v>
      </c>
      <c r="D1884" t="s">
        <v>7231</v>
      </c>
      <c r="E1884" t="s">
        <v>8845</v>
      </c>
      <c r="F1884" t="s">
        <v>0</v>
      </c>
      <c r="G1884" s="1">
        <f>DATE(2024,5,22)</f>
        <v>45434</v>
      </c>
    </row>
    <row r="1885" spans="1:7" x14ac:dyDescent="0.35">
      <c r="A1885" s="2" t="s">
        <v>5279</v>
      </c>
      <c r="B1885" s="2" t="s">
        <v>5280</v>
      </c>
      <c r="C1885" s="2" t="s">
        <v>5281</v>
      </c>
      <c r="D1885" t="s">
        <v>7232</v>
      </c>
      <c r="E1885" t="s">
        <v>8846</v>
      </c>
      <c r="F1885" t="s">
        <v>0</v>
      </c>
      <c r="G1885" s="1">
        <f>DATE(2024,5,22)</f>
        <v>45434</v>
      </c>
    </row>
    <row r="1886" spans="1:7" x14ac:dyDescent="0.35">
      <c r="A1886" s="2" t="s">
        <v>5282</v>
      </c>
      <c r="B1886" s="2" t="s">
        <v>5283</v>
      </c>
      <c r="C1886" s="2" t="s">
        <v>5284</v>
      </c>
      <c r="D1886" t="s">
        <v>7233</v>
      </c>
      <c r="E1886" t="s">
        <v>8847</v>
      </c>
      <c r="F1886" t="s">
        <v>0</v>
      </c>
      <c r="G1886" s="1">
        <f>DATE(2024,6,13)</f>
        <v>45456</v>
      </c>
    </row>
    <row r="1887" spans="1:7" x14ac:dyDescent="0.35">
      <c r="A1887" s="2" t="s">
        <v>5285</v>
      </c>
      <c r="B1887" s="2" t="s">
        <v>5286</v>
      </c>
      <c r="C1887" s="2" t="s">
        <v>5287</v>
      </c>
      <c r="D1887" t="s">
        <v>7234</v>
      </c>
      <c r="E1887" t="s">
        <v>8848</v>
      </c>
      <c r="F1887" t="s">
        <v>0</v>
      </c>
      <c r="G1887" s="1">
        <f>DATE(2024,6,18)</f>
        <v>45461</v>
      </c>
    </row>
    <row r="1888" spans="1:7" x14ac:dyDescent="0.35">
      <c r="A1888" s="2" t="s">
        <v>5288</v>
      </c>
      <c r="B1888" s="2" t="s">
        <v>5289</v>
      </c>
      <c r="C1888" s="2" t="s">
        <v>5290</v>
      </c>
      <c r="D1888" t="s">
        <v>7235</v>
      </c>
      <c r="E1888" t="s">
        <v>8849</v>
      </c>
      <c r="F1888" t="s">
        <v>0</v>
      </c>
      <c r="G1888" s="1">
        <f>DATE(2024,6,19)</f>
        <v>45462</v>
      </c>
    </row>
    <row r="1889" spans="1:7" x14ac:dyDescent="0.35">
      <c r="A1889" s="2" t="s">
        <v>5291</v>
      </c>
      <c r="B1889" s="2" t="s">
        <v>5292</v>
      </c>
      <c r="C1889" s="2" t="s">
        <v>5293</v>
      </c>
      <c r="D1889" t="s">
        <v>7236</v>
      </c>
      <c r="E1889" t="s">
        <v>8850</v>
      </c>
      <c r="F1889" t="s">
        <v>0</v>
      </c>
      <c r="G1889" s="1">
        <f t="shared" ref="G1889:G1899" si="29">DATE(2024,7,23)</f>
        <v>45496</v>
      </c>
    </row>
    <row r="1890" spans="1:7" x14ac:dyDescent="0.35">
      <c r="A1890" s="2" t="s">
        <v>5294</v>
      </c>
      <c r="B1890" s="2" t="s">
        <v>5295</v>
      </c>
      <c r="C1890" s="2" t="s">
        <v>5296</v>
      </c>
      <c r="D1890" t="s">
        <v>7237</v>
      </c>
      <c r="E1890" t="s">
        <v>8851</v>
      </c>
      <c r="F1890" t="s">
        <v>0</v>
      </c>
      <c r="G1890" s="1">
        <f t="shared" si="29"/>
        <v>45496</v>
      </c>
    </row>
    <row r="1891" spans="1:7" x14ac:dyDescent="0.35">
      <c r="A1891" s="2" t="s">
        <v>5297</v>
      </c>
      <c r="B1891" s="2" t="s">
        <v>5298</v>
      </c>
      <c r="C1891" s="2" t="s">
        <v>5299</v>
      </c>
      <c r="D1891" t="s">
        <v>7238</v>
      </c>
      <c r="E1891" t="s">
        <v>8852</v>
      </c>
      <c r="F1891" t="s">
        <v>0</v>
      </c>
      <c r="G1891" s="1">
        <f t="shared" si="29"/>
        <v>45496</v>
      </c>
    </row>
    <row r="1892" spans="1:7" x14ac:dyDescent="0.35">
      <c r="A1892" s="2" t="s">
        <v>5300</v>
      </c>
      <c r="B1892" s="2" t="s">
        <v>5301</v>
      </c>
      <c r="C1892" s="2" t="s">
        <v>5302</v>
      </c>
      <c r="D1892" t="s">
        <v>7239</v>
      </c>
      <c r="E1892" t="s">
        <v>8853</v>
      </c>
      <c r="F1892" t="s">
        <v>0</v>
      </c>
      <c r="G1892" s="1">
        <f t="shared" si="29"/>
        <v>45496</v>
      </c>
    </row>
    <row r="1893" spans="1:7" x14ac:dyDescent="0.35">
      <c r="A1893" s="2" t="s">
        <v>5303</v>
      </c>
      <c r="B1893" s="2" t="s">
        <v>5304</v>
      </c>
      <c r="C1893" s="2" t="s">
        <v>5305</v>
      </c>
      <c r="D1893" t="s">
        <v>7240</v>
      </c>
      <c r="E1893" t="s">
        <v>8854</v>
      </c>
      <c r="F1893" t="s">
        <v>0</v>
      </c>
      <c r="G1893" s="1">
        <f t="shared" si="29"/>
        <v>45496</v>
      </c>
    </row>
    <row r="1894" spans="1:7" x14ac:dyDescent="0.35">
      <c r="A1894" s="2" t="s">
        <v>5306</v>
      </c>
      <c r="B1894" s="2" t="s">
        <v>5307</v>
      </c>
      <c r="C1894" s="2" t="s">
        <v>5308</v>
      </c>
      <c r="D1894" t="s">
        <v>7241</v>
      </c>
      <c r="E1894" t="s">
        <v>8855</v>
      </c>
      <c r="F1894" t="s">
        <v>0</v>
      </c>
      <c r="G1894" s="1">
        <f t="shared" si="29"/>
        <v>45496</v>
      </c>
    </row>
    <row r="1895" spans="1:7" x14ac:dyDescent="0.35">
      <c r="A1895" s="2" t="s">
        <v>5309</v>
      </c>
      <c r="B1895" s="2" t="s">
        <v>5310</v>
      </c>
      <c r="C1895" s="2" t="s">
        <v>5311</v>
      </c>
      <c r="D1895" t="s">
        <v>7242</v>
      </c>
      <c r="E1895" t="s">
        <v>8856</v>
      </c>
      <c r="F1895" t="s">
        <v>0</v>
      </c>
      <c r="G1895" s="1">
        <f t="shared" si="29"/>
        <v>45496</v>
      </c>
    </row>
    <row r="1896" spans="1:7" x14ac:dyDescent="0.35">
      <c r="A1896" s="2" t="s">
        <v>5312</v>
      </c>
      <c r="B1896" s="2" t="s">
        <v>5313</v>
      </c>
      <c r="C1896" s="2" t="s">
        <v>5314</v>
      </c>
      <c r="D1896" t="s">
        <v>7243</v>
      </c>
      <c r="E1896" t="s">
        <v>8857</v>
      </c>
      <c r="F1896" t="s">
        <v>0</v>
      </c>
      <c r="G1896" s="1">
        <f t="shared" si="29"/>
        <v>45496</v>
      </c>
    </row>
    <row r="1897" spans="1:7" x14ac:dyDescent="0.35">
      <c r="A1897" s="2" t="s">
        <v>5315</v>
      </c>
      <c r="B1897" s="2" t="s">
        <v>5316</v>
      </c>
      <c r="C1897" s="2" t="s">
        <v>5317</v>
      </c>
      <c r="D1897" t="s">
        <v>7244</v>
      </c>
      <c r="E1897" t="s">
        <v>8858</v>
      </c>
      <c r="F1897" t="s">
        <v>0</v>
      </c>
      <c r="G1897" s="1">
        <f t="shared" si="29"/>
        <v>45496</v>
      </c>
    </row>
    <row r="1898" spans="1:7" x14ac:dyDescent="0.35">
      <c r="A1898" s="2" t="s">
        <v>5318</v>
      </c>
      <c r="B1898" s="2" t="s">
        <v>5319</v>
      </c>
      <c r="C1898" s="2" t="s">
        <v>5320</v>
      </c>
      <c r="D1898" t="s">
        <v>5830</v>
      </c>
      <c r="E1898" t="s">
        <v>7466</v>
      </c>
      <c r="F1898" t="s">
        <v>0</v>
      </c>
      <c r="G1898" s="1">
        <f t="shared" si="29"/>
        <v>45496</v>
      </c>
    </row>
    <row r="1899" spans="1:7" x14ac:dyDescent="0.35">
      <c r="A1899" s="2" t="s">
        <v>5321</v>
      </c>
      <c r="B1899" s="2" t="s">
        <v>5322</v>
      </c>
      <c r="C1899" s="2" t="s">
        <v>5323</v>
      </c>
      <c r="D1899" t="s">
        <v>7245</v>
      </c>
      <c r="E1899" t="s">
        <v>8859</v>
      </c>
      <c r="F1899" t="s">
        <v>0</v>
      </c>
      <c r="G1899" s="1">
        <f t="shared" si="29"/>
        <v>45496</v>
      </c>
    </row>
    <row r="1900" spans="1:7" x14ac:dyDescent="0.35">
      <c r="A1900" s="2" t="s">
        <v>5324</v>
      </c>
      <c r="B1900" s="2" t="s">
        <v>5325</v>
      </c>
      <c r="C1900" s="2" t="s">
        <v>5326</v>
      </c>
      <c r="D1900" t="s">
        <v>7246</v>
      </c>
      <c r="E1900" t="s">
        <v>8860</v>
      </c>
      <c r="F1900" t="s">
        <v>0</v>
      </c>
      <c r="G1900" s="1">
        <f>DATE(2024,6,12)</f>
        <v>45455</v>
      </c>
    </row>
    <row r="1901" spans="1:7" x14ac:dyDescent="0.35">
      <c r="A1901" s="2" t="s">
        <v>5327</v>
      </c>
      <c r="B1901" s="2" t="s">
        <v>5328</v>
      </c>
      <c r="C1901" s="2" t="s">
        <v>5329</v>
      </c>
      <c r="D1901" t="s">
        <v>7247</v>
      </c>
      <c r="E1901" t="s">
        <v>8861</v>
      </c>
      <c r="F1901" t="s">
        <v>0</v>
      </c>
      <c r="G1901" s="1">
        <f>DATE(2024,5,16)</f>
        <v>45428</v>
      </c>
    </row>
    <row r="1902" spans="1:7" x14ac:dyDescent="0.35">
      <c r="A1902" s="2" t="s">
        <v>5330</v>
      </c>
      <c r="B1902" s="2" t="s">
        <v>5331</v>
      </c>
      <c r="C1902" s="2" t="s">
        <v>5332</v>
      </c>
      <c r="D1902" t="s">
        <v>7248</v>
      </c>
      <c r="E1902" t="s">
        <v>8862</v>
      </c>
      <c r="F1902" t="s">
        <v>0</v>
      </c>
      <c r="G1902" s="1">
        <f>DATE(2024,6,11)</f>
        <v>45454</v>
      </c>
    </row>
    <row r="1903" spans="1:7" x14ac:dyDescent="0.35">
      <c r="A1903" s="2" t="s">
        <v>5333</v>
      </c>
      <c r="B1903" s="2" t="s">
        <v>5334</v>
      </c>
      <c r="C1903" s="2" t="s">
        <v>5335</v>
      </c>
      <c r="D1903" t="s">
        <v>7249</v>
      </c>
      <c r="E1903" t="s">
        <v>8863</v>
      </c>
      <c r="F1903" t="s">
        <v>0</v>
      </c>
      <c r="G1903" s="1">
        <f>DATE(2024,6,14)</f>
        <v>45457</v>
      </c>
    </row>
    <row r="1904" spans="1:7" x14ac:dyDescent="0.35">
      <c r="A1904" s="2" t="s">
        <v>5336</v>
      </c>
      <c r="B1904" s="2" t="s">
        <v>5337</v>
      </c>
      <c r="C1904" s="2" t="s">
        <v>5338</v>
      </c>
      <c r="D1904" t="s">
        <v>7250</v>
      </c>
      <c r="E1904" t="s">
        <v>8864</v>
      </c>
      <c r="F1904" t="s">
        <v>0</v>
      </c>
      <c r="G1904" s="1">
        <f>DATE(2024,6,14)</f>
        <v>45457</v>
      </c>
    </row>
    <row r="1905" spans="1:7" x14ac:dyDescent="0.35">
      <c r="A1905" s="2" t="s">
        <v>5339</v>
      </c>
      <c r="B1905" s="2" t="s">
        <v>5340</v>
      </c>
      <c r="C1905" s="2" t="s">
        <v>5341</v>
      </c>
      <c r="D1905" t="s">
        <v>7251</v>
      </c>
      <c r="E1905" t="s">
        <v>8865</v>
      </c>
      <c r="F1905" t="s">
        <v>0</v>
      </c>
      <c r="G1905" s="1">
        <f>DATE(2024,6,14)</f>
        <v>45457</v>
      </c>
    </row>
    <row r="1906" spans="1:7" x14ac:dyDescent="0.35">
      <c r="A1906" s="2" t="s">
        <v>5342</v>
      </c>
      <c r="B1906" s="2" t="s">
        <v>5340</v>
      </c>
      <c r="D1906" t="s">
        <v>5756</v>
      </c>
      <c r="E1906" t="e">
        <v>#VALUE!</v>
      </c>
      <c r="F1906" t="s">
        <v>0</v>
      </c>
      <c r="G1906" s="1">
        <f>DATE(2024,6,14)</f>
        <v>45457</v>
      </c>
    </row>
    <row r="1907" spans="1:7" x14ac:dyDescent="0.35">
      <c r="A1907" s="2" t="s">
        <v>5343</v>
      </c>
      <c r="B1907" s="2" t="s">
        <v>5344</v>
      </c>
      <c r="C1907" s="2" t="s">
        <v>5345</v>
      </c>
      <c r="D1907" t="s">
        <v>7252</v>
      </c>
      <c r="E1907" t="s">
        <v>8866</v>
      </c>
      <c r="F1907" t="s">
        <v>0</v>
      </c>
      <c r="G1907" s="1">
        <f>DATE(2024,7,22)</f>
        <v>45495</v>
      </c>
    </row>
    <row r="1908" spans="1:7" x14ac:dyDescent="0.35">
      <c r="A1908" s="2" t="s">
        <v>5346</v>
      </c>
      <c r="B1908" s="2" t="s">
        <v>5347</v>
      </c>
      <c r="C1908" s="2" t="s">
        <v>5348</v>
      </c>
      <c r="D1908" t="s">
        <v>7253</v>
      </c>
      <c r="E1908" t="s">
        <v>8867</v>
      </c>
      <c r="F1908" t="s">
        <v>0</v>
      </c>
      <c r="G1908" s="1">
        <f>DATE(2024,7,23)</f>
        <v>45496</v>
      </c>
    </row>
    <row r="1909" spans="1:7" x14ac:dyDescent="0.35">
      <c r="A1909" s="2" t="s">
        <v>5349</v>
      </c>
      <c r="B1909" s="2" t="s">
        <v>5350</v>
      </c>
      <c r="C1909" s="2" t="s">
        <v>5351</v>
      </c>
      <c r="D1909" t="s">
        <v>7254</v>
      </c>
      <c r="E1909" t="s">
        <v>8868</v>
      </c>
      <c r="F1909" t="s">
        <v>0</v>
      </c>
      <c r="G1909" s="1">
        <f>DATE(2024,7,23)</f>
        <v>45496</v>
      </c>
    </row>
    <row r="1910" spans="1:7" x14ac:dyDescent="0.35">
      <c r="A1910" s="2" t="s">
        <v>5352</v>
      </c>
      <c r="B1910" s="2" t="s">
        <v>5353</v>
      </c>
      <c r="C1910" s="2" t="s">
        <v>5354</v>
      </c>
      <c r="D1910" t="s">
        <v>7255</v>
      </c>
      <c r="E1910" t="s">
        <v>8869</v>
      </c>
      <c r="F1910" t="s">
        <v>0</v>
      </c>
      <c r="G1910" s="1">
        <f>DATE(2024,7,24)</f>
        <v>45497</v>
      </c>
    </row>
    <row r="1911" spans="1:7" x14ac:dyDescent="0.35">
      <c r="A1911" s="2" t="s">
        <v>5355</v>
      </c>
      <c r="B1911" s="2" t="s">
        <v>5356</v>
      </c>
      <c r="C1911" s="2" t="s">
        <v>5357</v>
      </c>
      <c r="D1911" t="s">
        <v>7256</v>
      </c>
      <c r="E1911" t="s">
        <v>8870</v>
      </c>
      <c r="F1911" t="s">
        <v>0</v>
      </c>
      <c r="G1911" s="1">
        <f>DATE(2024,7,24)</f>
        <v>45497</v>
      </c>
    </row>
    <row r="1912" spans="1:7" x14ac:dyDescent="0.35">
      <c r="A1912" s="2" t="s">
        <v>5358</v>
      </c>
      <c r="B1912" s="2" t="s">
        <v>5359</v>
      </c>
      <c r="C1912" s="2" t="s">
        <v>5360</v>
      </c>
      <c r="D1912" t="s">
        <v>7257</v>
      </c>
      <c r="E1912" t="s">
        <v>8871</v>
      </c>
      <c r="F1912" t="s">
        <v>0</v>
      </c>
      <c r="G1912" s="1">
        <f>DATE(2024,7,24)</f>
        <v>45497</v>
      </c>
    </row>
    <row r="1913" spans="1:7" x14ac:dyDescent="0.35">
      <c r="A1913" s="2" t="s">
        <v>5361</v>
      </c>
      <c r="B1913" s="2" t="s">
        <v>5362</v>
      </c>
      <c r="C1913" s="2" t="s">
        <v>5363</v>
      </c>
      <c r="D1913" t="s">
        <v>7258</v>
      </c>
      <c r="E1913" t="s">
        <v>8872</v>
      </c>
      <c r="F1913" t="s">
        <v>0</v>
      </c>
      <c r="G1913" s="1">
        <f>DATE(2024,7,24)</f>
        <v>45497</v>
      </c>
    </row>
    <row r="1914" spans="1:7" x14ac:dyDescent="0.35">
      <c r="A1914" s="2" t="s">
        <v>5364</v>
      </c>
      <c r="B1914" s="2" t="s">
        <v>5365</v>
      </c>
      <c r="C1914" s="2" t="s">
        <v>5366</v>
      </c>
      <c r="D1914" t="s">
        <v>7259</v>
      </c>
      <c r="E1914" t="s">
        <v>8873</v>
      </c>
      <c r="F1914" t="s">
        <v>0</v>
      </c>
      <c r="G1914" s="1">
        <f>DATE(2024,7,24)</f>
        <v>45497</v>
      </c>
    </row>
    <row r="1915" spans="1:7" x14ac:dyDescent="0.35">
      <c r="A1915" s="2" t="s">
        <v>5367</v>
      </c>
      <c r="B1915" s="2" t="s">
        <v>5368</v>
      </c>
      <c r="C1915" s="2" t="s">
        <v>5369</v>
      </c>
      <c r="D1915" t="s">
        <v>7260</v>
      </c>
      <c r="E1915" t="s">
        <v>8874</v>
      </c>
      <c r="F1915" t="s">
        <v>0</v>
      </c>
      <c r="G1915" s="1">
        <f>DATE(2024,7,25)</f>
        <v>45498</v>
      </c>
    </row>
    <row r="1916" spans="1:7" x14ac:dyDescent="0.35">
      <c r="A1916" s="2" t="s">
        <v>5370</v>
      </c>
      <c r="B1916" s="2" t="s">
        <v>5371</v>
      </c>
      <c r="C1916" s="2" t="s">
        <v>5372</v>
      </c>
      <c r="D1916" t="s">
        <v>7247</v>
      </c>
      <c r="E1916" t="s">
        <v>8861</v>
      </c>
      <c r="F1916" t="s">
        <v>0</v>
      </c>
      <c r="G1916" s="1">
        <f>DATE(2024,7,29)</f>
        <v>45502</v>
      </c>
    </row>
    <row r="1917" spans="1:7" x14ac:dyDescent="0.35">
      <c r="A1917" s="2" t="s">
        <v>5373</v>
      </c>
      <c r="B1917" s="2" t="s">
        <v>5374</v>
      </c>
      <c r="C1917" s="2" t="s">
        <v>5375</v>
      </c>
      <c r="D1917" t="s">
        <v>7261</v>
      </c>
      <c r="E1917" t="s">
        <v>8875</v>
      </c>
      <c r="F1917" t="s">
        <v>0</v>
      </c>
      <c r="G1917" s="1">
        <f>DATE(2024,8,2)</f>
        <v>45506</v>
      </c>
    </row>
    <row r="1918" spans="1:7" x14ac:dyDescent="0.35">
      <c r="A1918" s="2" t="s">
        <v>5376</v>
      </c>
      <c r="B1918" s="2" t="s">
        <v>5377</v>
      </c>
      <c r="C1918" s="2" t="s">
        <v>5378</v>
      </c>
      <c r="D1918" t="s">
        <v>5378</v>
      </c>
      <c r="E1918" t="e">
        <v>#VALUE!</v>
      </c>
      <c r="F1918" t="s">
        <v>0</v>
      </c>
      <c r="G1918" s="1">
        <f>DATE(2024,9,11)</f>
        <v>45546</v>
      </c>
    </row>
    <row r="1919" spans="1:7" x14ac:dyDescent="0.35">
      <c r="A1919" s="2" t="s">
        <v>5379</v>
      </c>
      <c r="B1919" s="2" t="s">
        <v>5380</v>
      </c>
      <c r="C1919" s="2" t="s">
        <v>5381</v>
      </c>
      <c r="D1919" t="s">
        <v>7262</v>
      </c>
      <c r="E1919" t="s">
        <v>8876</v>
      </c>
      <c r="F1919" t="s">
        <v>0</v>
      </c>
      <c r="G1919" s="1">
        <f>DATE(2024,9,2)</f>
        <v>45537</v>
      </c>
    </row>
    <row r="1920" spans="1:7" x14ac:dyDescent="0.35">
      <c r="A1920" s="2" t="s">
        <v>5382</v>
      </c>
      <c r="B1920" s="2" t="s">
        <v>5383</v>
      </c>
      <c r="C1920" s="2" t="s">
        <v>5384</v>
      </c>
      <c r="D1920" t="s">
        <v>7263</v>
      </c>
      <c r="E1920" t="s">
        <v>8877</v>
      </c>
      <c r="F1920" t="s">
        <v>0</v>
      </c>
      <c r="G1920" s="1">
        <f>DATE(2024,9,10)</f>
        <v>45545</v>
      </c>
    </row>
    <row r="1921" spans="1:7" x14ac:dyDescent="0.35">
      <c r="A1921" s="2" t="s">
        <v>5385</v>
      </c>
      <c r="B1921" s="2" t="s">
        <v>5386</v>
      </c>
      <c r="C1921" s="2" t="s">
        <v>5387</v>
      </c>
      <c r="D1921" t="s">
        <v>7264</v>
      </c>
      <c r="E1921" t="e">
        <v>#VALUE!</v>
      </c>
      <c r="F1921" t="s">
        <v>0</v>
      </c>
      <c r="G1921" s="1">
        <f>DATE(2024,9,11)</f>
        <v>45546</v>
      </c>
    </row>
    <row r="1922" spans="1:7" x14ac:dyDescent="0.35">
      <c r="A1922" s="2" t="s">
        <v>5388</v>
      </c>
      <c r="B1922" s="2" t="s">
        <v>5389</v>
      </c>
      <c r="C1922" s="2" t="s">
        <v>5390</v>
      </c>
      <c r="D1922" t="s">
        <v>7265</v>
      </c>
      <c r="E1922" t="s">
        <v>8878</v>
      </c>
      <c r="F1922" t="s">
        <v>0</v>
      </c>
      <c r="G1922" s="1">
        <f>DATE(2024,9,25)</f>
        <v>45560</v>
      </c>
    </row>
    <row r="1923" spans="1:7" x14ac:dyDescent="0.35">
      <c r="A1923" s="2" t="s">
        <v>5391</v>
      </c>
      <c r="B1923" s="2" t="s">
        <v>5392</v>
      </c>
      <c r="C1923" s="2" t="s">
        <v>5393</v>
      </c>
      <c r="D1923" t="s">
        <v>7266</v>
      </c>
      <c r="E1923" t="s">
        <v>8879</v>
      </c>
      <c r="F1923" t="s">
        <v>0</v>
      </c>
      <c r="G1923" s="1">
        <f>DATE(2024,9,30)</f>
        <v>45565</v>
      </c>
    </row>
    <row r="1924" spans="1:7" x14ac:dyDescent="0.35">
      <c r="A1924" s="2" t="s">
        <v>5394</v>
      </c>
      <c r="B1924" s="2" t="s">
        <v>5395</v>
      </c>
      <c r="C1924" s="2" t="s">
        <v>5396</v>
      </c>
      <c r="D1924" t="s">
        <v>7267</v>
      </c>
      <c r="E1924" t="e">
        <v>#VALUE!</v>
      </c>
      <c r="F1924" t="s">
        <v>0</v>
      </c>
      <c r="G1924" s="1">
        <f>DATE(2024,10,14)</f>
        <v>45579</v>
      </c>
    </row>
    <row r="1925" spans="1:7" x14ac:dyDescent="0.35">
      <c r="A1925" s="2" t="s">
        <v>5397</v>
      </c>
      <c r="B1925" s="2" t="s">
        <v>5398</v>
      </c>
      <c r="C1925" s="2" t="s">
        <v>5399</v>
      </c>
      <c r="D1925" t="s">
        <v>7268</v>
      </c>
      <c r="E1925" t="e">
        <v>#VALUE!</v>
      </c>
      <c r="F1925" t="s">
        <v>0</v>
      </c>
      <c r="G1925" s="1">
        <f>DATE(2024,10,14)</f>
        <v>45579</v>
      </c>
    </row>
    <row r="1926" spans="1:7" x14ac:dyDescent="0.35">
      <c r="A1926" s="2" t="s">
        <v>5400</v>
      </c>
      <c r="B1926" s="2" t="s">
        <v>5401</v>
      </c>
      <c r="C1926" s="2" t="s">
        <v>5402</v>
      </c>
      <c r="D1926" t="s">
        <v>7269</v>
      </c>
      <c r="E1926" t="s">
        <v>8880</v>
      </c>
      <c r="F1926" t="s">
        <v>0</v>
      </c>
      <c r="G1926" s="1">
        <f>DATE(2024,10,14)</f>
        <v>45579</v>
      </c>
    </row>
    <row r="1927" spans="1:7" x14ac:dyDescent="0.35">
      <c r="A1927" s="2" t="s">
        <v>5403</v>
      </c>
      <c r="B1927" s="2" t="s">
        <v>5404</v>
      </c>
      <c r="C1927" s="2" t="s">
        <v>5405</v>
      </c>
      <c r="D1927" t="s">
        <v>7270</v>
      </c>
      <c r="E1927" t="s">
        <v>8881</v>
      </c>
      <c r="F1927" t="s">
        <v>0</v>
      </c>
      <c r="G1927" s="1">
        <f>DATE(2024,10,23)</f>
        <v>45588</v>
      </c>
    </row>
    <row r="1928" spans="1:7" x14ac:dyDescent="0.35">
      <c r="A1928" s="2" t="s">
        <v>5406</v>
      </c>
      <c r="B1928" s="2" t="s">
        <v>5407</v>
      </c>
      <c r="C1928" s="2" t="s">
        <v>5408</v>
      </c>
      <c r="D1928" t="s">
        <v>7271</v>
      </c>
      <c r="E1928" t="s">
        <v>8882</v>
      </c>
      <c r="F1928" t="s">
        <v>0</v>
      </c>
      <c r="G1928" s="1">
        <f>DATE(2024,10,29)</f>
        <v>45594</v>
      </c>
    </row>
    <row r="1929" spans="1:7" x14ac:dyDescent="0.35">
      <c r="A1929" s="2" t="s">
        <v>5409</v>
      </c>
      <c r="B1929" s="2" t="s">
        <v>5410</v>
      </c>
      <c r="C1929" s="2" t="s">
        <v>5411</v>
      </c>
      <c r="D1929" t="s">
        <v>7272</v>
      </c>
      <c r="E1929" t="s">
        <v>8883</v>
      </c>
      <c r="F1929" t="s">
        <v>0</v>
      </c>
      <c r="G1929" s="1">
        <f>DATE(2024,10,29)</f>
        <v>45594</v>
      </c>
    </row>
    <row r="1930" spans="1:7" x14ac:dyDescent="0.35">
      <c r="A1930" s="2" t="s">
        <v>5412</v>
      </c>
      <c r="B1930" s="2" t="s">
        <v>5413</v>
      </c>
      <c r="C1930" s="2" t="s">
        <v>5414</v>
      </c>
      <c r="D1930" t="s">
        <v>7273</v>
      </c>
      <c r="E1930" t="s">
        <v>8884</v>
      </c>
      <c r="F1930" t="s">
        <v>0</v>
      </c>
      <c r="G1930" s="1">
        <f>DATE(2024,10,29)</f>
        <v>45594</v>
      </c>
    </row>
    <row r="1931" spans="1:7" x14ac:dyDescent="0.35">
      <c r="A1931" s="2" t="s">
        <v>5415</v>
      </c>
      <c r="B1931" s="2" t="s">
        <v>5416</v>
      </c>
      <c r="C1931" s="2" t="s">
        <v>5417</v>
      </c>
      <c r="D1931" t="s">
        <v>7274</v>
      </c>
      <c r="E1931" t="s">
        <v>8885</v>
      </c>
      <c r="F1931" t="s">
        <v>0</v>
      </c>
      <c r="G1931" s="1">
        <f>DATE(2024,10,30)</f>
        <v>45595</v>
      </c>
    </row>
    <row r="1932" spans="1:7" x14ac:dyDescent="0.35">
      <c r="A1932" s="2" t="s">
        <v>5418</v>
      </c>
      <c r="B1932" s="2" t="s">
        <v>5419</v>
      </c>
      <c r="C1932" s="2" t="s">
        <v>5420</v>
      </c>
      <c r="D1932" t="s">
        <v>5420</v>
      </c>
      <c r="E1932" t="s">
        <v>8886</v>
      </c>
      <c r="F1932" t="s">
        <v>0</v>
      </c>
      <c r="G1932" s="1">
        <f>DATE(2024,11,13)</f>
        <v>45609</v>
      </c>
    </row>
    <row r="1933" spans="1:7" x14ac:dyDescent="0.35">
      <c r="A1933" s="2" t="s">
        <v>5421</v>
      </c>
      <c r="B1933" s="2" t="s">
        <v>5422</v>
      </c>
      <c r="C1933" s="2" t="s">
        <v>5423</v>
      </c>
      <c r="D1933" t="s">
        <v>7275</v>
      </c>
      <c r="E1933" t="e">
        <v>#VALUE!</v>
      </c>
      <c r="F1933" t="s">
        <v>0</v>
      </c>
      <c r="G1933" s="1">
        <f>DATE(2024,11,13)</f>
        <v>45609</v>
      </c>
    </row>
    <row r="1934" spans="1:7" x14ac:dyDescent="0.35">
      <c r="A1934" s="2" t="s">
        <v>5424</v>
      </c>
      <c r="B1934" s="2" t="s">
        <v>5425</v>
      </c>
      <c r="C1934" s="2" t="s">
        <v>5426</v>
      </c>
      <c r="D1934" t="s">
        <v>7276</v>
      </c>
      <c r="E1934" t="s">
        <v>8887</v>
      </c>
      <c r="F1934" t="s">
        <v>0</v>
      </c>
      <c r="G1934" s="1">
        <f>DATE(2024,11,26)</f>
        <v>45622</v>
      </c>
    </row>
    <row r="1935" spans="1:7" x14ac:dyDescent="0.35">
      <c r="A1935" s="2" t="s">
        <v>5427</v>
      </c>
      <c r="B1935" s="2" t="s">
        <v>5428</v>
      </c>
      <c r="C1935" s="2" t="s">
        <v>5429</v>
      </c>
      <c r="D1935" t="s">
        <v>7277</v>
      </c>
      <c r="E1935" t="s">
        <v>8888</v>
      </c>
      <c r="F1935" t="s">
        <v>0</v>
      </c>
      <c r="G1935" s="1">
        <f>DATE(2024,11,26)</f>
        <v>45622</v>
      </c>
    </row>
    <row r="1936" spans="1:7" x14ac:dyDescent="0.35">
      <c r="A1936" s="2" t="s">
        <v>5430</v>
      </c>
      <c r="B1936" s="2" t="s">
        <v>5431</v>
      </c>
      <c r="C1936" s="2" t="s">
        <v>5432</v>
      </c>
      <c r="D1936" t="s">
        <v>7278</v>
      </c>
      <c r="E1936" t="s">
        <v>8889</v>
      </c>
      <c r="F1936" t="s">
        <v>0</v>
      </c>
      <c r="G1936" s="1">
        <f>DATE(2024,11,26)</f>
        <v>45622</v>
      </c>
    </row>
    <row r="1937" spans="1:7" x14ac:dyDescent="0.35">
      <c r="A1937" s="2" t="s">
        <v>5433</v>
      </c>
      <c r="B1937" s="2" t="s">
        <v>5434</v>
      </c>
      <c r="C1937" s="2" t="s">
        <v>5435</v>
      </c>
      <c r="D1937" t="s">
        <v>7279</v>
      </c>
      <c r="E1937" t="s">
        <v>8890</v>
      </c>
      <c r="F1937" t="s">
        <v>0</v>
      </c>
      <c r="G1937" s="1">
        <f>DATE(2024,11,26)</f>
        <v>45622</v>
      </c>
    </row>
    <row r="1938" spans="1:7" x14ac:dyDescent="0.35">
      <c r="A1938" s="2" t="s">
        <v>5436</v>
      </c>
      <c r="B1938" s="2" t="s">
        <v>5437</v>
      </c>
      <c r="C1938" s="2" t="s">
        <v>5438</v>
      </c>
      <c r="D1938" t="s">
        <v>7280</v>
      </c>
      <c r="E1938" t="s">
        <v>8891</v>
      </c>
      <c r="F1938" t="s">
        <v>0</v>
      </c>
      <c r="G1938" s="1">
        <f>DATE(2024,12,4)</f>
        <v>45630</v>
      </c>
    </row>
    <row r="1939" spans="1:7" x14ac:dyDescent="0.35">
      <c r="A1939" s="2" t="s">
        <v>5439</v>
      </c>
      <c r="B1939" s="2" t="s">
        <v>5440</v>
      </c>
      <c r="C1939" s="2" t="s">
        <v>5441</v>
      </c>
      <c r="D1939" t="s">
        <v>7281</v>
      </c>
      <c r="E1939" t="s">
        <v>8892</v>
      </c>
      <c r="F1939" t="s">
        <v>0</v>
      </c>
      <c r="G1939" s="1">
        <f>DATE(2024,12,4)</f>
        <v>45630</v>
      </c>
    </row>
    <row r="1940" spans="1:7" x14ac:dyDescent="0.35">
      <c r="A1940" s="2" t="s">
        <v>5442</v>
      </c>
      <c r="B1940" s="2" t="s">
        <v>5443</v>
      </c>
      <c r="C1940" s="2" t="s">
        <v>5444</v>
      </c>
      <c r="D1940" t="s">
        <v>7282</v>
      </c>
      <c r="E1940" t="s">
        <v>8893</v>
      </c>
      <c r="F1940" t="s">
        <v>0</v>
      </c>
      <c r="G1940" s="1">
        <f>DATE(2024,12,10)</f>
        <v>45636</v>
      </c>
    </row>
    <row r="1941" spans="1:7" x14ac:dyDescent="0.35">
      <c r="A1941" s="2" t="s">
        <v>5445</v>
      </c>
      <c r="B1941" s="2" t="s">
        <v>5446</v>
      </c>
      <c r="C1941" s="2" t="s">
        <v>5447</v>
      </c>
      <c r="D1941" t="s">
        <v>7283</v>
      </c>
      <c r="E1941" t="s">
        <v>8894</v>
      </c>
      <c r="F1941" t="s">
        <v>0</v>
      </c>
      <c r="G1941" s="1">
        <f>DATE(2024,12,11)</f>
        <v>45637</v>
      </c>
    </row>
    <row r="1942" spans="1:7" x14ac:dyDescent="0.35">
      <c r="A1942" s="2" t="s">
        <v>5448</v>
      </c>
      <c r="B1942" s="2" t="s">
        <v>5449</v>
      </c>
      <c r="C1942" s="2" t="s">
        <v>5450</v>
      </c>
      <c r="D1942" t="s">
        <v>7284</v>
      </c>
      <c r="E1942" t="s">
        <v>8895</v>
      </c>
      <c r="F1942" t="s">
        <v>0</v>
      </c>
      <c r="G1942" s="1">
        <f>DATE(2024,12,11)</f>
        <v>45637</v>
      </c>
    </row>
    <row r="1943" spans="1:7" x14ac:dyDescent="0.35">
      <c r="A1943" s="2" t="s">
        <v>5451</v>
      </c>
      <c r="B1943" s="2" t="s">
        <v>5452</v>
      </c>
      <c r="C1943" s="2" t="s">
        <v>5453</v>
      </c>
      <c r="D1943" t="s">
        <v>7285</v>
      </c>
      <c r="E1943" t="s">
        <v>8896</v>
      </c>
      <c r="F1943" t="s">
        <v>0</v>
      </c>
      <c r="G1943" s="1">
        <f>DATE(2024,12,12)</f>
        <v>45638</v>
      </c>
    </row>
    <row r="1944" spans="1:7" x14ac:dyDescent="0.35">
      <c r="A1944" s="2" t="s">
        <v>5454</v>
      </c>
      <c r="B1944" s="2" t="s">
        <v>5455</v>
      </c>
      <c r="C1944" s="2" t="s">
        <v>5456</v>
      </c>
      <c r="D1944" t="s">
        <v>7286</v>
      </c>
      <c r="E1944" t="s">
        <v>8897</v>
      </c>
      <c r="F1944" t="s">
        <v>0</v>
      </c>
      <c r="G1944" s="1">
        <f>DATE(2024,12,16)</f>
        <v>45642</v>
      </c>
    </row>
    <row r="1945" spans="1:7" x14ac:dyDescent="0.35">
      <c r="A1945" s="2" t="s">
        <v>5457</v>
      </c>
      <c r="B1945" s="2" t="s">
        <v>5458</v>
      </c>
      <c r="C1945" s="2" t="s">
        <v>5459</v>
      </c>
      <c r="D1945" t="s">
        <v>7287</v>
      </c>
      <c r="E1945" t="e">
        <v>#VALUE!</v>
      </c>
      <c r="F1945" t="s">
        <v>0</v>
      </c>
      <c r="G1945" s="1">
        <f>DATE(2025,5,5)</f>
        <v>45782</v>
      </c>
    </row>
    <row r="1946" spans="1:7" x14ac:dyDescent="0.35">
      <c r="A1946" s="2" t="s">
        <v>5460</v>
      </c>
      <c r="B1946" s="2" t="s">
        <v>5461</v>
      </c>
      <c r="C1946" s="2" t="s">
        <v>5462</v>
      </c>
      <c r="D1946" t="s">
        <v>7288</v>
      </c>
      <c r="E1946" t="s">
        <v>8898</v>
      </c>
      <c r="F1946" t="s">
        <v>0</v>
      </c>
      <c r="G1946" s="1">
        <f>DATE(2025,5,5)</f>
        <v>45782</v>
      </c>
    </row>
    <row r="1947" spans="1:7" x14ac:dyDescent="0.35">
      <c r="A1947" s="2" t="s">
        <v>5463</v>
      </c>
      <c r="B1947" s="2" t="s">
        <v>5464</v>
      </c>
      <c r="C1947" s="2" t="s">
        <v>5465</v>
      </c>
      <c r="D1947" t="s">
        <v>7289</v>
      </c>
      <c r="E1947" t="s">
        <v>8899</v>
      </c>
      <c r="F1947" t="s">
        <v>0</v>
      </c>
      <c r="G1947" s="1">
        <f>DATE(2025,6,4)</f>
        <v>45812</v>
      </c>
    </row>
    <row r="1948" spans="1:7" x14ac:dyDescent="0.35">
      <c r="A1948" s="2" t="s">
        <v>5466</v>
      </c>
      <c r="B1948" s="2" t="s">
        <v>5467</v>
      </c>
      <c r="C1948" s="2" t="s">
        <v>5468</v>
      </c>
      <c r="D1948" t="s">
        <v>7290</v>
      </c>
      <c r="E1948" t="e">
        <v>#VALUE!</v>
      </c>
      <c r="F1948" t="s">
        <v>0</v>
      </c>
      <c r="G1948" s="1">
        <f>DATE(2025,6,10)</f>
        <v>45818</v>
      </c>
    </row>
    <row r="1949" spans="1:7" x14ac:dyDescent="0.35">
      <c r="A1949" s="2" t="s">
        <v>5469</v>
      </c>
      <c r="B1949" s="2" t="s">
        <v>5470</v>
      </c>
      <c r="C1949" s="2" t="s">
        <v>5471</v>
      </c>
      <c r="D1949" t="s">
        <v>7291</v>
      </c>
      <c r="E1949" t="s">
        <v>8900</v>
      </c>
      <c r="F1949" t="s">
        <v>0</v>
      </c>
      <c r="G1949" s="1">
        <f>DATE(2025,7,3)</f>
        <v>45841</v>
      </c>
    </row>
    <row r="1950" spans="1:7" x14ac:dyDescent="0.35">
      <c r="A1950" s="2" t="s">
        <v>5472</v>
      </c>
      <c r="B1950" s="2" t="s">
        <v>5473</v>
      </c>
      <c r="C1950" s="2" t="s">
        <v>5474</v>
      </c>
      <c r="D1950" t="s">
        <v>7292</v>
      </c>
      <c r="E1950" t="e">
        <v>#VALUE!</v>
      </c>
      <c r="F1950" t="s">
        <v>0</v>
      </c>
      <c r="G1950" s="1">
        <f>DATE(2025,7,17)</f>
        <v>45855</v>
      </c>
    </row>
    <row r="1951" spans="1:7" x14ac:dyDescent="0.35">
      <c r="A1951" s="2" t="s">
        <v>5475</v>
      </c>
      <c r="B1951" s="2" t="s">
        <v>5476</v>
      </c>
      <c r="C1951" s="2" t="s">
        <v>5477</v>
      </c>
      <c r="D1951" t="s">
        <v>7293</v>
      </c>
      <c r="E1951" t="e">
        <v>#VALUE!</v>
      </c>
      <c r="F1951" t="s">
        <v>0</v>
      </c>
      <c r="G1951" s="1">
        <f>DATE(2025,7,18)</f>
        <v>45856</v>
      </c>
    </row>
    <row r="1952" spans="1:7" x14ac:dyDescent="0.35">
      <c r="A1952" s="2" t="s">
        <v>5478</v>
      </c>
      <c r="B1952" s="2" t="s">
        <v>5479</v>
      </c>
      <c r="C1952" s="2" t="s">
        <v>5480</v>
      </c>
      <c r="D1952" t="s">
        <v>7294</v>
      </c>
      <c r="E1952" t="e">
        <v>#VALUE!</v>
      </c>
      <c r="F1952" t="s">
        <v>0</v>
      </c>
      <c r="G1952" s="1">
        <f>DATE(2025,6,10)</f>
        <v>45818</v>
      </c>
    </row>
    <row r="1953" spans="1:7" x14ac:dyDescent="0.35">
      <c r="A1953" s="2" t="s">
        <v>5481</v>
      </c>
      <c r="B1953" s="2" t="s">
        <v>5482</v>
      </c>
      <c r="C1953" s="2" t="s">
        <v>5483</v>
      </c>
      <c r="D1953" t="s">
        <v>7295</v>
      </c>
      <c r="E1953" t="e">
        <v>#VALUE!</v>
      </c>
      <c r="F1953" t="s">
        <v>0</v>
      </c>
      <c r="G1953" s="1">
        <f>DATE(2025,6,10)</f>
        <v>45818</v>
      </c>
    </row>
    <row r="1954" spans="1:7" x14ac:dyDescent="0.35">
      <c r="A1954" s="2" t="s">
        <v>5484</v>
      </c>
      <c r="B1954" s="2" t="s">
        <v>5485</v>
      </c>
      <c r="C1954" s="2" t="s">
        <v>5486</v>
      </c>
      <c r="D1954" t="s">
        <v>7296</v>
      </c>
      <c r="E1954" t="s">
        <v>8901</v>
      </c>
      <c r="F1954" t="s">
        <v>0</v>
      </c>
      <c r="G1954" s="1">
        <f>DATE(2025,6,16)</f>
        <v>45824</v>
      </c>
    </row>
    <row r="1955" spans="1:7" x14ac:dyDescent="0.35">
      <c r="A1955" s="2" t="s">
        <v>5487</v>
      </c>
      <c r="B1955" s="2" t="s">
        <v>5488</v>
      </c>
      <c r="C1955" s="2" t="s">
        <v>5489</v>
      </c>
      <c r="D1955" t="s">
        <v>7297</v>
      </c>
      <c r="E1955" t="s">
        <v>8902</v>
      </c>
      <c r="F1955" t="s">
        <v>0</v>
      </c>
      <c r="G1955" s="1">
        <f>DATE(2025,7,8)</f>
        <v>45846</v>
      </c>
    </row>
    <row r="1956" spans="1:7" x14ac:dyDescent="0.35">
      <c r="A1956" s="2" t="s">
        <v>5490</v>
      </c>
      <c r="B1956" s="2" t="s">
        <v>5491</v>
      </c>
      <c r="C1956" s="2" t="s">
        <v>5492</v>
      </c>
      <c r="D1956" t="s">
        <v>7298</v>
      </c>
      <c r="E1956" t="s">
        <v>8903</v>
      </c>
      <c r="F1956" t="s">
        <v>0</v>
      </c>
      <c r="G1956" s="1">
        <f>DATE(2025,7,17)</f>
        <v>45855</v>
      </c>
    </row>
    <row r="1957" spans="1:7" x14ac:dyDescent="0.35">
      <c r="A1957" s="2" t="s">
        <v>5493</v>
      </c>
      <c r="B1957" s="2" t="s">
        <v>5494</v>
      </c>
      <c r="C1957" s="2" t="s">
        <v>5495</v>
      </c>
      <c r="D1957" t="s">
        <v>7299</v>
      </c>
      <c r="E1957" t="s">
        <v>8904</v>
      </c>
      <c r="F1957" t="s">
        <v>0</v>
      </c>
      <c r="G1957" s="1">
        <f>DATE(2025,5,2)</f>
        <v>45779</v>
      </c>
    </row>
    <row r="1958" spans="1:7" x14ac:dyDescent="0.35">
      <c r="A1958" s="2" t="s">
        <v>5496</v>
      </c>
      <c r="B1958" s="2" t="s">
        <v>5497</v>
      </c>
      <c r="C1958" s="2" t="s">
        <v>5498</v>
      </c>
      <c r="D1958" t="s">
        <v>7300</v>
      </c>
      <c r="E1958" t="s">
        <v>8905</v>
      </c>
      <c r="F1958" t="s">
        <v>0</v>
      </c>
      <c r="G1958" s="1">
        <f>DATE(2025,5,16)</f>
        <v>45793</v>
      </c>
    </row>
    <row r="1959" spans="1:7" x14ac:dyDescent="0.35">
      <c r="A1959" s="2" t="s">
        <v>5499</v>
      </c>
      <c r="B1959" s="2" t="s">
        <v>5500</v>
      </c>
      <c r="C1959" s="2" t="s">
        <v>5501</v>
      </c>
      <c r="D1959" t="s">
        <v>7301</v>
      </c>
      <c r="E1959" t="e">
        <v>#VALUE!</v>
      </c>
      <c r="F1959" t="s">
        <v>0</v>
      </c>
      <c r="G1959" s="1">
        <f>DATE(2025,6,10)</f>
        <v>45818</v>
      </c>
    </row>
    <row r="1960" spans="1:7" x14ac:dyDescent="0.35">
      <c r="A1960" s="2" t="s">
        <v>5502</v>
      </c>
      <c r="B1960" s="2" t="s">
        <v>5503</v>
      </c>
      <c r="C1960" s="2" t="s">
        <v>5504</v>
      </c>
      <c r="D1960" t="s">
        <v>7302</v>
      </c>
      <c r="E1960" t="e">
        <v>#VALUE!</v>
      </c>
      <c r="F1960" t="s">
        <v>0</v>
      </c>
      <c r="G1960" s="1">
        <f>DATE(2025,6,10)</f>
        <v>45818</v>
      </c>
    </row>
    <row r="1961" spans="1:7" x14ac:dyDescent="0.35">
      <c r="A1961" s="2" t="s">
        <v>5505</v>
      </c>
      <c r="B1961" s="2" t="s">
        <v>5506</v>
      </c>
      <c r="C1961" s="2" t="s">
        <v>5507</v>
      </c>
      <c r="D1961" t="s">
        <v>7303</v>
      </c>
      <c r="E1961" t="s">
        <v>8906</v>
      </c>
      <c r="F1961" t="s">
        <v>0</v>
      </c>
      <c r="G1961" s="1">
        <f>DATE(2025,6,23)</f>
        <v>45831</v>
      </c>
    </row>
    <row r="1962" spans="1:7" x14ac:dyDescent="0.35">
      <c r="A1962" s="2" t="s">
        <v>5508</v>
      </c>
      <c r="B1962" s="2" t="s">
        <v>5509</v>
      </c>
      <c r="C1962" s="2" t="s">
        <v>5510</v>
      </c>
      <c r="D1962" t="s">
        <v>7304</v>
      </c>
      <c r="E1962" t="s">
        <v>8907</v>
      </c>
      <c r="F1962" t="s">
        <v>0</v>
      </c>
      <c r="G1962" s="1">
        <f>DATE(2025,7,3)</f>
        <v>45841</v>
      </c>
    </row>
    <row r="1963" spans="1:7" x14ac:dyDescent="0.35">
      <c r="A1963" s="2" t="s">
        <v>5511</v>
      </c>
      <c r="B1963" s="2" t="s">
        <v>5512</v>
      </c>
      <c r="C1963" s="2" t="s">
        <v>5513</v>
      </c>
      <c r="D1963" t="s">
        <v>7305</v>
      </c>
      <c r="E1963" t="s">
        <v>8908</v>
      </c>
      <c r="F1963" t="s">
        <v>0</v>
      </c>
      <c r="G1963" s="1">
        <f>DATE(2025,7,15)</f>
        <v>45853</v>
      </c>
    </row>
    <row r="1964" spans="1:7" x14ac:dyDescent="0.35">
      <c r="A1964" s="2" t="s">
        <v>5514</v>
      </c>
      <c r="B1964" s="2" t="s">
        <v>5515</v>
      </c>
      <c r="C1964" s="2" t="s">
        <v>5516</v>
      </c>
      <c r="D1964" t="s">
        <v>7306</v>
      </c>
      <c r="E1964" t="s">
        <v>8909</v>
      </c>
      <c r="F1964" t="s">
        <v>0</v>
      </c>
      <c r="G1964" s="1">
        <f>DATE(2025,7,21)</f>
        <v>45859</v>
      </c>
    </row>
    <row r="1965" spans="1:7" x14ac:dyDescent="0.35">
      <c r="A1965" s="2" t="s">
        <v>5517</v>
      </c>
      <c r="B1965" s="2" t="s">
        <v>5518</v>
      </c>
      <c r="C1965" s="2" t="s">
        <v>5519</v>
      </c>
      <c r="D1965" t="s">
        <v>7307</v>
      </c>
      <c r="E1965" t="s">
        <v>8910</v>
      </c>
      <c r="F1965" t="s">
        <v>0</v>
      </c>
      <c r="G1965" s="1">
        <f>DATE(2025,5,15)</f>
        <v>45792</v>
      </c>
    </row>
    <row r="1966" spans="1:7" x14ac:dyDescent="0.35">
      <c r="A1966" s="2" t="s">
        <v>5520</v>
      </c>
      <c r="B1966" s="2" t="s">
        <v>5521</v>
      </c>
      <c r="C1966" s="2" t="s">
        <v>5522</v>
      </c>
      <c r="D1966" t="s">
        <v>7308</v>
      </c>
      <c r="E1966" t="s">
        <v>8911</v>
      </c>
      <c r="F1966" t="s">
        <v>0</v>
      </c>
      <c r="G1966" s="1">
        <f>DATE(2025,5,22)</f>
        <v>45799</v>
      </c>
    </row>
    <row r="1967" spans="1:7" x14ac:dyDescent="0.35">
      <c r="A1967" s="2" t="s">
        <v>5523</v>
      </c>
      <c r="B1967" s="2" t="s">
        <v>5524</v>
      </c>
      <c r="C1967" s="2" t="s">
        <v>5525</v>
      </c>
      <c r="D1967" t="s">
        <v>7309</v>
      </c>
      <c r="E1967" t="s">
        <v>8912</v>
      </c>
      <c r="F1967" t="s">
        <v>0</v>
      </c>
      <c r="G1967" s="1">
        <f>DATE(2025,6,3)</f>
        <v>45811</v>
      </c>
    </row>
    <row r="1968" spans="1:7" x14ac:dyDescent="0.35">
      <c r="A1968" s="2" t="s">
        <v>5526</v>
      </c>
      <c r="B1968" s="2" t="s">
        <v>5527</v>
      </c>
      <c r="C1968" s="2" t="s">
        <v>5528</v>
      </c>
      <c r="D1968" t="s">
        <v>7310</v>
      </c>
      <c r="E1968" t="s">
        <v>8913</v>
      </c>
      <c r="F1968" t="s">
        <v>0</v>
      </c>
      <c r="G1968" s="1">
        <f>DATE(2025,6,19)</f>
        <v>45827</v>
      </c>
    </row>
    <row r="1969" spans="1:7" x14ac:dyDescent="0.35">
      <c r="A1969" s="2" t="s">
        <v>5529</v>
      </c>
      <c r="B1969" s="2" t="s">
        <v>5530</v>
      </c>
      <c r="C1969" s="2" t="s">
        <v>5531</v>
      </c>
      <c r="D1969" t="s">
        <v>7311</v>
      </c>
      <c r="E1969" t="e">
        <v>#VALUE!</v>
      </c>
      <c r="F1969" t="s">
        <v>0</v>
      </c>
      <c r="G1969" s="1">
        <f>DATE(2025,6,27)</f>
        <v>45835</v>
      </c>
    </row>
    <row r="1970" spans="1:7" x14ac:dyDescent="0.35">
      <c r="A1970" s="2" t="s">
        <v>5532</v>
      </c>
      <c r="B1970" s="2" t="s">
        <v>5533</v>
      </c>
      <c r="C1970" s="2" t="s">
        <v>5534</v>
      </c>
      <c r="D1970" t="s">
        <v>7312</v>
      </c>
      <c r="E1970" t="s">
        <v>8914</v>
      </c>
      <c r="F1970" t="s">
        <v>0</v>
      </c>
      <c r="G1970" s="1">
        <f>DATE(2025,6,27)</f>
        <v>45835</v>
      </c>
    </row>
    <row r="1971" spans="1:7" x14ac:dyDescent="0.35">
      <c r="A1971" s="2" t="s">
        <v>5535</v>
      </c>
      <c r="B1971" s="2" t="s">
        <v>4853</v>
      </c>
      <c r="C1971" s="2" t="s">
        <v>5536</v>
      </c>
      <c r="D1971" t="s">
        <v>7313</v>
      </c>
      <c r="E1971" t="s">
        <v>8915</v>
      </c>
      <c r="F1971" t="s">
        <v>0</v>
      </c>
      <c r="G1971" s="1">
        <f>DATE(2025,7,9)</f>
        <v>45847</v>
      </c>
    </row>
    <row r="1972" spans="1:7" x14ac:dyDescent="0.35">
      <c r="A1972" s="2" t="s">
        <v>5537</v>
      </c>
      <c r="B1972" s="2" t="s">
        <v>5538</v>
      </c>
      <c r="C1972" s="2" t="s">
        <v>5539</v>
      </c>
      <c r="D1972" t="s">
        <v>7314</v>
      </c>
      <c r="E1972" t="s">
        <v>8916</v>
      </c>
      <c r="F1972" t="s">
        <v>0</v>
      </c>
      <c r="G1972" s="1">
        <f t="shared" ref="G1972:G2007" si="30">DATE(2025,7,11)</f>
        <v>45849</v>
      </c>
    </row>
    <row r="1973" spans="1:7" x14ac:dyDescent="0.35">
      <c r="A1973" s="2" t="s">
        <v>5540</v>
      </c>
      <c r="B1973" s="2" t="s">
        <v>5541</v>
      </c>
      <c r="C1973" s="2" t="s">
        <v>5542</v>
      </c>
      <c r="D1973" t="s">
        <v>7315</v>
      </c>
      <c r="E1973" t="s">
        <v>8917</v>
      </c>
      <c r="F1973" t="s">
        <v>0</v>
      </c>
      <c r="G1973" s="1">
        <f t="shared" si="30"/>
        <v>45849</v>
      </c>
    </row>
    <row r="1974" spans="1:7" x14ac:dyDescent="0.35">
      <c r="A1974" s="2" t="s">
        <v>5543</v>
      </c>
      <c r="B1974" s="2" t="s">
        <v>5544</v>
      </c>
      <c r="C1974" s="2" t="s">
        <v>5545</v>
      </c>
      <c r="D1974" t="s">
        <v>7316</v>
      </c>
      <c r="E1974" t="s">
        <v>8918</v>
      </c>
      <c r="F1974" t="s">
        <v>0</v>
      </c>
      <c r="G1974" s="1">
        <f t="shared" si="30"/>
        <v>45849</v>
      </c>
    </row>
    <row r="1975" spans="1:7" x14ac:dyDescent="0.35">
      <c r="A1975" s="2" t="s">
        <v>5546</v>
      </c>
      <c r="B1975" s="2" t="s">
        <v>5547</v>
      </c>
      <c r="C1975" s="2" t="s">
        <v>5548</v>
      </c>
      <c r="D1975" t="s">
        <v>7317</v>
      </c>
      <c r="E1975" t="s">
        <v>8919</v>
      </c>
      <c r="F1975" t="s">
        <v>0</v>
      </c>
      <c r="G1975" s="1">
        <f t="shared" si="30"/>
        <v>45849</v>
      </c>
    </row>
    <row r="1976" spans="1:7" x14ac:dyDescent="0.35">
      <c r="A1976" s="2" t="s">
        <v>5549</v>
      </c>
      <c r="B1976" s="2" t="s">
        <v>5550</v>
      </c>
      <c r="C1976" s="2" t="s">
        <v>5551</v>
      </c>
      <c r="D1976" t="s">
        <v>7318</v>
      </c>
      <c r="E1976" t="s">
        <v>8920</v>
      </c>
      <c r="F1976" t="s">
        <v>0</v>
      </c>
      <c r="G1976" s="1">
        <f t="shared" si="30"/>
        <v>45849</v>
      </c>
    </row>
    <row r="1977" spans="1:7" x14ac:dyDescent="0.35">
      <c r="A1977" s="2" t="s">
        <v>5552</v>
      </c>
      <c r="B1977" s="2" t="s">
        <v>5553</v>
      </c>
      <c r="C1977" s="2" t="s">
        <v>5554</v>
      </c>
      <c r="D1977" t="s">
        <v>7319</v>
      </c>
      <c r="E1977" t="s">
        <v>8921</v>
      </c>
      <c r="F1977" t="s">
        <v>0</v>
      </c>
      <c r="G1977" s="1">
        <f t="shared" si="30"/>
        <v>45849</v>
      </c>
    </row>
    <row r="1978" spans="1:7" x14ac:dyDescent="0.35">
      <c r="A1978" s="2" t="s">
        <v>5555</v>
      </c>
      <c r="B1978" s="2" t="s">
        <v>5556</v>
      </c>
      <c r="C1978" s="2" t="s">
        <v>5557</v>
      </c>
      <c r="D1978" t="s">
        <v>7320</v>
      </c>
      <c r="E1978" t="s">
        <v>8922</v>
      </c>
      <c r="F1978" t="s">
        <v>0</v>
      </c>
      <c r="G1978" s="1">
        <f t="shared" si="30"/>
        <v>45849</v>
      </c>
    </row>
    <row r="1979" spans="1:7" x14ac:dyDescent="0.35">
      <c r="A1979" s="2" t="s">
        <v>5558</v>
      </c>
      <c r="B1979" s="2" t="s">
        <v>5559</v>
      </c>
      <c r="C1979" s="2" t="s">
        <v>5560</v>
      </c>
      <c r="D1979" t="s">
        <v>7321</v>
      </c>
      <c r="E1979" t="s">
        <v>8923</v>
      </c>
      <c r="F1979" t="s">
        <v>0</v>
      </c>
      <c r="G1979" s="1">
        <f t="shared" si="30"/>
        <v>45849</v>
      </c>
    </row>
    <row r="1980" spans="1:7" x14ac:dyDescent="0.35">
      <c r="A1980" s="2" t="s">
        <v>5561</v>
      </c>
      <c r="B1980" s="2" t="s">
        <v>5562</v>
      </c>
      <c r="C1980" s="2" t="s">
        <v>5563</v>
      </c>
      <c r="D1980" t="s">
        <v>6729</v>
      </c>
      <c r="E1980" t="s">
        <v>8366</v>
      </c>
      <c r="F1980" t="s">
        <v>0</v>
      </c>
      <c r="G1980" s="1">
        <f t="shared" si="30"/>
        <v>45849</v>
      </c>
    </row>
    <row r="1981" spans="1:7" x14ac:dyDescent="0.35">
      <c r="A1981" s="2" t="s">
        <v>5564</v>
      </c>
      <c r="B1981" s="2" t="s">
        <v>5565</v>
      </c>
      <c r="C1981" s="2" t="s">
        <v>5566</v>
      </c>
      <c r="D1981" t="s">
        <v>7322</v>
      </c>
      <c r="E1981" t="s">
        <v>8924</v>
      </c>
      <c r="F1981" t="s">
        <v>0</v>
      </c>
      <c r="G1981" s="1">
        <f t="shared" si="30"/>
        <v>45849</v>
      </c>
    </row>
    <row r="1982" spans="1:7" x14ac:dyDescent="0.35">
      <c r="A1982" s="2" t="s">
        <v>5567</v>
      </c>
      <c r="B1982" s="2" t="s">
        <v>5568</v>
      </c>
      <c r="C1982" s="2" t="s">
        <v>5569</v>
      </c>
      <c r="D1982" t="s">
        <v>7323</v>
      </c>
      <c r="E1982" t="s">
        <v>8925</v>
      </c>
      <c r="F1982" t="s">
        <v>0</v>
      </c>
      <c r="G1982" s="1">
        <f t="shared" si="30"/>
        <v>45849</v>
      </c>
    </row>
    <row r="1983" spans="1:7" x14ac:dyDescent="0.35">
      <c r="A1983" s="2" t="s">
        <v>5570</v>
      </c>
      <c r="B1983" s="2" t="s">
        <v>5571</v>
      </c>
      <c r="C1983" s="2" t="s">
        <v>5572</v>
      </c>
      <c r="D1983" t="s">
        <v>7324</v>
      </c>
      <c r="E1983" t="s">
        <v>8926</v>
      </c>
      <c r="F1983" t="s">
        <v>0</v>
      </c>
      <c r="G1983" s="1">
        <f t="shared" si="30"/>
        <v>45849</v>
      </c>
    </row>
    <row r="1984" spans="1:7" x14ac:dyDescent="0.35">
      <c r="A1984" s="2" t="s">
        <v>5573</v>
      </c>
      <c r="B1984" s="2" t="s">
        <v>5574</v>
      </c>
      <c r="C1984" s="2" t="s">
        <v>5575</v>
      </c>
      <c r="D1984" t="s">
        <v>7325</v>
      </c>
      <c r="E1984" t="s">
        <v>8927</v>
      </c>
      <c r="F1984" t="s">
        <v>0</v>
      </c>
      <c r="G1984" s="1">
        <f t="shared" si="30"/>
        <v>45849</v>
      </c>
    </row>
    <row r="1985" spans="1:7" x14ac:dyDescent="0.35">
      <c r="A1985" s="2" t="s">
        <v>5576</v>
      </c>
      <c r="B1985" s="2" t="s">
        <v>5577</v>
      </c>
      <c r="C1985" s="2" t="s">
        <v>5578</v>
      </c>
      <c r="D1985" t="s">
        <v>7326</v>
      </c>
      <c r="E1985" t="s">
        <v>8928</v>
      </c>
      <c r="F1985" t="s">
        <v>0</v>
      </c>
      <c r="G1985" s="1">
        <f t="shared" si="30"/>
        <v>45849</v>
      </c>
    </row>
    <row r="1986" spans="1:7" x14ac:dyDescent="0.35">
      <c r="A1986" s="2" t="s">
        <v>5579</v>
      </c>
      <c r="B1986" s="2" t="s">
        <v>5580</v>
      </c>
      <c r="C1986" s="2" t="s">
        <v>5581</v>
      </c>
      <c r="D1986" t="s">
        <v>7327</v>
      </c>
      <c r="E1986" t="s">
        <v>8929</v>
      </c>
      <c r="F1986" t="s">
        <v>0</v>
      </c>
      <c r="G1986" s="1">
        <f t="shared" si="30"/>
        <v>45849</v>
      </c>
    </row>
    <row r="1987" spans="1:7" x14ac:dyDescent="0.35">
      <c r="A1987" s="2" t="s">
        <v>5582</v>
      </c>
      <c r="B1987" s="2" t="s">
        <v>5583</v>
      </c>
      <c r="C1987" s="2" t="s">
        <v>5584</v>
      </c>
      <c r="D1987" t="s">
        <v>7328</v>
      </c>
      <c r="E1987" t="s">
        <v>8930</v>
      </c>
      <c r="F1987" t="s">
        <v>0</v>
      </c>
      <c r="G1987" s="1">
        <f t="shared" si="30"/>
        <v>45849</v>
      </c>
    </row>
    <row r="1988" spans="1:7" x14ac:dyDescent="0.35">
      <c r="A1988" s="2" t="s">
        <v>5585</v>
      </c>
      <c r="B1988" s="2" t="s">
        <v>5586</v>
      </c>
      <c r="C1988" s="2" t="s">
        <v>5587</v>
      </c>
      <c r="D1988" t="s">
        <v>7329</v>
      </c>
      <c r="E1988" t="s">
        <v>8931</v>
      </c>
      <c r="F1988" t="s">
        <v>0</v>
      </c>
      <c r="G1988" s="1">
        <f t="shared" si="30"/>
        <v>45849</v>
      </c>
    </row>
    <row r="1989" spans="1:7" x14ac:dyDescent="0.35">
      <c r="A1989" s="2" t="s">
        <v>5588</v>
      </c>
      <c r="B1989" s="2" t="s">
        <v>5589</v>
      </c>
      <c r="C1989" s="2" t="s">
        <v>5590</v>
      </c>
      <c r="D1989" t="s">
        <v>7330</v>
      </c>
      <c r="E1989" t="s">
        <v>8932</v>
      </c>
      <c r="F1989" t="s">
        <v>0</v>
      </c>
      <c r="G1989" s="1">
        <f t="shared" si="30"/>
        <v>45849</v>
      </c>
    </row>
    <row r="1990" spans="1:7" x14ac:dyDescent="0.35">
      <c r="A1990" s="2" t="s">
        <v>5591</v>
      </c>
      <c r="B1990" s="2" t="s">
        <v>5592</v>
      </c>
      <c r="C1990" s="2" t="s">
        <v>5593</v>
      </c>
      <c r="D1990" t="s">
        <v>7331</v>
      </c>
      <c r="E1990" t="s">
        <v>8933</v>
      </c>
      <c r="F1990" t="s">
        <v>0</v>
      </c>
      <c r="G1990" s="1">
        <f t="shared" si="30"/>
        <v>45849</v>
      </c>
    </row>
    <row r="1991" spans="1:7" x14ac:dyDescent="0.35">
      <c r="A1991" s="2" t="s">
        <v>5594</v>
      </c>
      <c r="B1991" s="2" t="s">
        <v>5595</v>
      </c>
      <c r="C1991" s="2" t="s">
        <v>5596</v>
      </c>
      <c r="D1991" t="s">
        <v>7332</v>
      </c>
      <c r="E1991" t="s">
        <v>8934</v>
      </c>
      <c r="F1991" t="s">
        <v>0</v>
      </c>
      <c r="G1991" s="1">
        <f t="shared" si="30"/>
        <v>45849</v>
      </c>
    </row>
    <row r="1992" spans="1:7" x14ac:dyDescent="0.35">
      <c r="A1992" s="2" t="s">
        <v>5597</v>
      </c>
      <c r="B1992" s="2" t="s">
        <v>5598</v>
      </c>
      <c r="C1992" s="2" t="s">
        <v>5599</v>
      </c>
      <c r="D1992" t="s">
        <v>7333</v>
      </c>
      <c r="E1992" t="s">
        <v>8935</v>
      </c>
      <c r="F1992" t="s">
        <v>0</v>
      </c>
      <c r="G1992" s="1">
        <f t="shared" si="30"/>
        <v>45849</v>
      </c>
    </row>
    <row r="1993" spans="1:7" x14ac:dyDescent="0.35">
      <c r="A1993" s="2" t="s">
        <v>5600</v>
      </c>
      <c r="B1993" s="2" t="s">
        <v>5601</v>
      </c>
      <c r="C1993" s="2" t="s">
        <v>5602</v>
      </c>
      <c r="D1993" t="s">
        <v>7334</v>
      </c>
      <c r="E1993" t="s">
        <v>8936</v>
      </c>
      <c r="F1993" t="s">
        <v>0</v>
      </c>
      <c r="G1993" s="1">
        <f t="shared" si="30"/>
        <v>45849</v>
      </c>
    </row>
    <row r="1994" spans="1:7" x14ac:dyDescent="0.35">
      <c r="A1994" s="2" t="s">
        <v>5603</v>
      </c>
      <c r="B1994" s="2" t="s">
        <v>5604</v>
      </c>
      <c r="C1994" s="2" t="s">
        <v>5605</v>
      </c>
      <c r="D1994" t="s">
        <v>7335</v>
      </c>
      <c r="E1994" t="s">
        <v>8937</v>
      </c>
      <c r="F1994" t="s">
        <v>0</v>
      </c>
      <c r="G1994" s="1">
        <f t="shared" si="30"/>
        <v>45849</v>
      </c>
    </row>
    <row r="1995" spans="1:7" x14ac:dyDescent="0.35">
      <c r="A1995" s="2" t="s">
        <v>5606</v>
      </c>
      <c r="B1995" s="2" t="s">
        <v>5607</v>
      </c>
      <c r="C1995" s="2" t="s">
        <v>5608</v>
      </c>
      <c r="D1995" t="s">
        <v>7336</v>
      </c>
      <c r="E1995" t="s">
        <v>8938</v>
      </c>
      <c r="F1995" t="s">
        <v>0</v>
      </c>
      <c r="G1995" s="1">
        <f t="shared" si="30"/>
        <v>45849</v>
      </c>
    </row>
    <row r="1996" spans="1:7" x14ac:dyDescent="0.35">
      <c r="A1996" s="2" t="s">
        <v>5609</v>
      </c>
      <c r="B1996" s="2" t="s">
        <v>5610</v>
      </c>
      <c r="C1996" s="2" t="s">
        <v>5611</v>
      </c>
      <c r="D1996" t="s">
        <v>7337</v>
      </c>
      <c r="E1996" t="s">
        <v>8939</v>
      </c>
      <c r="F1996" t="s">
        <v>0</v>
      </c>
      <c r="G1996" s="1">
        <f t="shared" si="30"/>
        <v>45849</v>
      </c>
    </row>
    <row r="1997" spans="1:7" x14ac:dyDescent="0.35">
      <c r="A1997" s="2" t="s">
        <v>5612</v>
      </c>
      <c r="B1997" s="2" t="s">
        <v>5613</v>
      </c>
      <c r="C1997" s="2" t="s">
        <v>5614</v>
      </c>
      <c r="D1997" t="s">
        <v>7338</v>
      </c>
      <c r="E1997" t="s">
        <v>8940</v>
      </c>
      <c r="F1997" t="s">
        <v>0</v>
      </c>
      <c r="G1997" s="1">
        <f t="shared" si="30"/>
        <v>45849</v>
      </c>
    </row>
    <row r="1998" spans="1:7" x14ac:dyDescent="0.35">
      <c r="A1998" s="2" t="s">
        <v>5615</v>
      </c>
      <c r="B1998" s="2" t="s">
        <v>5616</v>
      </c>
      <c r="C1998" s="2" t="s">
        <v>5617</v>
      </c>
      <c r="D1998" t="s">
        <v>7339</v>
      </c>
      <c r="E1998" t="s">
        <v>8941</v>
      </c>
      <c r="F1998" t="s">
        <v>0</v>
      </c>
      <c r="G1998" s="1">
        <f t="shared" si="30"/>
        <v>45849</v>
      </c>
    </row>
    <row r="1999" spans="1:7" x14ac:dyDescent="0.35">
      <c r="A1999" s="2" t="s">
        <v>5618</v>
      </c>
      <c r="B1999" s="2" t="s">
        <v>5619</v>
      </c>
      <c r="C1999" s="2" t="s">
        <v>5620</v>
      </c>
      <c r="D1999" t="s">
        <v>7340</v>
      </c>
      <c r="E1999" t="s">
        <v>8942</v>
      </c>
      <c r="F1999" t="s">
        <v>0</v>
      </c>
      <c r="G1999" s="1">
        <f t="shared" si="30"/>
        <v>45849</v>
      </c>
    </row>
    <row r="2000" spans="1:7" x14ac:dyDescent="0.35">
      <c r="A2000" s="2" t="s">
        <v>5621</v>
      </c>
      <c r="B2000" s="2" t="s">
        <v>5622</v>
      </c>
      <c r="C2000" s="2" t="s">
        <v>5623</v>
      </c>
      <c r="D2000" t="s">
        <v>7341</v>
      </c>
      <c r="E2000" t="s">
        <v>8943</v>
      </c>
      <c r="F2000" t="s">
        <v>0</v>
      </c>
      <c r="G2000" s="1">
        <f t="shared" si="30"/>
        <v>45849</v>
      </c>
    </row>
    <row r="2001" spans="1:7" x14ac:dyDescent="0.35">
      <c r="A2001" s="2" t="s">
        <v>5624</v>
      </c>
      <c r="B2001" s="2" t="s">
        <v>5625</v>
      </c>
      <c r="C2001" s="2" t="s">
        <v>5626</v>
      </c>
      <c r="D2001" t="s">
        <v>7342</v>
      </c>
      <c r="E2001" t="s">
        <v>8944</v>
      </c>
      <c r="F2001" t="s">
        <v>0</v>
      </c>
      <c r="G2001" s="1">
        <f t="shared" si="30"/>
        <v>45849</v>
      </c>
    </row>
    <row r="2002" spans="1:7" x14ac:dyDescent="0.35">
      <c r="A2002" s="2" t="s">
        <v>5627</v>
      </c>
      <c r="B2002" s="2" t="s">
        <v>5628</v>
      </c>
      <c r="C2002" s="2" t="s">
        <v>5629</v>
      </c>
      <c r="D2002" t="s">
        <v>7343</v>
      </c>
      <c r="E2002" t="s">
        <v>8945</v>
      </c>
      <c r="F2002" t="s">
        <v>0</v>
      </c>
      <c r="G2002" s="1">
        <f t="shared" si="30"/>
        <v>45849</v>
      </c>
    </row>
    <row r="2003" spans="1:7" x14ac:dyDescent="0.35">
      <c r="A2003" s="2" t="s">
        <v>5630</v>
      </c>
      <c r="B2003" s="2" t="s">
        <v>5631</v>
      </c>
      <c r="C2003" s="2" t="s">
        <v>5632</v>
      </c>
      <c r="D2003" t="s">
        <v>7344</v>
      </c>
      <c r="E2003" t="s">
        <v>8946</v>
      </c>
      <c r="F2003" t="s">
        <v>0</v>
      </c>
      <c r="G2003" s="1">
        <f t="shared" si="30"/>
        <v>45849</v>
      </c>
    </row>
    <row r="2004" spans="1:7" x14ac:dyDescent="0.35">
      <c r="A2004" s="2" t="s">
        <v>5633</v>
      </c>
      <c r="B2004" s="2" t="s">
        <v>5634</v>
      </c>
      <c r="C2004" s="2" t="s">
        <v>5635</v>
      </c>
      <c r="D2004" t="s">
        <v>7345</v>
      </c>
      <c r="E2004" t="s">
        <v>8947</v>
      </c>
      <c r="F2004" t="s">
        <v>0</v>
      </c>
      <c r="G2004" s="1">
        <f t="shared" si="30"/>
        <v>45849</v>
      </c>
    </row>
    <row r="2005" spans="1:7" x14ac:dyDescent="0.35">
      <c r="A2005" s="2" t="s">
        <v>5636</v>
      </c>
      <c r="B2005" s="2" t="s">
        <v>5637</v>
      </c>
      <c r="C2005" s="2" t="s">
        <v>5638</v>
      </c>
      <c r="D2005" t="s">
        <v>7346</v>
      </c>
      <c r="E2005" t="s">
        <v>8948</v>
      </c>
      <c r="F2005" t="s">
        <v>0</v>
      </c>
      <c r="G2005" s="1">
        <f t="shared" si="30"/>
        <v>45849</v>
      </c>
    </row>
    <row r="2006" spans="1:7" x14ac:dyDescent="0.35">
      <c r="A2006" s="2" t="s">
        <v>5639</v>
      </c>
      <c r="B2006" s="2" t="s">
        <v>5640</v>
      </c>
      <c r="C2006" s="2" t="s">
        <v>5641</v>
      </c>
      <c r="D2006" t="s">
        <v>7347</v>
      </c>
      <c r="E2006" t="s">
        <v>8949</v>
      </c>
      <c r="F2006" t="s">
        <v>0</v>
      </c>
      <c r="G2006" s="1">
        <f t="shared" si="30"/>
        <v>45849</v>
      </c>
    </row>
    <row r="2007" spans="1:7" x14ac:dyDescent="0.35">
      <c r="A2007" s="2" t="s">
        <v>5642</v>
      </c>
      <c r="B2007" s="2" t="s">
        <v>5643</v>
      </c>
      <c r="C2007" s="2" t="s">
        <v>5644</v>
      </c>
      <c r="D2007" t="s">
        <v>7348</v>
      </c>
      <c r="E2007" t="s">
        <v>8950</v>
      </c>
      <c r="F2007" t="s">
        <v>0</v>
      </c>
      <c r="G2007" s="1">
        <f t="shared" si="30"/>
        <v>45849</v>
      </c>
    </row>
    <row r="2008" spans="1:7" x14ac:dyDescent="0.35">
      <c r="A2008" s="2" t="s">
        <v>5645</v>
      </c>
      <c r="B2008" s="2" t="s">
        <v>5646</v>
      </c>
      <c r="C2008" s="2" t="s">
        <v>5647</v>
      </c>
      <c r="D2008" t="s">
        <v>7349</v>
      </c>
      <c r="E2008" t="s">
        <v>8951</v>
      </c>
      <c r="F2008" t="s">
        <v>0</v>
      </c>
      <c r="G2008" s="1">
        <f>DATE(2025,5,2)</f>
        <v>45779</v>
      </c>
    </row>
    <row r="2009" spans="1:7" x14ac:dyDescent="0.35">
      <c r="A2009" s="2" t="s">
        <v>5648</v>
      </c>
      <c r="B2009" s="2" t="s">
        <v>5649</v>
      </c>
      <c r="C2009" s="2" t="s">
        <v>5650</v>
      </c>
      <c r="D2009" t="s">
        <v>7350</v>
      </c>
      <c r="E2009" t="s">
        <v>8952</v>
      </c>
      <c r="F2009" t="s">
        <v>0</v>
      </c>
      <c r="G2009" s="1">
        <f>DATE(2025,5,2)</f>
        <v>45779</v>
      </c>
    </row>
    <row r="2010" spans="1:7" x14ac:dyDescent="0.35">
      <c r="A2010" s="2" t="s">
        <v>5651</v>
      </c>
      <c r="B2010" s="2" t="s">
        <v>5652</v>
      </c>
      <c r="C2010" s="2" t="s">
        <v>5653</v>
      </c>
      <c r="D2010" t="s">
        <v>7351</v>
      </c>
      <c r="E2010" t="s">
        <v>8953</v>
      </c>
      <c r="F2010" t="s">
        <v>0</v>
      </c>
      <c r="G2010" s="1">
        <f>DATE(2025,5,13)</f>
        <v>45790</v>
      </c>
    </row>
    <row r="2011" spans="1:7" x14ac:dyDescent="0.35">
      <c r="A2011" s="2" t="s">
        <v>5654</v>
      </c>
      <c r="B2011" s="2" t="s">
        <v>5655</v>
      </c>
      <c r="C2011" s="2" t="s">
        <v>5656</v>
      </c>
      <c r="D2011" t="s">
        <v>7352</v>
      </c>
      <c r="E2011" t="s">
        <v>8954</v>
      </c>
      <c r="F2011" t="s">
        <v>0</v>
      </c>
      <c r="G2011" s="1">
        <f>DATE(2025,6,25)</f>
        <v>45833</v>
      </c>
    </row>
    <row r="2012" spans="1:7" x14ac:dyDescent="0.35">
      <c r="A2012" s="2" t="s">
        <v>5657</v>
      </c>
      <c r="B2012" s="2" t="s">
        <v>5658</v>
      </c>
      <c r="C2012" s="2" t="s">
        <v>5659</v>
      </c>
      <c r="D2012" t="s">
        <v>7353</v>
      </c>
      <c r="E2012" t="s">
        <v>8955</v>
      </c>
      <c r="F2012" t="s">
        <v>0</v>
      </c>
      <c r="G2012" s="1">
        <f t="shared" ref="G2012:G2025" si="31">DATE(2025,7,11)</f>
        <v>45849</v>
      </c>
    </row>
    <row r="2013" spans="1:7" x14ac:dyDescent="0.35">
      <c r="A2013" s="2" t="s">
        <v>5660</v>
      </c>
      <c r="B2013" s="2" t="s">
        <v>5661</v>
      </c>
      <c r="C2013" s="2" t="s">
        <v>5662</v>
      </c>
      <c r="D2013" t="s">
        <v>7354</v>
      </c>
      <c r="E2013" t="s">
        <v>8956</v>
      </c>
      <c r="F2013" t="s">
        <v>0</v>
      </c>
      <c r="G2013" s="1">
        <f t="shared" si="31"/>
        <v>45849</v>
      </c>
    </row>
    <row r="2014" spans="1:7" x14ac:dyDescent="0.35">
      <c r="A2014" s="2" t="s">
        <v>5663</v>
      </c>
      <c r="B2014" s="2" t="s">
        <v>5664</v>
      </c>
      <c r="C2014" s="2" t="s">
        <v>5665</v>
      </c>
      <c r="D2014" t="s">
        <v>7355</v>
      </c>
      <c r="E2014" t="s">
        <v>8957</v>
      </c>
      <c r="F2014" t="s">
        <v>0</v>
      </c>
      <c r="G2014" s="1">
        <f t="shared" si="31"/>
        <v>45849</v>
      </c>
    </row>
    <row r="2015" spans="1:7" x14ac:dyDescent="0.35">
      <c r="A2015" s="2" t="s">
        <v>5666</v>
      </c>
      <c r="B2015" s="2" t="s">
        <v>5667</v>
      </c>
      <c r="C2015" s="2" t="s">
        <v>5668</v>
      </c>
      <c r="D2015" t="s">
        <v>7356</v>
      </c>
      <c r="E2015" t="s">
        <v>8958</v>
      </c>
      <c r="F2015" t="s">
        <v>0</v>
      </c>
      <c r="G2015" s="1">
        <f t="shared" si="31"/>
        <v>45849</v>
      </c>
    </row>
    <row r="2016" spans="1:7" x14ac:dyDescent="0.35">
      <c r="A2016" s="2" t="s">
        <v>5669</v>
      </c>
      <c r="B2016" s="2" t="s">
        <v>5670</v>
      </c>
      <c r="C2016" s="2" t="s">
        <v>5671</v>
      </c>
      <c r="D2016" t="s">
        <v>7357</v>
      </c>
      <c r="E2016" t="s">
        <v>8959</v>
      </c>
      <c r="F2016" t="s">
        <v>0</v>
      </c>
      <c r="G2016" s="1">
        <f t="shared" si="31"/>
        <v>45849</v>
      </c>
    </row>
    <row r="2017" spans="1:7" x14ac:dyDescent="0.35">
      <c r="A2017" s="2" t="s">
        <v>5672</v>
      </c>
      <c r="B2017" s="2" t="s">
        <v>5673</v>
      </c>
      <c r="C2017" s="2" t="s">
        <v>5674</v>
      </c>
      <c r="D2017" t="s">
        <v>7000</v>
      </c>
      <c r="E2017" t="s">
        <v>8637</v>
      </c>
      <c r="F2017" t="s">
        <v>0</v>
      </c>
      <c r="G2017" s="1">
        <f t="shared" si="31"/>
        <v>45849</v>
      </c>
    </row>
    <row r="2018" spans="1:7" x14ac:dyDescent="0.35">
      <c r="A2018" s="2" t="s">
        <v>5675</v>
      </c>
      <c r="B2018" s="2" t="s">
        <v>5676</v>
      </c>
      <c r="C2018" s="2" t="s">
        <v>5677</v>
      </c>
      <c r="D2018" t="s">
        <v>7358</v>
      </c>
      <c r="E2018" t="s">
        <v>8960</v>
      </c>
      <c r="F2018" t="s">
        <v>0</v>
      </c>
      <c r="G2018" s="1">
        <f t="shared" si="31"/>
        <v>45849</v>
      </c>
    </row>
    <row r="2019" spans="1:7" x14ac:dyDescent="0.35">
      <c r="A2019" s="2" t="s">
        <v>5678</v>
      </c>
      <c r="B2019" s="2" t="s">
        <v>5679</v>
      </c>
      <c r="C2019" s="2" t="s">
        <v>5680</v>
      </c>
      <c r="D2019" t="s">
        <v>7359</v>
      </c>
      <c r="E2019" t="s">
        <v>8961</v>
      </c>
      <c r="F2019" t="s">
        <v>0</v>
      </c>
      <c r="G2019" s="1">
        <f t="shared" si="31"/>
        <v>45849</v>
      </c>
    </row>
    <row r="2020" spans="1:7" x14ac:dyDescent="0.35">
      <c r="A2020" s="2" t="s">
        <v>5681</v>
      </c>
      <c r="B2020" s="2" t="s">
        <v>5682</v>
      </c>
      <c r="C2020" s="2" t="s">
        <v>5683</v>
      </c>
      <c r="D2020" t="s">
        <v>7360</v>
      </c>
      <c r="E2020" t="s">
        <v>8962</v>
      </c>
      <c r="F2020" t="s">
        <v>0</v>
      </c>
      <c r="G2020" s="1">
        <f t="shared" si="31"/>
        <v>45849</v>
      </c>
    </row>
    <row r="2021" spans="1:7" x14ac:dyDescent="0.35">
      <c r="A2021" s="2" t="s">
        <v>5684</v>
      </c>
      <c r="B2021" s="2" t="s">
        <v>5685</v>
      </c>
      <c r="C2021" s="2" t="s">
        <v>5686</v>
      </c>
      <c r="D2021" t="s">
        <v>7361</v>
      </c>
      <c r="E2021" t="s">
        <v>8963</v>
      </c>
      <c r="F2021" t="s">
        <v>0</v>
      </c>
      <c r="G2021" s="1">
        <f t="shared" si="31"/>
        <v>45849</v>
      </c>
    </row>
    <row r="2022" spans="1:7" x14ac:dyDescent="0.35">
      <c r="A2022" s="2" t="s">
        <v>5687</v>
      </c>
      <c r="B2022" s="2" t="s">
        <v>5688</v>
      </c>
      <c r="C2022" s="2" t="s">
        <v>5689</v>
      </c>
      <c r="D2022" t="s">
        <v>7362</v>
      </c>
      <c r="E2022" t="s">
        <v>8964</v>
      </c>
      <c r="F2022" t="s">
        <v>0</v>
      </c>
      <c r="G2022" s="1">
        <f t="shared" si="31"/>
        <v>45849</v>
      </c>
    </row>
    <row r="2023" spans="1:7" x14ac:dyDescent="0.35">
      <c r="A2023" s="2" t="s">
        <v>5690</v>
      </c>
      <c r="B2023" s="2" t="s">
        <v>5691</v>
      </c>
      <c r="C2023" s="2" t="s">
        <v>5692</v>
      </c>
      <c r="D2023" t="s">
        <v>7363</v>
      </c>
      <c r="E2023" t="s">
        <v>8965</v>
      </c>
      <c r="F2023" t="s">
        <v>0</v>
      </c>
      <c r="G2023" s="1">
        <f t="shared" si="31"/>
        <v>45849</v>
      </c>
    </row>
    <row r="2024" spans="1:7" x14ac:dyDescent="0.35">
      <c r="A2024" s="2" t="s">
        <v>5693</v>
      </c>
      <c r="B2024" s="2" t="s">
        <v>5694</v>
      </c>
      <c r="C2024" s="2" t="s">
        <v>5695</v>
      </c>
      <c r="D2024" t="s">
        <v>7364</v>
      </c>
      <c r="E2024" t="s">
        <v>8966</v>
      </c>
      <c r="F2024" t="s">
        <v>0</v>
      </c>
      <c r="G2024" s="1">
        <f t="shared" si="31"/>
        <v>45849</v>
      </c>
    </row>
    <row r="2025" spans="1:7" x14ac:dyDescent="0.35">
      <c r="A2025" s="2" t="s">
        <v>5696</v>
      </c>
      <c r="B2025" s="2" t="s">
        <v>5697</v>
      </c>
      <c r="C2025" s="2" t="s">
        <v>5698</v>
      </c>
      <c r="D2025" t="s">
        <v>7365</v>
      </c>
      <c r="E2025" t="s">
        <v>8967</v>
      </c>
      <c r="F2025" t="s">
        <v>0</v>
      </c>
      <c r="G2025" s="1">
        <f t="shared" si="31"/>
        <v>45849</v>
      </c>
    </row>
    <row r="2026" spans="1:7" x14ac:dyDescent="0.35">
      <c r="A2026" s="2" t="s">
        <v>5699</v>
      </c>
      <c r="B2026" s="2" t="s">
        <v>5700</v>
      </c>
      <c r="C2026" s="2" t="s">
        <v>5701</v>
      </c>
      <c r="D2026" t="s">
        <v>7366</v>
      </c>
      <c r="E2026" t="s">
        <v>8968</v>
      </c>
      <c r="F2026" t="s">
        <v>0</v>
      </c>
      <c r="G2026" s="1">
        <f>DATE(2025,7,15)</f>
        <v>45853</v>
      </c>
    </row>
    <row r="2027" spans="1:7" x14ac:dyDescent="0.35">
      <c r="A2027" s="2" t="s">
        <v>5702</v>
      </c>
      <c r="B2027" s="2" t="s">
        <v>5703</v>
      </c>
      <c r="C2027" s="2" t="s">
        <v>5704</v>
      </c>
      <c r="D2027" t="s">
        <v>7367</v>
      </c>
      <c r="E2027" t="s">
        <v>8969</v>
      </c>
      <c r="F2027" t="s">
        <v>0</v>
      </c>
      <c r="G2027" s="1">
        <f>DATE(2025,5,30)</f>
        <v>45807</v>
      </c>
    </row>
    <row r="2028" spans="1:7" x14ac:dyDescent="0.35">
      <c r="A2028" s="2" t="s">
        <v>5705</v>
      </c>
      <c r="B2028" s="2" t="s">
        <v>5706</v>
      </c>
      <c r="C2028" s="2" t="s">
        <v>5707</v>
      </c>
      <c r="D2028" t="s">
        <v>7368</v>
      </c>
      <c r="E2028" t="s">
        <v>8970</v>
      </c>
      <c r="F2028" t="s">
        <v>0</v>
      </c>
      <c r="G2028" s="1">
        <f>DATE(2025,6,19)</f>
        <v>45827</v>
      </c>
    </row>
    <row r="2029" spans="1:7" x14ac:dyDescent="0.35">
      <c r="A2029" s="2" t="s">
        <v>5708</v>
      </c>
      <c r="B2029" s="2" t="s">
        <v>5709</v>
      </c>
      <c r="C2029" s="2" t="s">
        <v>5710</v>
      </c>
      <c r="D2029" t="s">
        <v>5710</v>
      </c>
      <c r="E2029" t="s">
        <v>8971</v>
      </c>
      <c r="F2029" t="s">
        <v>0</v>
      </c>
      <c r="G2029" s="1">
        <f>DATE(2025,6,27)</f>
        <v>45835</v>
      </c>
    </row>
    <row r="2030" spans="1:7" x14ac:dyDescent="0.35">
      <c r="A2030" s="2" t="s">
        <v>5711</v>
      </c>
      <c r="B2030" s="2" t="s">
        <v>5712</v>
      </c>
      <c r="C2030" s="2" t="s">
        <v>5713</v>
      </c>
      <c r="D2030" t="s">
        <v>7369</v>
      </c>
      <c r="E2030" t="s">
        <v>8972</v>
      </c>
      <c r="F2030" t="s">
        <v>0</v>
      </c>
      <c r="G2030" s="1">
        <f>DATE(2025,7,7)</f>
        <v>45845</v>
      </c>
    </row>
    <row r="2031" spans="1:7" x14ac:dyDescent="0.35">
      <c r="A2031" s="2" t="s">
        <v>5714</v>
      </c>
      <c r="B2031" s="2" t="s">
        <v>5715</v>
      </c>
      <c r="C2031" s="2" t="s">
        <v>5716</v>
      </c>
      <c r="D2031" t="s">
        <v>7370</v>
      </c>
      <c r="E2031" t="s">
        <v>8973</v>
      </c>
      <c r="F2031" t="s">
        <v>0</v>
      </c>
      <c r="G2031" s="1">
        <f>DATE(2025,7,16)</f>
        <v>45854</v>
      </c>
    </row>
    <row r="2032" spans="1:7" x14ac:dyDescent="0.35">
      <c r="A2032" s="2" t="s">
        <v>5717</v>
      </c>
      <c r="B2032" s="2" t="s">
        <v>5718</v>
      </c>
      <c r="C2032" s="2" t="s">
        <v>5719</v>
      </c>
      <c r="D2032" t="s">
        <v>7371</v>
      </c>
      <c r="E2032" t="e">
        <v>#VALUE!</v>
      </c>
      <c r="F2032" t="s">
        <v>0</v>
      </c>
      <c r="G2032" s="1">
        <f>DATE(2025,7,17)</f>
        <v>45855</v>
      </c>
    </row>
    <row r="2033" spans="1:7" x14ac:dyDescent="0.35">
      <c r="A2033" s="2" t="s">
        <v>5720</v>
      </c>
      <c r="B2033" s="2" t="s">
        <v>5721</v>
      </c>
      <c r="C2033" s="2" t="s">
        <v>5722</v>
      </c>
      <c r="D2033" t="s">
        <v>7372</v>
      </c>
      <c r="E2033" t="s">
        <v>8974</v>
      </c>
      <c r="F2033" t="s">
        <v>0</v>
      </c>
      <c r="G2033" s="1">
        <f>DATE(2025,7,18)</f>
        <v>45856</v>
      </c>
    </row>
    <row r="2034" spans="1:7" x14ac:dyDescent="0.35">
      <c r="A2034" s="2" t="s">
        <v>5723</v>
      </c>
      <c r="B2034" s="2" t="s">
        <v>5724</v>
      </c>
      <c r="C2034" s="2" t="s">
        <v>5725</v>
      </c>
      <c r="D2034" t="s">
        <v>7373</v>
      </c>
      <c r="E2034" t="e">
        <v>#VALUE!</v>
      </c>
      <c r="F2034" t="s">
        <v>0</v>
      </c>
      <c r="G2034" s="1">
        <f>DATE(2025,5,28)</f>
        <v>45805</v>
      </c>
    </row>
    <row r="2035" spans="1:7" x14ac:dyDescent="0.35">
      <c r="A2035" s="2" t="s">
        <v>5726</v>
      </c>
      <c r="B2035" s="2" t="s">
        <v>5727</v>
      </c>
      <c r="C2035" s="2" t="s">
        <v>5728</v>
      </c>
      <c r="D2035" t="s">
        <v>7374</v>
      </c>
      <c r="E2035" t="s">
        <v>8975</v>
      </c>
      <c r="F2035" t="s">
        <v>0</v>
      </c>
      <c r="G2035" s="1">
        <f>DATE(2025,5,28)</f>
        <v>45805</v>
      </c>
    </row>
    <row r="2036" spans="1:7" x14ac:dyDescent="0.35">
      <c r="A2036" s="2" t="s">
        <v>5729</v>
      </c>
      <c r="B2036" s="2" t="s">
        <v>5730</v>
      </c>
      <c r="C2036" s="2" t="s">
        <v>5731</v>
      </c>
      <c r="D2036" t="s">
        <v>7375</v>
      </c>
      <c r="E2036" t="e">
        <v>#VALUE!</v>
      </c>
      <c r="F2036" t="s">
        <v>0</v>
      </c>
      <c r="G2036" s="1">
        <f>DATE(2025,6,10)</f>
        <v>45818</v>
      </c>
    </row>
    <row r="2037" spans="1:7" x14ac:dyDescent="0.35">
      <c r="A2037" s="2" t="s">
        <v>5732</v>
      </c>
      <c r="B2037" s="2" t="s">
        <v>5733</v>
      </c>
      <c r="C2037" s="2" t="s">
        <v>5734</v>
      </c>
      <c r="D2037" t="s">
        <v>7376</v>
      </c>
      <c r="E2037" t="s">
        <v>8976</v>
      </c>
      <c r="F2037" t="s">
        <v>0</v>
      </c>
      <c r="G2037" s="1">
        <f>DATE(2025,6,10)</f>
        <v>45818</v>
      </c>
    </row>
    <row r="2038" spans="1:7" x14ac:dyDescent="0.35">
      <c r="A2038" s="2" t="s">
        <v>5735</v>
      </c>
      <c r="B2038" s="2" t="s">
        <v>5736</v>
      </c>
      <c r="C2038" s="2" t="s">
        <v>5737</v>
      </c>
      <c r="D2038" t="s">
        <v>5737</v>
      </c>
      <c r="E2038" t="e">
        <v>#VALUE!</v>
      </c>
      <c r="F2038" t="s">
        <v>0</v>
      </c>
      <c r="G2038" s="1">
        <f>DATE(2025,6,20)</f>
        <v>45828</v>
      </c>
    </row>
    <row r="2039" spans="1:7" x14ac:dyDescent="0.35">
      <c r="A2039" s="2" t="s">
        <v>5738</v>
      </c>
      <c r="B2039" s="2" t="s">
        <v>5739</v>
      </c>
      <c r="C2039" s="2" t="s">
        <v>5740</v>
      </c>
      <c r="D2039" t="s">
        <v>7377</v>
      </c>
      <c r="E2039" t="s">
        <v>8977</v>
      </c>
      <c r="F2039" t="s">
        <v>0</v>
      </c>
      <c r="G2039" s="1">
        <f>DATE(2025,6,20)</f>
        <v>45828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099DB2-3C96-4E36-B700-9F429AFD9A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6D66E4-6340-4CB4-AA0D-8E2BD9B595FF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customXml/itemProps3.xml><?xml version="1.0" encoding="utf-8"?>
<ds:datastoreItem xmlns:ds="http://schemas.openxmlformats.org/officeDocument/2006/customXml" ds:itemID="{62728B2D-800A-484B-9486-99F91EAE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DELCROIX Alexandre</cp:lastModifiedBy>
  <dcterms:created xsi:type="dcterms:W3CDTF">2025-07-21T07:13:59Z</dcterms:created>
  <dcterms:modified xsi:type="dcterms:W3CDTF">2025-08-29T08:25:48Z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  <property fmtid="{D5CDD505-2E9C-101B-9397-08002B2CF9AE}" pid="3" name="MediaServiceImageTags">
    <vt:lpwstr/>
  </property>
</Properties>
</file>